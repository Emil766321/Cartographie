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8183" documentId="8_{13189011-C070-4C04-A18D-D05D2E2A006A}" xr6:coauthVersionLast="47" xr6:coauthVersionMax="47" xr10:uidLastSave="{182352FB-0EA7-4583-A41E-1F75C05F91C6}"/>
  <bookViews>
    <workbookView xWindow="2868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C42" i="12"/>
  <c r="C4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2"/>
  <c r="C12" i="12"/>
  <c r="C18" i="12"/>
  <c r="C17" i="12"/>
  <c r="C16" i="12"/>
  <c r="C29" i="12"/>
  <c r="C28" i="12"/>
  <c r="C40" i="12"/>
  <c r="C24" i="12"/>
  <c r="C36" i="12"/>
  <c r="C48" i="12"/>
  <c r="C4" i="10"/>
  <c r="C16" i="10"/>
  <c r="C52" i="10"/>
  <c r="C40" i="10"/>
  <c r="C28" i="10"/>
  <c r="C76" i="10"/>
  <c r="C88" i="10"/>
  <c r="C124" i="10"/>
  <c r="C136" i="10"/>
  <c r="C172" i="10"/>
  <c r="C184" i="10"/>
  <c r="C196" i="10"/>
  <c r="C208" i="10"/>
  <c r="C220" i="10"/>
  <c r="C244" i="10"/>
  <c r="C256" i="10"/>
  <c r="C268" i="10"/>
  <c r="C280" i="10"/>
  <c r="C292" i="10"/>
  <c r="C304" i="10"/>
  <c r="C328" i="10"/>
  <c r="C340" i="10"/>
  <c r="C352" i="10"/>
  <c r="C364" i="10"/>
  <c r="C376" i="10"/>
  <c r="C388" i="10"/>
  <c r="C437" i="10"/>
  <c r="C412" i="10"/>
  <c r="C424" i="10"/>
  <c r="C436" i="10"/>
  <c r="C448" i="10"/>
  <c r="C474" i="10"/>
  <c r="C461" i="10"/>
  <c r="C460" i="10"/>
  <c r="C473" i="10"/>
  <c r="C472" i="10"/>
  <c r="C484" i="10"/>
  <c r="C12" i="10"/>
  <c r="C24" i="10"/>
  <c r="C36" i="10"/>
  <c r="C48" i="10"/>
  <c r="C60" i="10"/>
  <c r="C84" i="10"/>
  <c r="C96" i="10"/>
  <c r="C132" i="10"/>
  <c r="C144" i="10"/>
  <c r="C180" i="10"/>
  <c r="C192" i="10"/>
  <c r="C204" i="10"/>
  <c r="C216" i="10"/>
  <c r="C228" i="10"/>
  <c r="C252" i="10"/>
  <c r="C264" i="10"/>
  <c r="C276" i="10"/>
  <c r="C288" i="10"/>
  <c r="C300" i="10"/>
  <c r="C312" i="10"/>
  <c r="C336" i="10"/>
  <c r="C348" i="10"/>
  <c r="C360" i="10"/>
  <c r="C372" i="10"/>
  <c r="C384" i="10"/>
  <c r="C396" i="10"/>
  <c r="C420" i="10"/>
  <c r="C432" i="10"/>
  <c r="C444" i="10"/>
  <c r="C456" i="10"/>
  <c r="C468" i="10"/>
  <c r="C480" i="10"/>
  <c r="C496" i="10"/>
  <c r="C11" i="16"/>
  <c r="C504" i="10"/>
  <c r="C11" i="15"/>
  <c r="C114" i="10"/>
  <c r="C113" i="10"/>
  <c r="C120" i="10"/>
  <c r="C112" i="10"/>
  <c r="C101" i="10"/>
  <c r="C108" i="10"/>
  <c r="C100" i="10"/>
  <c r="C72" i="10"/>
  <c r="C64" i="10"/>
  <c r="C156" i="10"/>
  <c r="C148" i="10"/>
  <c r="C168" i="10"/>
  <c r="C160" i="10"/>
  <c r="C232" i="10"/>
  <c r="C240" i="10"/>
  <c r="C324" i="10"/>
  <c r="C316" i="10"/>
  <c r="C400" i="10"/>
  <c r="C408" i="10"/>
  <c r="C492" i="10"/>
  <c r="C485"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<sst xmlns="http://schemas.openxmlformats.org/spreadsheetml/2006/main" count="1137" uniqueCount="166">
  <si>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</si>
  <si>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</si>
  <si>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</si>
  <si>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</si>
  <si>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</si>
  <si>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</si>
  <si>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</si>
  <si>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</si>
  <si>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</si>
  <si>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</si>
  <si>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</si>
  <si>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</si>
  <si>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</si>
  <si>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</si>
  <si>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</si>
  <si>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</si>
  <si>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</si>
  <si>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</si>
  <si>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</si>
  <si>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</si>
  <si>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</si>
  <si>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</si>
  <si>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</si>
  <si>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</si>
  <si>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</si>
  <si>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</si>
  <si>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</si>
  <si>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</si>
  <si>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</si>
  <si>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</si>
  <si>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</si>
  <si>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</si>
  <si>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</si>
  <si>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</si>
  <si>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</si>
  <si>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</si>
  <si>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</si>
  <si>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</si>
  <si>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</si>
  <si>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</si>
  <si>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</si>
  <si>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</si>
  <si>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</si>
  <si>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</si>
  <si>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</si>
  <si>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</si>
  <si>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</si>
  <si>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</si>
  <si>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</si>
  <si>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</si>
  <si>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</si>
  <si>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</si>
  <si>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</si>
  <si>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</si>
  <si>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</si>
  <si>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</si>
  <si>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</si>
  <si>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</si>
  <si>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</si>
  <si>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</si>
  <si>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</si>
  <si>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</si>
  <si>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</si>
  <si>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</si>
  <si>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</si>
  <si>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</si>
  <si>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</si>
  <si>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</si>
  <si>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</si>
  <si>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</si>
  <si>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</si>
  <si>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</si>
  <si>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</si>
  <si>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</si>
  <si>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</si>
  <si>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</si>
  <si>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</si>
  <si>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</si>
  <si>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</si>
  <si>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</si>
  <si>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</si>
  <si>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</si>
  <si>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</si>
  <si>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</si>
  <si>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</si>
  <si>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</si>
  <si>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</si>
  <si>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</si>
  <si>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</si>
  <si>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</si>
  <si>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</si>
  <si>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</si>
  <si>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</si>
  <si>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</si>
  <si>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</si>
  <si>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</si>
  <si>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</si>
  <si>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</si>
  <si>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</si>
  <si>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</si>
  <si>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</si>
  <si>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</si>
  <si>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</si>
  <si>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</si>
  <si>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</si>
  <si>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</si>
  <si>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</si>
  <si>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</si>
  <si>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</si>
  <si>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</si>
  <si>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</si>
  <si>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</si>
  <si>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</si>
  <si>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</si>
  <si>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</si>
  <si>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</si>
  <si>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</si>
  <si>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</si>
  <si>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</si>
  <si>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</si>
  <si>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</si>
  <si>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</si>
  <si>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</si>
  <si>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</si>
  <si>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</si>
  <si>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</si>
  <si>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</si>
  <si>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</si>
  <si>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</si>
  <si>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</si>
  <si>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</si>
  <si>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</si>
  <si>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</si>
  <si>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</si>
  <si>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</si>
  <si>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</si>
  <si>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</si>
  <si>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</si>
  <si>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</si>
  <si>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</si>
  <si>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</si>
  <si>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</si>
  <si>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</si>
  <si>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</si>
  <si>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</si>
  <si>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</si>
  <si>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</si>
  <si>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</si>
  <si>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</si>
  <si>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</si>
  <si>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</si>
  <si>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</si>
  <si>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</si>
  <si>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</si>
  <si>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</si>
  <si>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</si>
  <si>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</si>
  <si>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</si>
  <si>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135h</t>
  </si>
  <si>
    <t>12h45min</t>
  </si>
  <si>
    <t>- 122h15min</t>
  </si>
  <si>
    <t>Evaluation du Travail effectué</t>
  </si>
  <si>
    <t>Finition de l'application</t>
  </si>
  <si>
    <t>Test du projet</t>
  </si>
  <si>
    <t>Mise en commun de toutes les parties du projet</t>
  </si>
  <si>
    <t>Réalisation - Mise en commun du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</si>
</sst>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14" fontId="21" fillId="0" borderId="5" xfId="0" applyNumberFormat="1" applyFont="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c:v>
              </c:pt>
              <c:pt idx="21">
                <c:v>Documentation - Préparation à la présentation</c:v>
              </c:pt>
            </c:strLit>
          </c:cat>
          <c:val>
            <c:numLit>
              <c:formatCode>General</c:formatCode>
              <c:ptCount val="23"/>
              <c:pt idx="0">
                <c:v>3.75</c:v>
              </c:pt>
              <c:pt idx="1">
                <c:v>2.25</c:v>
              </c:pt>
              <c:pt idx="2">
                <c:v>0.75</c:v>
              </c:pt>
              <c:pt idx="3">
                <c:v>15.75</c:v>
              </c:pt>
              <c:pt idx="4">
                <c:v>1.5</c:v>
              </c:pt>
              <c:pt idx="5">
                <c:v>9.75</c:v>
              </c:pt>
              <c:pt idx="6">
                <c:v>3</c:v>
              </c:pt>
              <c:pt idx="7">
                <c:v>0</c:v>
              </c:pt>
              <c:pt idx="8">
                <c:v>6.75</c:v>
              </c:pt>
              <c:pt idx="9">
                <c:v>0</c:v>
              </c:pt>
              <c:pt idx="10">
                <c:v>6</c:v>
              </c:pt>
              <c:pt idx="11">
                <c:v>0</c:v>
              </c:pt>
              <c:pt idx="12">
                <c:v>16.5</c:v>
              </c:pt>
              <c:pt idx="13">
                <c:v>9</c:v>
              </c:pt>
              <c:pt idx="14">
                <c:v>19.5</c:v>
              </c:pt>
              <c:pt idx="15">
                <c:v>0</c:v>
              </c:pt>
              <c:pt idx="16">
                <c:v>0</c:v>
              </c:pt>
              <c:pt idx="17">
                <c:v>0</c:v>
              </c:pt>
              <c:pt idx="18">
                <c:v>3.75</c:v>
              </c:pt>
              <c:pt idx="19">
                <c:v>28.5</c:v>
              </c:pt>
              <c:pt idx="20">
                <c:v>1.5</c:v>
              </c:pt>
              <c:pt idx="21">
                <c:v>6.75</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3"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2" zoomScale="70" zoomScaleNormal="70" zoomScaleSheetLayoutView="43" workbookViewId="0">
      <selection activeCell="F93" sqref="F93:CSC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12" t="s">
        <v>29</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17" t="str">
        <f>E96</f>
        <v>130h30min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12h45min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198"/>
      <c r="MO10" s="198"/>
      <c r="MP10" s="198"/>
      <c r="MQ10" s="198"/>
      <c r="MR10" s="198"/>
      <c r="MS10" s="198"/>
      <c r="MT10" s="198"/>
      <c r="MU10" s="198"/>
      <c r="MV10" s="198"/>
      <c r="MW10" s="198"/>
      <c r="MX10" s="198"/>
      <c r="MY10" s="198"/>
      <c r="MZ10" s="198"/>
      <c r="NA10" s="198"/>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c r="RY10" s="198"/>
      <c r="RZ10" s="198"/>
      <c r="SA10" s="198"/>
      <c r="SB10" s="198"/>
      <c r="SC10" s="198"/>
      <c r="SD10" s="198"/>
      <c r="SE10" s="198"/>
      <c r="SF10" s="198"/>
      <c r="SG10" s="198"/>
      <c r="SH10" s="198"/>
      <c r="SI10" s="198"/>
      <c r="SJ10" s="198"/>
      <c r="SK10" s="198"/>
      <c r="SL10" s="198"/>
      <c r="SM10" s="198"/>
      <c r="SN10" s="198"/>
      <c r="SO10" s="198"/>
      <c r="SP10" s="198"/>
      <c r="SQ10" s="198"/>
      <c r="SR10" s="198"/>
      <c r="SS10" s="198"/>
      <c r="ST10" s="198"/>
      <c r="SU10" s="198"/>
      <c r="SV10" s="198"/>
      <c r="SW10" s="198"/>
      <c r="SX10" s="198"/>
      <c r="SY10" s="198"/>
      <c r="SZ10" s="198"/>
      <c r="TA10" s="198"/>
      <c r="TB10" s="198"/>
      <c r="TC10" s="198"/>
      <c r="TD10" s="198"/>
      <c r="TE10" s="198"/>
      <c r="TF10" s="198"/>
      <c r="TG10" s="198"/>
      <c r="TH10" s="198"/>
      <c r="TI10" s="198"/>
      <c r="TJ10" s="198"/>
      <c r="TK10" s="198"/>
      <c r="TL10" s="198"/>
      <c r="TM10" s="198"/>
      <c r="TN10" s="198"/>
      <c r="TO10" s="198"/>
      <c r="TP10" s="198"/>
      <c r="TQ10" s="198"/>
      <c r="TR10" s="198"/>
      <c r="TS10" s="198"/>
      <c r="TT10" s="198"/>
      <c r="TU10" s="198"/>
      <c r="TV10" s="198"/>
      <c r="TW10" s="198"/>
      <c r="TX10" s="198"/>
      <c r="TY10" s="198"/>
      <c r="TZ10" s="198"/>
      <c r="UA10" s="198"/>
      <c r="UB10" s="198"/>
      <c r="UC10" s="198"/>
      <c r="UD10" s="198"/>
      <c r="UE10" s="198"/>
      <c r="UF10" s="198"/>
      <c r="UG10" s="198"/>
      <c r="UH10" s="198"/>
      <c r="UI10" s="198"/>
      <c r="UJ10" s="198"/>
      <c r="UK10" s="198"/>
      <c r="UL10" s="198"/>
      <c r="UM10" s="198"/>
      <c r="UN10" s="198"/>
      <c r="UO10" s="198"/>
      <c r="UP10" s="198"/>
      <c r="UQ10" s="198"/>
      <c r="UR10" s="198"/>
      <c r="US10" s="198"/>
      <c r="UT10" s="198"/>
      <c r="UU10" s="198"/>
      <c r="UV10" s="198"/>
      <c r="UW10" s="198"/>
      <c r="UX10" s="198"/>
      <c r="UY10" s="198"/>
      <c r="UZ10" s="198"/>
      <c r="VA10" s="198"/>
      <c r="VB10" s="198"/>
      <c r="VC10" s="198"/>
      <c r="VD10" s="198"/>
      <c r="VE10" s="198"/>
      <c r="VF10" s="198"/>
      <c r="VG10" s="198"/>
      <c r="VH10" s="198"/>
      <c r="VI10" s="198"/>
      <c r="VJ10" s="198"/>
      <c r="VK10" s="198"/>
      <c r="VL10" s="198"/>
      <c r="VM10" s="198"/>
      <c r="VN10" s="198"/>
      <c r="VO10" s="198"/>
      <c r="VP10" s="198"/>
      <c r="VQ10" s="198"/>
      <c r="VR10" s="198"/>
      <c r="VS10" s="198"/>
      <c r="VT10" s="198"/>
      <c r="VU10" s="198"/>
      <c r="VV10" s="198"/>
      <c r="VW10" s="198"/>
      <c r="VX10" s="198"/>
      <c r="VY10" s="198"/>
      <c r="VZ10" s="198"/>
      <c r="WA10" s="198"/>
      <c r="WB10" s="198"/>
      <c r="WC10" s="198"/>
      <c r="WD10" s="198"/>
      <c r="WE10" s="198"/>
      <c r="WF10" s="198"/>
      <c r="WG10" s="198"/>
      <c r="WH10" s="198"/>
      <c r="WI10" s="198"/>
      <c r="WJ10" s="198"/>
      <c r="WK10" s="198"/>
      <c r="WL10" s="198"/>
      <c r="WM10" s="198"/>
      <c r="WN10" s="198"/>
      <c r="WO10" s="198"/>
      <c r="WP10" s="198"/>
      <c r="WQ10" s="198"/>
      <c r="WR10" s="198"/>
      <c r="WS10" s="198"/>
      <c r="WT10" s="198"/>
      <c r="WU10" s="198"/>
      <c r="WV10" s="198"/>
      <c r="WW10" s="198"/>
      <c r="WX10" s="198"/>
      <c r="WY10" s="198"/>
      <c r="WZ10" s="198"/>
      <c r="XA10" s="198"/>
      <c r="XB10" s="198"/>
      <c r="XC10" s="198"/>
      <c r="XD10" s="198"/>
      <c r="XE10" s="198"/>
      <c r="XF10" s="198"/>
      <c r="XG10" s="198"/>
      <c r="XH10" s="198"/>
      <c r="XI10" s="198"/>
      <c r="XJ10" s="198"/>
      <c r="XK10" s="198"/>
      <c r="XL10" s="198"/>
      <c r="XM10" s="198"/>
      <c r="XN10" s="198"/>
      <c r="XO10" s="198"/>
      <c r="XP10" s="198"/>
      <c r="XQ10" s="198"/>
      <c r="XR10" s="198"/>
      <c r="XS10" s="198"/>
      <c r="XT10" s="198"/>
      <c r="XU10" s="198"/>
      <c r="XV10" s="198"/>
      <c r="XW10" s="198"/>
      <c r="XX10" s="198"/>
      <c r="XY10" s="198"/>
      <c r="XZ10" s="198"/>
      <c r="YA10" s="198"/>
      <c r="YB10" s="198"/>
      <c r="YC10" s="198"/>
      <c r="YD10" s="198"/>
      <c r="YE10" s="198"/>
      <c r="YF10" s="198"/>
      <c r="YG10" s="198"/>
      <c r="YH10" s="198"/>
      <c r="YI10" s="198"/>
      <c r="YJ10" s="198"/>
      <c r="YK10" s="198"/>
      <c r="YL10" s="198"/>
      <c r="YM10" s="198"/>
      <c r="YN10" s="198"/>
      <c r="YO10" s="198"/>
      <c r="YP10" s="198"/>
      <c r="YQ10" s="198"/>
      <c r="YR10" s="198"/>
      <c r="YS10" s="198"/>
      <c r="YT10" s="198"/>
      <c r="YU10" s="198"/>
      <c r="YV10" s="198"/>
      <c r="YW10" s="198"/>
      <c r="YX10" s="198"/>
      <c r="YY10" s="198"/>
      <c r="YZ10" s="198"/>
      <c r="ZA10" s="198"/>
      <c r="ZB10" s="198"/>
      <c r="ZC10" s="198"/>
      <c r="ZD10" s="198"/>
      <c r="ZE10" s="198"/>
      <c r="ZF10" s="198"/>
      <c r="ZG10" s="198"/>
      <c r="ZH10" s="198"/>
      <c r="ZI10" s="198"/>
      <c r="ZJ10" s="198"/>
      <c r="ZK10" s="198"/>
      <c r="ZL10" s="198"/>
      <c r="ZM10" s="198"/>
      <c r="ZN10" s="198"/>
      <c r="ZO10" s="198"/>
      <c r="ZP10" s="198"/>
      <c r="ZQ10" s="198"/>
      <c r="ZR10" s="198"/>
      <c r="ZS10" s="198"/>
      <c r="ZT10" s="198"/>
      <c r="ZU10" s="198"/>
      <c r="ZV10" s="198"/>
      <c r="ZW10" s="198"/>
      <c r="ZX10" s="198"/>
      <c r="ZY10" s="198"/>
      <c r="ZZ10" s="198"/>
      <c r="AAA10" s="198"/>
      <c r="AAB10" s="198"/>
      <c r="AAC10" s="198"/>
      <c r="AAD10" s="198"/>
      <c r="AAE10" s="198"/>
      <c r="AAF10" s="198"/>
      <c r="AAG10" s="198"/>
      <c r="AAH10" s="198"/>
      <c r="AAI10" s="198"/>
      <c r="AAJ10" s="198"/>
      <c r="AAK10" s="198"/>
      <c r="AAL10" s="198"/>
      <c r="AAM10" s="198"/>
      <c r="AAN10" s="198"/>
      <c r="AAO10" s="198"/>
      <c r="AAP10" s="198"/>
      <c r="AAQ10" s="198"/>
      <c r="AAR10" s="198"/>
      <c r="AAS10" s="198"/>
      <c r="AAT10" s="198"/>
      <c r="AAU10" s="198"/>
      <c r="AAV10" s="198"/>
      <c r="AAW10" s="198"/>
      <c r="AAX10" s="198"/>
      <c r="AAY10" s="198"/>
      <c r="AAZ10" s="198"/>
      <c r="ABA10" s="198"/>
      <c r="ABB10" s="198"/>
      <c r="ABC10" s="198"/>
      <c r="ABD10" s="198"/>
      <c r="ABE10" s="198"/>
      <c r="ABF10" s="198"/>
      <c r="ABG10" s="198"/>
      <c r="ABH10" s="198"/>
      <c r="ABI10" s="198"/>
      <c r="ABJ10" s="198"/>
      <c r="ABK10" s="198"/>
      <c r="ABL10" s="198"/>
      <c r="ABM10" s="198"/>
      <c r="ABN10" s="198"/>
      <c r="ABO10" s="198"/>
      <c r="ABP10" s="198"/>
      <c r="ABQ10" s="198"/>
      <c r="ABR10" s="198"/>
      <c r="ABS10" s="198"/>
      <c r="ABT10" s="198"/>
      <c r="ABU10" s="198"/>
      <c r="ABV10" s="198"/>
      <c r="ABW10" s="198"/>
      <c r="ABX10" s="198"/>
      <c r="ABY10" s="198"/>
      <c r="ABZ10" s="198"/>
      <c r="ACA10" s="198"/>
      <c r="ACB10" s="198"/>
      <c r="ACC10" s="198"/>
      <c r="ACD10" s="198"/>
      <c r="ACE10" s="198"/>
      <c r="ACF10" s="198"/>
      <c r="ACG10" s="198"/>
      <c r="ACH10" s="198"/>
      <c r="ACI10" s="198"/>
      <c r="ACJ10" s="198"/>
      <c r="ACK10" s="198"/>
      <c r="ACL10" s="198"/>
      <c r="ACM10" s="198"/>
      <c r="ACN10" s="198"/>
      <c r="ACO10" s="198"/>
      <c r="ACP10" s="198"/>
      <c r="ACQ10" s="198"/>
      <c r="ACR10" s="198"/>
      <c r="ACS10" s="198"/>
      <c r="ACT10" s="198"/>
      <c r="ACU10" s="198"/>
      <c r="ACV10" s="198"/>
      <c r="ACW10" s="198"/>
      <c r="ACX10" s="198"/>
      <c r="ACY10" s="198"/>
      <c r="ACZ10" s="198"/>
      <c r="ADA10" s="198"/>
      <c r="ADB10" s="198"/>
      <c r="ADC10" s="198"/>
      <c r="ADD10" s="198"/>
      <c r="ADE10" s="198"/>
      <c r="ADF10" s="198"/>
      <c r="ADG10" s="198"/>
      <c r="ADH10" s="198"/>
      <c r="ADI10" s="198"/>
      <c r="ADJ10" s="198"/>
      <c r="ADK10" s="198"/>
      <c r="ADL10" s="198"/>
      <c r="ADM10" s="198"/>
      <c r="ADN10" s="198"/>
      <c r="ADO10" s="198"/>
      <c r="ADP10" s="198"/>
      <c r="ADQ10" s="198"/>
      <c r="ADR10" s="198"/>
      <c r="ADS10" s="198"/>
      <c r="ADT10" s="198"/>
      <c r="ADU10" s="198"/>
      <c r="ADV10" s="198"/>
      <c r="ADW10" s="198"/>
      <c r="ADX10" s="198"/>
      <c r="ADY10" s="198"/>
      <c r="ADZ10" s="198"/>
      <c r="AEA10" s="198"/>
      <c r="AEB10" s="198"/>
      <c r="AEC10" s="198"/>
      <c r="AED10" s="198"/>
      <c r="AEE10" s="198"/>
      <c r="AEF10" s="198"/>
      <c r="AEG10" s="198"/>
      <c r="AEH10" s="198"/>
      <c r="AEI10" s="198"/>
      <c r="AEJ10" s="198"/>
      <c r="AEK10" s="198"/>
      <c r="AEL10" s="198"/>
      <c r="AEM10" s="198"/>
      <c r="AEN10" s="198"/>
      <c r="AEO10" s="198"/>
      <c r="AEP10" s="198"/>
      <c r="AEQ10" s="198"/>
      <c r="AER10" s="198"/>
      <c r="AES10" s="198"/>
      <c r="AET10" s="198"/>
      <c r="AEU10" s="198"/>
      <c r="AEV10" s="198"/>
      <c r="AEW10" s="198"/>
      <c r="AEX10" s="198"/>
      <c r="AEY10" s="198"/>
      <c r="AEZ10" s="198"/>
      <c r="AFA10" s="198"/>
      <c r="AFB10" s="198"/>
      <c r="AFC10" s="198"/>
      <c r="AFD10" s="198"/>
      <c r="AFE10" s="198"/>
      <c r="AFF10" s="198"/>
      <c r="AFG10" s="198"/>
      <c r="AFH10" s="198"/>
      <c r="AFI10" s="198"/>
      <c r="AFJ10" s="198"/>
      <c r="AFK10" s="198"/>
      <c r="AFL10" s="198"/>
      <c r="AFM10" s="198"/>
      <c r="AFN10" s="198"/>
      <c r="AFO10" s="198"/>
      <c r="AFP10" s="198"/>
      <c r="AFQ10" s="198"/>
      <c r="AFR10" s="198"/>
      <c r="AFS10" s="198"/>
      <c r="AFT10" s="198"/>
      <c r="AFU10" s="198"/>
      <c r="AFV10" s="198"/>
      <c r="AFW10" s="198"/>
      <c r="AFX10" s="198"/>
      <c r="AFY10" s="198"/>
      <c r="AFZ10" s="198"/>
      <c r="AGA10" s="198"/>
      <c r="AGB10" s="198"/>
      <c r="AGC10" s="198"/>
      <c r="AGD10" s="198"/>
      <c r="AGE10" s="198"/>
      <c r="AGF10" s="198"/>
      <c r="AGG10" s="198"/>
      <c r="AGH10" s="198"/>
      <c r="AGI10" s="198"/>
      <c r="AGJ10" s="198"/>
      <c r="AGK10" s="198"/>
      <c r="AGL10" s="198"/>
      <c r="AGM10" s="198"/>
      <c r="AGN10" s="198"/>
      <c r="AGO10" s="198"/>
      <c r="AGP10" s="198"/>
      <c r="AGQ10" s="198"/>
      <c r="AGR10" s="198"/>
      <c r="AGS10" s="198"/>
      <c r="AGT10" s="198"/>
      <c r="AGU10" s="198"/>
      <c r="AGV10" s="198"/>
      <c r="AGW10" s="198"/>
      <c r="AGX10" s="198"/>
      <c r="AGY10" s="198"/>
      <c r="AGZ10" s="198"/>
      <c r="AHA10" s="198"/>
      <c r="AHB10" s="198"/>
      <c r="AHC10" s="198"/>
      <c r="AHD10" s="198"/>
      <c r="AHE10" s="198"/>
      <c r="AHF10" s="198"/>
      <c r="AHG10" s="198"/>
      <c r="AHH10" s="198"/>
      <c r="AHI10" s="198"/>
      <c r="AHJ10" s="198"/>
      <c r="AHK10" s="198"/>
      <c r="AHL10" s="198"/>
      <c r="AHM10" s="198"/>
      <c r="AHN10" s="198"/>
      <c r="AHO10" s="198"/>
      <c r="AHP10" s="198"/>
      <c r="AHQ10" s="198"/>
      <c r="AHR10" s="198"/>
      <c r="AHS10" s="198"/>
      <c r="AHT10" s="198"/>
      <c r="AHU10" s="198"/>
      <c r="AHV10" s="198"/>
      <c r="AHW10" s="198"/>
      <c r="AHX10" s="198"/>
      <c r="AHY10" s="198"/>
      <c r="AHZ10" s="198"/>
      <c r="AIA10" s="198"/>
      <c r="AIB10" s="198"/>
      <c r="AIC10" s="198"/>
      <c r="AID10" s="198"/>
      <c r="AIE10" s="198"/>
      <c r="AIF10" s="198"/>
      <c r="AIG10" s="198"/>
      <c r="AIH10" s="198"/>
      <c r="AII10" s="198"/>
      <c r="AIJ10" s="198"/>
      <c r="AIK10" s="198"/>
      <c r="AIL10" s="198"/>
      <c r="AIM10" s="198"/>
      <c r="AIN10" s="198"/>
      <c r="AIO10" s="198"/>
      <c r="AIP10" s="198"/>
      <c r="AIQ10" s="198"/>
      <c r="AIR10" s="198"/>
      <c r="AIS10" s="198"/>
      <c r="AIT10" s="198"/>
      <c r="AIU10" s="198"/>
      <c r="AIV10" s="198"/>
      <c r="AIW10" s="198"/>
      <c r="AIX10" s="198"/>
      <c r="AIY10" s="198"/>
      <c r="AIZ10" s="198"/>
      <c r="AJA10" s="198"/>
      <c r="AJB10" s="198"/>
      <c r="AJC10" s="198"/>
      <c r="AJD10" s="198"/>
      <c r="AJE10" s="198"/>
      <c r="AJF10" s="198"/>
      <c r="AJG10" s="198"/>
      <c r="AJH10" s="198"/>
      <c r="AJI10" s="198"/>
      <c r="AJJ10" s="198"/>
      <c r="AJK10" s="198"/>
      <c r="AJL10" s="198"/>
      <c r="AJM10" s="198"/>
      <c r="AJN10" s="198"/>
      <c r="AJO10" s="198"/>
      <c r="AJP10" s="198"/>
      <c r="AJQ10" s="198"/>
      <c r="AJR10" s="198"/>
      <c r="AJS10" s="198"/>
      <c r="AJT10" s="198"/>
      <c r="AJU10" s="198"/>
      <c r="AJV10" s="198"/>
      <c r="AJW10" s="198"/>
      <c r="AJX10" s="198"/>
      <c r="AJY10" s="198"/>
      <c r="AJZ10" s="198"/>
      <c r="AKA10" s="198"/>
      <c r="AKB10" s="198"/>
      <c r="AKC10" s="198"/>
      <c r="AKD10" s="198"/>
      <c r="AKE10" s="198"/>
      <c r="AKF10" s="198"/>
      <c r="AKG10" s="198"/>
      <c r="AKH10" s="198"/>
      <c r="AKI10" s="198"/>
      <c r="AKJ10" s="198"/>
      <c r="AKK10" s="198"/>
      <c r="AKL10" s="198"/>
      <c r="AKM10" s="198"/>
      <c r="AKN10" s="198"/>
      <c r="AKO10" s="198"/>
      <c r="AKP10" s="198"/>
      <c r="AKQ10" s="198"/>
      <c r="AKR10" s="198"/>
      <c r="AKS10" s="198"/>
      <c r="AKT10" s="198"/>
      <c r="AKU10" s="198"/>
      <c r="AKV10" s="198"/>
      <c r="AKW10" s="198"/>
      <c r="AKX10" s="198"/>
      <c r="AKY10" s="198"/>
      <c r="AKZ10" s="198"/>
      <c r="ALA10" s="198"/>
      <c r="ALB10" s="198"/>
      <c r="ALC10" s="198"/>
      <c r="ALD10" s="198"/>
      <c r="ALE10" s="198"/>
      <c r="ALF10" s="198"/>
      <c r="ALG10" s="198"/>
      <c r="ALH10" s="198"/>
      <c r="ALI10" s="198"/>
      <c r="ALJ10" s="198"/>
      <c r="ALK10" s="198"/>
      <c r="ALL10" s="198"/>
      <c r="ALM10" s="198"/>
      <c r="ALN10" s="198"/>
      <c r="ALO10" s="198"/>
      <c r="ALP10" s="198"/>
      <c r="ALQ10" s="198"/>
      <c r="ALR10" s="198"/>
      <c r="ALS10" s="198"/>
      <c r="ALT10" s="198"/>
      <c r="ALU10" s="198"/>
      <c r="ALV10" s="198"/>
      <c r="ALW10" s="198"/>
      <c r="ALX10" s="198"/>
      <c r="ALY10" s="198"/>
      <c r="ALZ10" s="198"/>
      <c r="AMA10" s="198"/>
      <c r="AMB10" s="198"/>
      <c r="AMC10" s="198"/>
      <c r="AMD10" s="198"/>
      <c r="AME10" s="198"/>
      <c r="AMF10" s="198"/>
      <c r="AMG10" s="198"/>
      <c r="AMH10" s="198"/>
      <c r="AMI10" s="198"/>
      <c r="AMJ10" s="198"/>
      <c r="AMK10" s="198"/>
      <c r="AML10" s="198"/>
      <c r="AMM10" s="198"/>
      <c r="AMN10" s="198"/>
      <c r="AMO10" s="198"/>
      <c r="AMP10" s="198"/>
      <c r="AMQ10" s="198"/>
      <c r="AMR10" s="198"/>
      <c r="AMS10" s="198"/>
      <c r="AMT10" s="198"/>
      <c r="AMU10" s="198"/>
      <c r="AMV10" s="198"/>
      <c r="AMW10" s="198"/>
      <c r="AMX10" s="198"/>
      <c r="AMY10" s="198"/>
      <c r="AMZ10" s="198"/>
      <c r="ANA10" s="198"/>
      <c r="ANB10" s="198"/>
      <c r="ANC10" s="198"/>
      <c r="AND10" s="198"/>
      <c r="ANE10" s="198"/>
      <c r="ANF10" s="198"/>
      <c r="ANG10" s="198"/>
      <c r="ANH10" s="198"/>
      <c r="ANI10" s="198"/>
      <c r="ANJ10" s="198"/>
      <c r="ANK10" s="198"/>
      <c r="ANL10" s="198"/>
      <c r="ANM10" s="198"/>
      <c r="ANN10" s="198"/>
      <c r="ANO10" s="198"/>
      <c r="ANP10" s="198"/>
      <c r="ANQ10" s="198"/>
      <c r="ANR10" s="198"/>
      <c r="ANS10" s="198"/>
      <c r="ANT10" s="198"/>
      <c r="ANU10" s="198"/>
      <c r="ANV10" s="198"/>
      <c r="ANW10" s="198"/>
      <c r="ANX10" s="198"/>
      <c r="ANY10" s="198"/>
      <c r="ANZ10" s="198"/>
      <c r="AOA10" s="198"/>
      <c r="AOB10" s="198"/>
      <c r="AOC10" s="198"/>
      <c r="AOD10" s="198"/>
      <c r="AOE10" s="198"/>
      <c r="AOF10" s="198"/>
      <c r="AOG10" s="198"/>
      <c r="AOH10" s="198"/>
      <c r="AOI10" s="198"/>
      <c r="AOJ10" s="198"/>
      <c r="AOK10" s="198"/>
      <c r="AOL10" s="198"/>
      <c r="AOM10" s="198"/>
      <c r="AON10" s="198"/>
      <c r="AOO10" s="198"/>
      <c r="AOP10" s="198"/>
      <c r="AOQ10" s="198"/>
      <c r="AOR10" s="198"/>
      <c r="AOS10" s="198"/>
      <c r="AOT10" s="198"/>
      <c r="AOU10" s="198"/>
      <c r="AOV10" s="198"/>
      <c r="AOW10" s="198"/>
      <c r="AOX10" s="198"/>
      <c r="AOY10" s="198"/>
      <c r="AOZ10" s="198"/>
      <c r="APA10" s="198"/>
      <c r="APB10" s="198"/>
      <c r="APC10" s="198"/>
      <c r="APD10" s="198"/>
      <c r="APE10" s="198"/>
      <c r="APF10" s="198"/>
      <c r="APG10" s="198"/>
      <c r="APH10" s="198"/>
      <c r="API10" s="198"/>
      <c r="APJ10" s="198"/>
      <c r="APK10" s="198"/>
      <c r="APL10" s="198"/>
      <c r="APM10" s="198"/>
      <c r="APN10" s="198"/>
      <c r="APO10" s="198"/>
      <c r="APP10" s="198"/>
      <c r="APQ10" s="198"/>
      <c r="APR10" s="198"/>
      <c r="APS10" s="198"/>
      <c r="APT10" s="198"/>
      <c r="APU10" s="198"/>
      <c r="APV10" s="198"/>
      <c r="APW10" s="198"/>
      <c r="APX10" s="198"/>
      <c r="APY10" s="198"/>
      <c r="APZ10" s="198"/>
      <c r="AQA10" s="198"/>
      <c r="AQB10" s="198"/>
      <c r="AQC10" s="198"/>
      <c r="AQD10" s="198"/>
      <c r="AQE10" s="198"/>
      <c r="AQF10" s="198"/>
      <c r="AQG10" s="198"/>
      <c r="AQH10" s="198"/>
      <c r="AQI10" s="198"/>
      <c r="AQJ10" s="198"/>
      <c r="AQK10" s="198"/>
      <c r="AQL10" s="198"/>
      <c r="AQM10" s="198"/>
      <c r="AQN10" s="198"/>
      <c r="AQO10" s="198"/>
      <c r="AQP10" s="198"/>
      <c r="AQQ10" s="198"/>
      <c r="AQR10" s="198"/>
      <c r="AQS10" s="198"/>
      <c r="AQT10" s="198"/>
      <c r="AQU10" s="198"/>
      <c r="AQV10" s="198"/>
      <c r="AQW10" s="198"/>
      <c r="AQX10" s="198"/>
      <c r="AQY10" s="198"/>
      <c r="AQZ10" s="198"/>
      <c r="ARA10" s="198"/>
      <c r="ARB10" s="198"/>
      <c r="ARC10" s="198"/>
      <c r="ARD10" s="198"/>
      <c r="ARE10" s="198"/>
      <c r="ARF10" s="198"/>
      <c r="ARG10" s="198"/>
      <c r="ARH10" s="198"/>
      <c r="ARI10" s="198"/>
      <c r="ARJ10" s="198"/>
      <c r="ARK10" s="198"/>
      <c r="ARL10" s="198"/>
      <c r="ARM10" s="198"/>
      <c r="ARN10" s="198"/>
      <c r="ARO10" s="198"/>
      <c r="ARP10" s="198"/>
      <c r="ARQ10" s="198"/>
      <c r="ARR10" s="198"/>
      <c r="ARS10" s="198"/>
      <c r="ART10" s="198"/>
      <c r="ARU10" s="198"/>
      <c r="ARV10" s="198"/>
      <c r="ARW10" s="198"/>
      <c r="ARX10" s="198"/>
      <c r="ARY10" s="198"/>
      <c r="ARZ10" s="198"/>
      <c r="ASA10" s="198"/>
      <c r="ASB10" s="198"/>
      <c r="ASC10" s="198"/>
      <c r="ASD10" s="198"/>
      <c r="ASE10" s="198"/>
      <c r="ASF10" s="198"/>
      <c r="ASG10" s="198"/>
      <c r="ASH10" s="198"/>
      <c r="ASI10" s="198"/>
      <c r="ASJ10" s="198"/>
      <c r="ASK10" s="198"/>
      <c r="ASL10" s="198"/>
      <c r="ASM10" s="198"/>
      <c r="ASN10" s="198"/>
      <c r="ASO10" s="198"/>
      <c r="ASP10" s="198"/>
      <c r="ASQ10" s="198"/>
      <c r="ASR10" s="198"/>
      <c r="ASS10" s="198"/>
      <c r="AST10" s="198"/>
      <c r="ASU10" s="198"/>
      <c r="ASV10" s="198"/>
      <c r="ASW10" s="198"/>
      <c r="ASX10" s="198"/>
      <c r="ASY10" s="198"/>
      <c r="ASZ10" s="198"/>
      <c r="ATA10" s="198"/>
      <c r="ATB10" s="198"/>
      <c r="ATC10" s="198"/>
      <c r="ATD10" s="198"/>
      <c r="ATE10" s="198"/>
      <c r="ATF10" s="198"/>
      <c r="ATG10" s="198"/>
      <c r="ATH10" s="198"/>
      <c r="ATI10" s="198"/>
      <c r="ATJ10" s="198"/>
      <c r="ATK10" s="198"/>
      <c r="ATL10" s="198"/>
      <c r="ATM10" s="198"/>
      <c r="ATN10" s="198"/>
      <c r="ATO10" s="198"/>
      <c r="ATP10" s="198"/>
      <c r="ATQ10" s="198"/>
      <c r="ATR10" s="198"/>
      <c r="ATS10" s="198"/>
      <c r="ATT10" s="198"/>
      <c r="ATU10" s="198"/>
      <c r="ATV10" s="198"/>
      <c r="ATW10" s="198"/>
      <c r="ATX10" s="198"/>
      <c r="ATY10" s="198"/>
      <c r="ATZ10" s="198"/>
      <c r="AUA10" s="198"/>
      <c r="AUB10" s="198"/>
      <c r="AUC10" s="198"/>
      <c r="AUD10" s="198"/>
      <c r="AUE10" s="198"/>
      <c r="AUF10" s="198"/>
      <c r="AUG10" s="198"/>
      <c r="AUH10" s="198"/>
      <c r="AUI10" s="198"/>
      <c r="AUJ10" s="198"/>
      <c r="AUK10" s="198"/>
      <c r="AUL10" s="198"/>
      <c r="AUM10" s="198"/>
      <c r="AUN10" s="198"/>
      <c r="AUO10" s="198"/>
      <c r="AUP10" s="198"/>
      <c r="AUQ10" s="198"/>
      <c r="AUR10" s="198"/>
      <c r="AUS10" s="198"/>
      <c r="AUT10" s="198"/>
      <c r="AUU10" s="198"/>
      <c r="AUV10" s="198"/>
      <c r="AUW10" s="198"/>
      <c r="AUX10" s="198"/>
      <c r="AUY10" s="198"/>
      <c r="AUZ10" s="198"/>
      <c r="AVA10" s="198"/>
      <c r="AVB10" s="198"/>
      <c r="AVC10" s="198"/>
      <c r="AVD10" s="198"/>
      <c r="AVE10" s="198"/>
      <c r="AVF10" s="198"/>
      <c r="AVG10" s="198"/>
      <c r="AVH10" s="198"/>
      <c r="AVI10" s="198"/>
      <c r="AVJ10" s="198"/>
      <c r="AVK10" s="198"/>
      <c r="AVL10" s="198"/>
      <c r="AVM10" s="198"/>
      <c r="AVN10" s="198"/>
      <c r="AVO10" s="198"/>
      <c r="AVP10" s="198"/>
      <c r="AVQ10" s="198"/>
      <c r="AVR10" s="198"/>
      <c r="AVS10" s="198"/>
      <c r="AVT10" s="198"/>
      <c r="AVU10" s="198"/>
      <c r="AVV10" s="198"/>
      <c r="AVW10" s="198"/>
      <c r="AVX10" s="198"/>
      <c r="AVY10" s="198"/>
      <c r="AVZ10" s="198"/>
      <c r="AWA10" s="198"/>
      <c r="AWB10" s="198"/>
      <c r="AWC10" s="198"/>
      <c r="AWD10" s="198"/>
      <c r="AWE10" s="198"/>
      <c r="AWF10" s="198"/>
      <c r="AWG10" s="198"/>
      <c r="AWH10" s="198"/>
      <c r="AWI10" s="198"/>
      <c r="AWJ10" s="198"/>
      <c r="AWK10" s="198"/>
      <c r="AWL10" s="198"/>
      <c r="AWM10" s="198"/>
      <c r="AWN10" s="198"/>
      <c r="AWO10" s="198"/>
      <c r="AWP10" s="198"/>
      <c r="AWQ10" s="198"/>
      <c r="AWR10" s="198"/>
      <c r="AWS10" s="198"/>
      <c r="AWT10" s="198"/>
      <c r="AWU10" s="198"/>
      <c r="AWV10" s="198"/>
      <c r="AWW10" s="198"/>
      <c r="AWX10" s="198"/>
      <c r="AWY10" s="198"/>
      <c r="AWZ10" s="198"/>
      <c r="AXA10" s="198"/>
      <c r="AXB10" s="198"/>
      <c r="AXC10" s="198"/>
      <c r="AXD10" s="198"/>
      <c r="AXE10" s="198"/>
      <c r="AXF10" s="198"/>
      <c r="AXG10" s="198"/>
      <c r="AXH10" s="198"/>
      <c r="AXI10" s="198"/>
      <c r="AXJ10" s="198"/>
      <c r="AXK10" s="198"/>
      <c r="AXL10" s="198"/>
      <c r="AXM10" s="198"/>
      <c r="AXN10" s="198"/>
      <c r="AXO10" s="198"/>
      <c r="AXP10" s="198"/>
      <c r="AXQ10" s="198"/>
      <c r="AXR10" s="198"/>
      <c r="AXS10" s="198"/>
      <c r="AXT10" s="198"/>
      <c r="AXU10" s="198"/>
      <c r="AXV10" s="198"/>
      <c r="AXW10" s="198"/>
      <c r="AXX10" s="198"/>
      <c r="AXY10" s="198"/>
      <c r="AXZ10" s="198"/>
      <c r="AYA10" s="198"/>
      <c r="AYB10" s="198"/>
      <c r="AYC10" s="198"/>
      <c r="AYD10" s="198"/>
      <c r="AYE10" s="198"/>
      <c r="AYF10" s="198"/>
      <c r="AYG10" s="198"/>
      <c r="AYH10" s="198"/>
      <c r="AYI10" s="198"/>
      <c r="AYJ10" s="198"/>
      <c r="AYK10" s="198"/>
      <c r="AYL10" s="198"/>
      <c r="AYM10" s="198"/>
      <c r="AYN10" s="198"/>
      <c r="AYO10" s="198"/>
      <c r="AYP10" s="198"/>
      <c r="AYQ10" s="198"/>
      <c r="AYR10" s="198"/>
      <c r="AYS10" s="198"/>
      <c r="AYT10" s="198"/>
      <c r="AYU10" s="198"/>
      <c r="AYV10" s="198"/>
      <c r="AYW10" s="198"/>
      <c r="AYX10" s="198"/>
      <c r="AYY10" s="198"/>
      <c r="AYZ10" s="198"/>
      <c r="AZA10" s="198"/>
      <c r="AZB10" s="198"/>
      <c r="AZC10" s="198"/>
      <c r="AZD10" s="198"/>
      <c r="AZE10" s="198"/>
      <c r="AZF10" s="198"/>
      <c r="AZG10" s="198"/>
      <c r="AZH10" s="198"/>
      <c r="AZI10" s="198"/>
      <c r="AZJ10" s="198"/>
      <c r="AZK10" s="198"/>
      <c r="AZL10" s="198"/>
      <c r="AZM10" s="198"/>
      <c r="AZN10" s="198"/>
      <c r="AZO10" s="198"/>
      <c r="AZP10" s="198"/>
      <c r="AZQ10" s="198"/>
      <c r="AZR10" s="198"/>
      <c r="AZS10" s="198"/>
      <c r="AZT10" s="198"/>
      <c r="AZU10" s="198"/>
      <c r="AZV10" s="198"/>
      <c r="AZW10" s="198"/>
      <c r="AZX10" s="198"/>
      <c r="AZY10" s="198"/>
      <c r="AZZ10" s="198"/>
      <c r="BAA10" s="198"/>
      <c r="BAB10" s="198"/>
      <c r="BAC10" s="198"/>
      <c r="BAD10" s="198"/>
      <c r="BAE10" s="198"/>
      <c r="BAF10" s="198"/>
      <c r="BAG10" s="198"/>
      <c r="BAH10" s="198"/>
      <c r="BAI10" s="198"/>
      <c r="BAJ10" s="198"/>
      <c r="BAK10" s="198"/>
      <c r="BAL10" s="198"/>
      <c r="BAM10" s="198"/>
      <c r="BAN10" s="198"/>
      <c r="BAO10" s="198"/>
      <c r="BAP10" s="198"/>
      <c r="BAQ10" s="198"/>
      <c r="BAR10" s="198"/>
      <c r="BAS10" s="198"/>
      <c r="BAT10" s="198"/>
      <c r="BAU10" s="198"/>
      <c r="BAV10" s="198"/>
      <c r="BAW10" s="198"/>
      <c r="BAX10" s="198"/>
      <c r="BAY10" s="198"/>
      <c r="BAZ10" s="198"/>
      <c r="BBA10" s="198"/>
      <c r="BBB10" s="198"/>
      <c r="BBC10" s="198"/>
      <c r="BBD10" s="198"/>
      <c r="BBE10" s="198"/>
      <c r="BBF10" s="198"/>
      <c r="BBG10" s="198"/>
      <c r="BBH10" s="198"/>
      <c r="BBI10" s="198"/>
      <c r="BBJ10" s="198"/>
      <c r="BBK10" s="198"/>
      <c r="BBL10" s="198"/>
      <c r="BBM10" s="198"/>
      <c r="BBN10" s="198"/>
      <c r="BBO10" s="198"/>
      <c r="BBP10" s="198"/>
      <c r="BBQ10" s="198"/>
      <c r="BBR10" s="198"/>
      <c r="BBS10" s="198"/>
      <c r="BBT10" s="198"/>
      <c r="BBU10" s="198"/>
      <c r="BBV10" s="198"/>
      <c r="BBW10" s="198"/>
      <c r="BBX10" s="198"/>
      <c r="BBY10" s="198"/>
      <c r="BBZ10" s="198"/>
      <c r="BCA10" s="198"/>
      <c r="BCB10" s="198"/>
      <c r="BCC10" s="198"/>
      <c r="BCD10" s="198"/>
      <c r="BCE10" s="198"/>
      <c r="BCF10" s="198"/>
      <c r="BCG10" s="198"/>
      <c r="BCH10" s="198"/>
      <c r="BCI10" s="198"/>
      <c r="BCJ10" s="198"/>
      <c r="BCK10" s="198"/>
      <c r="BCL10" s="198"/>
      <c r="BCM10" s="198"/>
      <c r="BCN10" s="198"/>
      <c r="BCO10" s="198"/>
      <c r="BCP10" s="198"/>
      <c r="BCQ10" s="198"/>
      <c r="BCR10" s="198"/>
      <c r="BCS10" s="198"/>
      <c r="BCT10" s="198"/>
      <c r="BCU10" s="198"/>
      <c r="BCV10" s="198"/>
      <c r="BCW10" s="198"/>
      <c r="BCX10" s="198"/>
      <c r="BCY10" s="198"/>
      <c r="BCZ10" s="198"/>
      <c r="BDA10" s="198"/>
      <c r="BDB10" s="198"/>
      <c r="BDC10" s="198"/>
      <c r="BDD10" s="198"/>
      <c r="BDE10" s="198"/>
      <c r="BDF10" s="198"/>
      <c r="BDG10" s="198"/>
      <c r="BDH10" s="198"/>
      <c r="BDI10" s="198"/>
      <c r="BDJ10" s="198"/>
      <c r="BDK10" s="198"/>
      <c r="BDL10" s="198"/>
      <c r="BDM10" s="198"/>
      <c r="BDN10" s="198"/>
      <c r="BDO10" s="198"/>
      <c r="BDP10" s="198"/>
      <c r="BDQ10" s="198"/>
      <c r="BDR10" s="198"/>
      <c r="BDS10" s="198"/>
      <c r="BDT10" s="198"/>
      <c r="BDU10" s="198"/>
      <c r="BDV10" s="198"/>
      <c r="BDW10" s="198"/>
      <c r="BDX10" s="198"/>
      <c r="BDY10" s="198"/>
      <c r="BDZ10" s="198"/>
      <c r="BEA10" s="198"/>
      <c r="BEB10" s="198"/>
      <c r="BEC10" s="198"/>
      <c r="BED10" s="198"/>
      <c r="BEE10" s="198"/>
      <c r="BEF10" s="198"/>
      <c r="BEG10" s="198"/>
      <c r="BEH10" s="198"/>
      <c r="BEI10" s="198"/>
      <c r="BEJ10" s="198"/>
      <c r="BEK10" s="198"/>
      <c r="BEL10" s="198"/>
      <c r="BEM10" s="198"/>
      <c r="BEN10" s="198"/>
      <c r="BEO10" s="198"/>
      <c r="BEP10" s="198"/>
      <c r="BEQ10" s="198"/>
      <c r="BER10" s="198"/>
      <c r="BES10" s="198"/>
      <c r="BET10" s="198"/>
      <c r="BEU10" s="198"/>
      <c r="BEV10" s="198"/>
      <c r="BEW10" s="198"/>
      <c r="BEX10" s="198"/>
      <c r="BEY10" s="198"/>
      <c r="BEZ10" s="198"/>
      <c r="BFA10" s="198"/>
      <c r="BFB10" s="198"/>
      <c r="BFC10" s="198"/>
      <c r="BFD10" s="198"/>
      <c r="BFE10" s="198"/>
      <c r="BFF10" s="198"/>
      <c r="BFG10" s="198"/>
      <c r="BFH10" s="198"/>
      <c r="BFI10" s="198"/>
      <c r="BFJ10" s="198"/>
      <c r="BFK10" s="198"/>
      <c r="BFL10" s="198"/>
      <c r="BFM10" s="198"/>
      <c r="BFN10" s="198"/>
      <c r="BFO10" s="198"/>
      <c r="BFP10" s="198"/>
      <c r="BFQ10" s="198"/>
      <c r="BFR10" s="198"/>
      <c r="BFS10" s="198"/>
      <c r="BFT10" s="198"/>
      <c r="BFU10" s="198"/>
      <c r="BFV10" s="198"/>
      <c r="BFW10" s="198"/>
      <c r="BFX10" s="198"/>
      <c r="BFY10" s="198"/>
      <c r="BFZ10" s="198"/>
      <c r="BGA10" s="198"/>
      <c r="BGB10" s="198"/>
      <c r="BGC10" s="198"/>
      <c r="BGD10" s="198"/>
      <c r="BGE10" s="198"/>
      <c r="BGF10" s="198"/>
      <c r="BGG10" s="198"/>
      <c r="BGH10" s="198"/>
      <c r="BGI10" s="198"/>
      <c r="BGJ10" s="198"/>
      <c r="BGK10" s="198"/>
      <c r="BGL10" s="198"/>
      <c r="BGM10" s="198"/>
      <c r="BGN10" s="198"/>
      <c r="BGO10" s="198"/>
      <c r="BGP10" s="198"/>
      <c r="BGQ10" s="198"/>
      <c r="BGR10" s="198"/>
      <c r="BGS10" s="198"/>
      <c r="BGT10" s="198"/>
      <c r="BGU10" s="198"/>
      <c r="BGV10" s="198"/>
      <c r="BGW10" s="198"/>
      <c r="BGX10" s="198"/>
      <c r="BGY10" s="198"/>
      <c r="BGZ10" s="198"/>
      <c r="BHA10" s="198"/>
      <c r="BHB10" s="198"/>
      <c r="BHC10" s="198"/>
      <c r="BHD10" s="198"/>
      <c r="BHE10" s="198"/>
      <c r="BHF10" s="198"/>
      <c r="BHG10" s="198"/>
      <c r="BHH10" s="198"/>
      <c r="BHI10" s="198"/>
      <c r="BHJ10" s="198"/>
      <c r="BHK10" s="198"/>
      <c r="BHL10" s="198"/>
      <c r="BHM10" s="198"/>
      <c r="BHN10" s="198"/>
      <c r="BHO10" s="198"/>
      <c r="BHP10" s="198"/>
      <c r="BHQ10" s="198"/>
      <c r="BHR10" s="198"/>
      <c r="BHS10" s="198"/>
      <c r="BHT10" s="198"/>
      <c r="BHU10" s="198"/>
      <c r="BHV10" s="198"/>
      <c r="BHW10" s="198"/>
      <c r="BHX10" s="198"/>
      <c r="BHY10" s="198"/>
      <c r="BHZ10" s="198"/>
      <c r="BIA10" s="198"/>
      <c r="BIB10" s="198"/>
      <c r="BIC10" s="198"/>
      <c r="BID10" s="198"/>
      <c r="BIE10" s="198"/>
      <c r="BIF10" s="198"/>
      <c r="BIG10" s="198"/>
      <c r="BIH10" s="198"/>
      <c r="BII10" s="198"/>
      <c r="BIJ10" s="198"/>
      <c r="BIK10" s="198"/>
      <c r="BIL10" s="198"/>
      <c r="BIM10" s="198"/>
      <c r="BIN10" s="198"/>
      <c r="BIO10" s="198"/>
      <c r="BIP10" s="198"/>
      <c r="BIQ10" s="198"/>
      <c r="BIR10" s="198"/>
      <c r="BIS10" s="198"/>
      <c r="BIT10" s="198"/>
      <c r="BIU10" s="198"/>
      <c r="BIV10" s="198"/>
      <c r="BIW10" s="198"/>
      <c r="BIX10" s="198"/>
      <c r="BIY10" s="198"/>
      <c r="BIZ10" s="198"/>
      <c r="BJA10" s="198"/>
      <c r="BJB10" s="198"/>
      <c r="BJC10" s="198"/>
      <c r="BJD10" s="198"/>
      <c r="BJE10" s="198"/>
      <c r="BJF10" s="198"/>
      <c r="BJG10" s="198"/>
      <c r="BJH10" s="198"/>
      <c r="BJI10" s="198"/>
      <c r="BJJ10" s="198"/>
      <c r="BJK10" s="198"/>
      <c r="BJL10" s="198"/>
      <c r="BJM10" s="198"/>
      <c r="BJN10" s="198"/>
      <c r="BJO10" s="198"/>
      <c r="BJP10" s="198"/>
      <c r="BJQ10" s="198"/>
      <c r="BJR10" s="198"/>
      <c r="BJS10" s="198"/>
      <c r="BJT10" s="198"/>
      <c r="BJU10" s="198"/>
      <c r="BJV10" s="198"/>
      <c r="BJW10" s="198"/>
      <c r="BJX10" s="198"/>
      <c r="BJY10" s="198"/>
      <c r="BJZ10" s="198"/>
      <c r="BKA10" s="198"/>
      <c r="BKB10" s="198"/>
      <c r="BKC10" s="198"/>
      <c r="BKD10" s="198"/>
      <c r="BKE10" s="198"/>
      <c r="BKF10" s="198"/>
      <c r="BKG10" s="198"/>
      <c r="BKH10" s="198"/>
      <c r="BKI10" s="198"/>
      <c r="BKJ10" s="198"/>
      <c r="BKK10" s="198"/>
      <c r="BKL10" s="198"/>
      <c r="BKM10" s="198"/>
      <c r="BKN10" s="198"/>
      <c r="BKO10" s="198"/>
      <c r="BKP10" s="198"/>
      <c r="BKQ10" s="198"/>
      <c r="BKR10" s="198"/>
      <c r="BKS10" s="198"/>
      <c r="BKT10" s="198"/>
      <c r="BKU10" s="198"/>
      <c r="BKV10" s="198"/>
      <c r="BKW10" s="198"/>
      <c r="BKX10" s="198"/>
      <c r="BKY10" s="198"/>
      <c r="BKZ10" s="198"/>
      <c r="BLA10" s="198"/>
      <c r="BLB10" s="198"/>
      <c r="BLC10" s="198"/>
      <c r="BLD10" s="198"/>
      <c r="BLE10" s="198"/>
      <c r="BLF10" s="198"/>
      <c r="BLG10" s="198"/>
      <c r="BLH10" s="198"/>
      <c r="BLI10" s="198"/>
      <c r="BLJ10" s="198"/>
      <c r="BLK10" s="198"/>
      <c r="BLL10" s="198"/>
      <c r="BLM10" s="198"/>
      <c r="BLN10" s="198"/>
      <c r="BLO10" s="198"/>
      <c r="BLP10" s="198"/>
      <c r="BLQ10" s="198"/>
      <c r="BLR10" s="198"/>
      <c r="BLS10" s="198"/>
      <c r="BLT10" s="198"/>
      <c r="BLU10" s="198"/>
      <c r="BLV10" s="198"/>
      <c r="BLW10" s="198"/>
      <c r="BLX10" s="198"/>
      <c r="BLY10" s="198"/>
      <c r="BLZ10" s="198"/>
      <c r="BMA10" s="198"/>
      <c r="BMB10" s="198"/>
      <c r="BMC10" s="198"/>
      <c r="BMD10" s="198"/>
      <c r="BME10" s="198"/>
      <c r="BMF10" s="198"/>
      <c r="BMG10" s="198"/>
      <c r="BMH10" s="198"/>
      <c r="BMI10" s="198"/>
      <c r="BMJ10" s="198"/>
      <c r="BMK10" s="198"/>
      <c r="BML10" s="198"/>
      <c r="BMM10" s="198"/>
      <c r="BMN10" s="198"/>
      <c r="BMO10" s="198"/>
      <c r="BMP10" s="198"/>
      <c r="BMQ10" s="198"/>
      <c r="BMR10" s="198"/>
      <c r="BMS10" s="198"/>
      <c r="BMT10" s="198"/>
      <c r="BMU10" s="198"/>
      <c r="BMV10" s="198"/>
      <c r="BMW10" s="198"/>
      <c r="BMX10" s="198"/>
      <c r="BMY10" s="198"/>
      <c r="BMZ10" s="198"/>
      <c r="BNA10" s="198"/>
      <c r="BNB10" s="198"/>
      <c r="BNC10" s="198"/>
      <c r="BND10" s="198"/>
      <c r="BNE10" s="198"/>
      <c r="BNF10" s="198"/>
      <c r="BNG10" s="198"/>
      <c r="BNH10" s="198"/>
      <c r="BNI10" s="198"/>
      <c r="BNJ10" s="198"/>
      <c r="BNK10" s="198"/>
      <c r="BNL10" s="198"/>
      <c r="BNM10" s="198"/>
      <c r="BNN10" s="198"/>
      <c r="BNO10" s="198"/>
      <c r="BNP10" s="198"/>
      <c r="BNQ10" s="198"/>
      <c r="BNR10" s="198"/>
      <c r="BNS10" s="198"/>
      <c r="BNT10" s="198"/>
      <c r="BNU10" s="198"/>
      <c r="BNV10" s="198"/>
      <c r="BNW10" s="198"/>
      <c r="BNX10" s="198"/>
      <c r="BNY10" s="198"/>
      <c r="BNZ10" s="198"/>
      <c r="BOA10" s="198"/>
      <c r="BOB10" s="198"/>
      <c r="BOC10" s="198"/>
      <c r="BOD10" s="198"/>
      <c r="BOE10" s="198"/>
      <c r="BOF10" s="198"/>
      <c r="BOG10" s="198"/>
      <c r="BOH10" s="198"/>
      <c r="BOI10" s="198"/>
      <c r="BOJ10" s="198"/>
      <c r="BOK10" s="198"/>
      <c r="BOL10" s="198"/>
      <c r="BOM10" s="198"/>
      <c r="BON10" s="198"/>
      <c r="BOO10" s="198"/>
      <c r="BOP10" s="198"/>
      <c r="BOQ10" s="198"/>
      <c r="BOR10" s="198"/>
      <c r="BOS10" s="198"/>
      <c r="BOT10" s="198"/>
      <c r="BOU10" s="198"/>
      <c r="BOV10" s="198"/>
      <c r="BOW10" s="198"/>
      <c r="BOX10" s="198"/>
      <c r="BOY10" s="198"/>
      <c r="BOZ10" s="198"/>
      <c r="BPA10" s="198"/>
      <c r="BPB10" s="198"/>
      <c r="BPC10" s="198"/>
      <c r="BPD10" s="198"/>
      <c r="BPE10" s="198"/>
      <c r="BPF10" s="198"/>
      <c r="BPG10" s="198"/>
      <c r="BPH10" s="198"/>
      <c r="BPI10" s="198"/>
      <c r="BPJ10" s="198"/>
      <c r="BPK10" s="198"/>
      <c r="BPL10" s="198"/>
      <c r="BPM10" s="198"/>
      <c r="BPN10" s="198"/>
      <c r="BPO10" s="198"/>
      <c r="BPP10" s="198"/>
      <c r="BPQ10" s="198"/>
      <c r="BPR10" s="198"/>
      <c r="BPS10" s="198"/>
      <c r="BPT10" s="198"/>
      <c r="BPU10" s="198"/>
      <c r="BPV10" s="198"/>
      <c r="BPW10" s="198"/>
      <c r="BPX10" s="198"/>
      <c r="BPY10" s="198"/>
      <c r="BPZ10" s="198"/>
      <c r="BQA10" s="198"/>
      <c r="BQB10" s="198"/>
      <c r="BQC10" s="198"/>
      <c r="BQD10" s="198"/>
      <c r="BQE10" s="198"/>
      <c r="BQF10" s="198"/>
      <c r="BQG10" s="198"/>
      <c r="BQH10" s="198"/>
      <c r="BQI10" s="198"/>
      <c r="BQJ10" s="198"/>
      <c r="BQK10" s="198"/>
      <c r="BQL10" s="198"/>
      <c r="BQM10" s="198"/>
      <c r="BQN10" s="198"/>
      <c r="BQO10" s="198"/>
      <c r="BQP10" s="198"/>
      <c r="BQQ10" s="198"/>
      <c r="BQR10" s="198"/>
      <c r="BQS10" s="198"/>
      <c r="BQT10" s="198"/>
      <c r="BQU10" s="198"/>
      <c r="BQV10" s="198"/>
      <c r="BQW10" s="198"/>
      <c r="BQX10" s="198"/>
      <c r="BQY10" s="198"/>
      <c r="BQZ10" s="198"/>
      <c r="BRA10" s="198"/>
      <c r="BRB10" s="198"/>
      <c r="BRC10" s="198"/>
      <c r="BRD10" s="198"/>
      <c r="BRE10" s="198"/>
      <c r="BRF10" s="198"/>
      <c r="BRG10" s="198"/>
      <c r="BRH10" s="198"/>
      <c r="BRI10" s="198"/>
      <c r="BRJ10" s="198"/>
      <c r="BRK10" s="198"/>
      <c r="BRL10" s="198"/>
      <c r="BRM10" s="198"/>
      <c r="BRN10" s="198"/>
      <c r="BRO10" s="198"/>
      <c r="BRP10" s="198"/>
      <c r="BRQ10" s="198"/>
      <c r="BRR10" s="198"/>
      <c r="BRS10" s="198"/>
      <c r="BRT10" s="198"/>
      <c r="BRU10" s="198"/>
      <c r="BRV10" s="198"/>
      <c r="BRW10" s="198"/>
      <c r="BRX10" s="198"/>
      <c r="BRY10" s="198"/>
      <c r="BRZ10" s="198"/>
      <c r="BSA10" s="198"/>
      <c r="BSB10" s="198"/>
      <c r="BSC10" s="198"/>
      <c r="BSD10" s="198"/>
      <c r="BSE10" s="198"/>
      <c r="BSF10" s="198"/>
      <c r="BSG10" s="198"/>
      <c r="BSH10" s="198"/>
      <c r="BSI10" s="198"/>
      <c r="BSJ10" s="198"/>
      <c r="BSK10" s="198"/>
      <c r="BSL10" s="198"/>
      <c r="BSM10" s="198"/>
      <c r="BSN10" s="198"/>
      <c r="BSO10" s="198"/>
      <c r="BSP10" s="198"/>
      <c r="BSQ10" s="198"/>
      <c r="BSR10" s="198"/>
      <c r="BSS10" s="198"/>
      <c r="BST10" s="198"/>
      <c r="BSU10" s="198"/>
      <c r="BSV10" s="198"/>
      <c r="BSW10" s="198"/>
      <c r="BSX10" s="198"/>
      <c r="BSY10" s="198"/>
      <c r="BSZ10" s="198"/>
      <c r="BTA10" s="198"/>
      <c r="BTB10" s="198"/>
      <c r="BTC10" s="198"/>
      <c r="BTD10" s="198"/>
      <c r="BTE10" s="198"/>
      <c r="BTF10" s="198"/>
      <c r="BTG10" s="198"/>
      <c r="BTH10" s="198"/>
      <c r="BTI10" s="198"/>
      <c r="BTJ10" s="198"/>
      <c r="BTK10" s="198"/>
      <c r="BTL10" s="198"/>
      <c r="BTM10" s="198"/>
      <c r="BTN10" s="198"/>
      <c r="BTO10" s="198"/>
      <c r="BTP10" s="198"/>
      <c r="BTQ10" s="198"/>
      <c r="BTR10" s="198"/>
      <c r="BTS10" s="198"/>
      <c r="BTT10" s="198"/>
      <c r="BTU10" s="198"/>
      <c r="BTV10" s="198"/>
      <c r="BTW10" s="198"/>
      <c r="BTX10" s="198"/>
      <c r="BTY10" s="198"/>
      <c r="BTZ10" s="198"/>
      <c r="BUA10" s="198"/>
      <c r="BUB10" s="198"/>
      <c r="BUC10" s="198"/>
      <c r="BUD10" s="198"/>
      <c r="BUE10" s="198"/>
      <c r="BUF10" s="198"/>
      <c r="BUG10" s="198"/>
      <c r="BUH10" s="198"/>
      <c r="BUI10" s="198"/>
      <c r="BUJ10" s="198"/>
      <c r="BUK10" s="198"/>
      <c r="BUL10" s="198"/>
      <c r="BUM10" s="198"/>
      <c r="BUN10" s="198"/>
      <c r="BUO10" s="198"/>
      <c r="BUP10" s="198"/>
      <c r="BUQ10" s="198"/>
      <c r="BUR10" s="198"/>
      <c r="BUS10" s="198"/>
      <c r="BUT10" s="198"/>
      <c r="BUU10" s="198"/>
      <c r="BUV10" s="198"/>
      <c r="BUW10" s="198"/>
      <c r="BUX10" s="198"/>
      <c r="BUY10" s="198"/>
      <c r="BUZ10" s="198"/>
      <c r="BVA10" s="198"/>
      <c r="BVB10" s="198"/>
      <c r="BVC10" s="198"/>
      <c r="BVD10" s="198"/>
      <c r="BVE10" s="198"/>
      <c r="BVF10" s="198"/>
      <c r="BVG10" s="198"/>
      <c r="BVH10" s="198"/>
      <c r="BVI10" s="198"/>
      <c r="BVJ10" s="198"/>
      <c r="BVK10" s="198"/>
      <c r="BVL10" s="198"/>
      <c r="BVM10" s="198"/>
      <c r="BVN10" s="198"/>
      <c r="BVO10" s="198"/>
      <c r="BVP10" s="198"/>
      <c r="BVQ10" s="198"/>
      <c r="BVR10" s="198"/>
      <c r="BVS10" s="198"/>
      <c r="BVT10" s="198"/>
      <c r="BVU10" s="198"/>
      <c r="BVV10" s="198"/>
      <c r="BVW10" s="198"/>
      <c r="BVX10" s="198"/>
      <c r="BVY10" s="198"/>
      <c r="BVZ10" s="198"/>
      <c r="BWA10" s="198"/>
      <c r="BWB10" s="198"/>
      <c r="BWC10" s="198"/>
      <c r="BWD10" s="198"/>
      <c r="BWE10" s="198"/>
      <c r="BWF10" s="198"/>
      <c r="BWG10" s="198"/>
      <c r="BWH10" s="198"/>
      <c r="BWI10" s="198"/>
      <c r="BWJ10" s="198"/>
      <c r="BWK10" s="198"/>
      <c r="BWL10" s="198"/>
      <c r="BWM10" s="198"/>
      <c r="BWN10" s="198"/>
      <c r="BWO10" s="198"/>
      <c r="BWP10" s="198"/>
      <c r="BWQ10" s="198"/>
      <c r="BWR10" s="198"/>
      <c r="BWS10" s="198"/>
      <c r="BWT10" s="198"/>
      <c r="BWU10" s="198"/>
      <c r="BWV10" s="198"/>
      <c r="BWW10" s="198"/>
      <c r="BWX10" s="198"/>
      <c r="BWY10" s="198"/>
      <c r="BWZ10" s="198"/>
      <c r="BXA10" s="198"/>
      <c r="BXB10" s="198"/>
      <c r="BXC10" s="198"/>
      <c r="BXD10" s="198"/>
      <c r="BXE10" s="198"/>
      <c r="BXF10" s="198"/>
      <c r="BXG10" s="198"/>
      <c r="BXH10" s="198"/>
      <c r="BXI10" s="198"/>
      <c r="BXJ10" s="198"/>
      <c r="BXK10" s="198"/>
      <c r="BXL10" s="198"/>
      <c r="BXM10" s="198"/>
      <c r="BXN10" s="198"/>
      <c r="BXO10" s="198"/>
      <c r="BXP10" s="198"/>
      <c r="BXQ10" s="198"/>
      <c r="BXR10" s="198"/>
      <c r="BXS10" s="198"/>
      <c r="BXT10" s="198"/>
      <c r="BXU10" s="198"/>
      <c r="BXV10" s="198"/>
      <c r="BXW10" s="198"/>
      <c r="BXX10" s="198"/>
      <c r="BXY10" s="198"/>
      <c r="BXZ10" s="198"/>
      <c r="BYA10" s="198"/>
      <c r="BYB10" s="198"/>
      <c r="BYC10" s="198"/>
      <c r="BYD10" s="198"/>
      <c r="BYE10" s="198"/>
      <c r="BYF10" s="198"/>
      <c r="BYG10" s="198"/>
      <c r="BYH10" s="198"/>
      <c r="BYI10" s="198"/>
      <c r="BYJ10" s="198"/>
      <c r="BYK10" s="198"/>
      <c r="BYL10" s="198"/>
      <c r="BYM10" s="198"/>
      <c r="BYN10" s="198"/>
      <c r="BYO10" s="198"/>
      <c r="BYP10" s="198"/>
      <c r="BYQ10" s="198"/>
      <c r="BYR10" s="198"/>
      <c r="BYS10" s="198"/>
      <c r="BYT10" s="198"/>
      <c r="BYU10" s="198"/>
      <c r="BYV10" s="198"/>
      <c r="BYW10" s="198"/>
      <c r="BYX10" s="198"/>
      <c r="BYY10" s="198"/>
      <c r="BYZ10" s="198"/>
      <c r="BZA10" s="198"/>
      <c r="BZB10" s="198"/>
      <c r="BZC10" s="198"/>
      <c r="BZD10" s="198"/>
      <c r="BZE10" s="198"/>
      <c r="BZF10" s="198"/>
      <c r="BZG10" s="198"/>
      <c r="BZH10" s="198"/>
      <c r="BZI10" s="198"/>
      <c r="BZJ10" s="198"/>
      <c r="BZK10" s="198"/>
      <c r="BZL10" s="198"/>
      <c r="BZM10" s="198"/>
      <c r="BZN10" s="198"/>
      <c r="BZO10" s="198"/>
      <c r="BZP10" s="198"/>
      <c r="BZQ10" s="198"/>
      <c r="BZR10" s="198"/>
      <c r="BZS10" s="198"/>
      <c r="BZT10" s="198"/>
      <c r="BZU10" s="198"/>
      <c r="BZV10" s="198"/>
      <c r="BZW10" s="198"/>
      <c r="BZX10" s="198"/>
      <c r="BZY10" s="198"/>
      <c r="BZZ10" s="198"/>
      <c r="CAA10" s="198"/>
      <c r="CAB10" s="198"/>
      <c r="CAC10" s="198"/>
      <c r="CAD10" s="198"/>
      <c r="CAE10" s="198"/>
      <c r="CAF10" s="198"/>
      <c r="CAG10" s="198"/>
      <c r="CAH10" s="198"/>
      <c r="CAI10" s="198"/>
      <c r="CAJ10" s="198"/>
      <c r="CAK10" s="198"/>
      <c r="CAL10" s="198"/>
      <c r="CAM10" s="198"/>
      <c r="CAN10" s="198"/>
      <c r="CAO10" s="198"/>
      <c r="CAP10" s="198"/>
      <c r="CAQ10" s="198"/>
      <c r="CAR10" s="198"/>
      <c r="CAS10" s="198"/>
      <c r="CAT10" s="198"/>
      <c r="CAU10" s="198"/>
      <c r="CAV10" s="198"/>
      <c r="CAW10" s="198"/>
      <c r="CAX10" s="198"/>
      <c r="CAY10" s="198"/>
      <c r="CAZ10" s="198"/>
      <c r="CBA10" s="198"/>
      <c r="CBB10" s="198"/>
      <c r="CBC10" s="198"/>
      <c r="CBD10" s="198"/>
      <c r="CBE10" s="198"/>
      <c r="CBF10" s="198"/>
      <c r="CBG10" s="198"/>
      <c r="CBH10" s="198"/>
      <c r="CBI10" s="198"/>
      <c r="CBJ10" s="198"/>
      <c r="CBK10" s="198"/>
      <c r="CBL10" s="198"/>
      <c r="CBM10" s="198"/>
      <c r="CBN10" s="198"/>
      <c r="CBO10" s="198"/>
      <c r="CBP10" s="198"/>
      <c r="CBQ10" s="198"/>
      <c r="CBR10" s="198"/>
      <c r="CBS10" s="198"/>
      <c r="CBT10" s="198"/>
      <c r="CBU10" s="198"/>
      <c r="CBV10" s="198"/>
      <c r="CBW10" s="198"/>
      <c r="CBX10" s="198"/>
      <c r="CBY10" s="198"/>
      <c r="CBZ10" s="198"/>
      <c r="CCA10" s="198"/>
      <c r="CCB10" s="198"/>
      <c r="CCC10" s="198"/>
      <c r="CCD10" s="198"/>
      <c r="CCE10" s="198"/>
      <c r="CCF10" s="198"/>
      <c r="CCG10" s="198"/>
      <c r="CCH10" s="198"/>
      <c r="CCI10" s="198"/>
      <c r="CCJ10" s="198"/>
      <c r="CCK10" s="198"/>
      <c r="CCL10" s="198"/>
      <c r="CCM10" s="198"/>
      <c r="CCN10" s="198"/>
      <c r="CCO10" s="198"/>
      <c r="CCP10" s="198"/>
      <c r="CCQ10" s="198"/>
      <c r="CCR10" s="198"/>
      <c r="CCS10" s="198"/>
      <c r="CCT10" s="198"/>
      <c r="CCU10" s="198"/>
      <c r="CCV10" s="198"/>
      <c r="CCW10" s="198"/>
      <c r="CCX10" s="198"/>
      <c r="CCY10" s="198"/>
      <c r="CCZ10" s="198"/>
      <c r="CDA10" s="198"/>
      <c r="CDB10" s="198"/>
      <c r="CDC10" s="198"/>
      <c r="CDD10" s="198"/>
      <c r="CDE10" s="198"/>
      <c r="CDF10" s="198"/>
      <c r="CDG10" s="198"/>
      <c r="CDH10" s="198"/>
      <c r="CDI10" s="198"/>
      <c r="CDJ10" s="198"/>
      <c r="CDK10" s="198"/>
      <c r="CDL10" s="198"/>
      <c r="CDM10" s="198"/>
      <c r="CDN10" s="198"/>
      <c r="CDO10" s="198"/>
      <c r="CDP10" s="198"/>
      <c r="CDQ10" s="198"/>
      <c r="CDR10" s="198"/>
      <c r="CDS10" s="198"/>
      <c r="CDT10" s="198"/>
      <c r="CDU10" s="198"/>
      <c r="CDV10" s="198"/>
      <c r="CDW10" s="198"/>
      <c r="CDX10" s="198"/>
      <c r="CDY10" s="198"/>
      <c r="CDZ10" s="198"/>
      <c r="CEA10" s="198"/>
      <c r="CEB10" s="198"/>
      <c r="CEC10" s="198"/>
      <c r="CED10" s="198"/>
      <c r="CEE10" s="198"/>
      <c r="CEF10" s="198"/>
      <c r="CEG10" s="198"/>
      <c r="CEH10" s="198"/>
      <c r="CEI10" s="198"/>
      <c r="CEJ10" s="198"/>
      <c r="CEK10" s="198"/>
      <c r="CEL10" s="198"/>
      <c r="CEM10" s="198"/>
      <c r="CEN10" s="198"/>
      <c r="CEO10" s="198"/>
      <c r="CEP10" s="198"/>
      <c r="CEQ10" s="198"/>
      <c r="CER10" s="198"/>
      <c r="CES10" s="198"/>
      <c r="CET10" s="198"/>
      <c r="CEU10" s="198"/>
      <c r="CEV10" s="198"/>
      <c r="CEW10" s="198"/>
      <c r="CEX10" s="198"/>
      <c r="CEY10" s="198"/>
      <c r="CEZ10" s="198"/>
      <c r="CFA10" s="198"/>
      <c r="CFB10" s="198"/>
      <c r="CFC10" s="198"/>
      <c r="CFD10" s="198"/>
      <c r="CFE10" s="198"/>
      <c r="CFF10" s="198"/>
      <c r="CFG10" s="198"/>
      <c r="CFH10" s="198"/>
      <c r="CFI10" s="198"/>
      <c r="CFJ10" s="198"/>
      <c r="CFK10" s="198"/>
      <c r="CFL10" s="198"/>
      <c r="CFM10" s="198"/>
      <c r="CFN10" s="198"/>
      <c r="CFO10" s="198"/>
      <c r="CFP10" s="198"/>
      <c r="CFQ10" s="198"/>
      <c r="CFR10" s="198"/>
      <c r="CFS10" s="198"/>
      <c r="CFT10" s="198"/>
      <c r="CFU10" s="198"/>
      <c r="CFV10" s="198"/>
      <c r="CFW10" s="198"/>
      <c r="CFX10" s="198"/>
      <c r="CFY10" s="198"/>
      <c r="CFZ10" s="198"/>
      <c r="CGA10" s="198"/>
      <c r="CGB10" s="198"/>
      <c r="CGC10" s="198"/>
      <c r="CGD10" s="198"/>
      <c r="CGE10" s="198"/>
      <c r="CGF10" s="198"/>
      <c r="CGG10" s="198"/>
      <c r="CGH10" s="198"/>
      <c r="CGI10" s="198"/>
      <c r="CGJ10" s="198"/>
      <c r="CGK10" s="198"/>
      <c r="CGL10" s="198"/>
      <c r="CGM10" s="198"/>
      <c r="CGN10" s="198"/>
      <c r="CGO10" s="198"/>
      <c r="CGP10" s="198"/>
      <c r="CGQ10" s="198"/>
      <c r="CGR10" s="198"/>
      <c r="CGS10" s="198"/>
      <c r="CGT10" s="198"/>
      <c r="CGU10" s="198"/>
      <c r="CGV10" s="198"/>
      <c r="CGW10" s="198"/>
      <c r="CGX10" s="198"/>
      <c r="CGY10" s="198"/>
      <c r="CGZ10" s="198"/>
      <c r="CHA10" s="198"/>
      <c r="CHB10" s="198"/>
      <c r="CHC10" s="198"/>
      <c r="CHD10" s="198"/>
      <c r="CHE10" s="198"/>
      <c r="CHF10" s="198"/>
      <c r="CHG10" s="198"/>
      <c r="CHH10" s="198"/>
      <c r="CHI10" s="198"/>
      <c r="CHJ10" s="198"/>
      <c r="CHK10" s="198"/>
      <c r="CHL10" s="198"/>
      <c r="CHM10" s="198"/>
      <c r="CHN10" s="198"/>
      <c r="CHO10" s="198"/>
      <c r="CHP10" s="198"/>
      <c r="CHQ10" s="198"/>
      <c r="CHR10" s="198"/>
      <c r="CHS10" s="198"/>
      <c r="CHT10" s="198"/>
      <c r="CHU10" s="198"/>
      <c r="CHV10" s="198"/>
      <c r="CHW10" s="198"/>
      <c r="CHX10" s="198"/>
      <c r="CHY10" s="198"/>
      <c r="CHZ10" s="198"/>
      <c r="CIA10" s="198"/>
      <c r="CIB10" s="198"/>
      <c r="CIC10" s="198"/>
      <c r="CID10" s="198"/>
      <c r="CIE10" s="198"/>
      <c r="CIF10" s="198"/>
      <c r="CIG10" s="198"/>
      <c r="CIH10" s="198"/>
      <c r="CII10" s="198"/>
      <c r="CIJ10" s="198"/>
      <c r="CIK10" s="198"/>
      <c r="CIL10" s="198"/>
      <c r="CIM10" s="198"/>
      <c r="CIN10" s="198"/>
      <c r="CIO10" s="198"/>
      <c r="CIP10" s="198"/>
      <c r="CIQ10" s="198"/>
      <c r="CIR10" s="198"/>
      <c r="CIS10" s="198"/>
      <c r="CIT10" s="198"/>
      <c r="CIU10" s="198"/>
      <c r="CIV10" s="198"/>
      <c r="CIW10" s="198"/>
      <c r="CIX10" s="198"/>
      <c r="CIY10" s="198"/>
      <c r="CIZ10" s="198"/>
      <c r="CJA10" s="198"/>
      <c r="CJB10" s="198"/>
      <c r="CJC10" s="198"/>
      <c r="CJD10" s="198"/>
      <c r="CJE10" s="198"/>
      <c r="CJF10" s="198"/>
      <c r="CJG10" s="198"/>
      <c r="CJH10" s="198"/>
      <c r="CJI10" s="198"/>
      <c r="CJJ10" s="198"/>
      <c r="CJK10" s="198"/>
      <c r="CJL10" s="198"/>
      <c r="CJM10" s="198"/>
      <c r="CJN10" s="198"/>
      <c r="CJO10" s="198"/>
      <c r="CJP10" s="198"/>
      <c r="CJQ10" s="198"/>
      <c r="CJR10" s="198"/>
      <c r="CJS10" s="198"/>
      <c r="CJT10" s="198"/>
      <c r="CJU10" s="198"/>
      <c r="CJV10" s="198"/>
      <c r="CJW10" s="198"/>
      <c r="CJX10" s="198"/>
      <c r="CJY10" s="198"/>
      <c r="CJZ10" s="198"/>
      <c r="CKA10" s="198"/>
      <c r="CKB10" s="198"/>
      <c r="CKC10" s="198"/>
      <c r="CKD10" s="198"/>
      <c r="CKE10" s="198"/>
      <c r="CKF10" s="198"/>
      <c r="CKG10" s="198"/>
      <c r="CKH10" s="198"/>
      <c r="CKI10" s="198"/>
      <c r="CKJ10" s="198"/>
      <c r="CKK10" s="198"/>
      <c r="CKL10" s="198"/>
      <c r="CKM10" s="198"/>
      <c r="CKN10" s="198"/>
      <c r="CKO10" s="198"/>
      <c r="CKP10" s="198"/>
      <c r="CKQ10" s="198"/>
      <c r="CKR10" s="198"/>
      <c r="CKS10" s="198"/>
      <c r="CKT10" s="198"/>
      <c r="CKU10" s="198"/>
      <c r="CKV10" s="198"/>
      <c r="CKW10" s="198"/>
      <c r="CKX10" s="198"/>
      <c r="CKY10" s="198"/>
      <c r="CKZ10" s="198"/>
      <c r="CLA10" s="198"/>
      <c r="CLB10" s="198"/>
      <c r="CLC10" s="198"/>
      <c r="CLD10" s="198"/>
      <c r="CLE10" s="198"/>
      <c r="CLF10" s="198"/>
      <c r="CLG10" s="198"/>
      <c r="CLH10" s="198"/>
      <c r="CLI10" s="198"/>
      <c r="CLJ10" s="198"/>
      <c r="CLK10" s="198"/>
      <c r="CLL10" s="198"/>
      <c r="CLM10" s="198"/>
      <c r="CLN10" s="198"/>
      <c r="CLO10" s="198"/>
      <c r="CLP10" s="198"/>
      <c r="CLQ10" s="198"/>
      <c r="CLR10" s="198"/>
      <c r="CLS10" s="198"/>
      <c r="CLT10" s="198"/>
      <c r="CLU10" s="198"/>
      <c r="CLV10" s="198"/>
      <c r="CLW10" s="198"/>
      <c r="CLX10" s="198"/>
      <c r="CLY10" s="198"/>
      <c r="CLZ10" s="198"/>
      <c r="CMA10" s="198"/>
      <c r="CMB10" s="198"/>
      <c r="CMC10" s="198"/>
      <c r="CMD10" s="198"/>
      <c r="CME10" s="198"/>
      <c r="CMF10" s="198"/>
      <c r="CMG10" s="198"/>
      <c r="CMH10" s="198"/>
      <c r="CMI10" s="198"/>
      <c r="CMJ10" s="198"/>
      <c r="CMK10" s="198"/>
      <c r="CML10" s="198"/>
      <c r="CMM10" s="198"/>
      <c r="CMN10" s="198"/>
      <c r="CMO10" s="198"/>
      <c r="CMP10" s="198"/>
      <c r="CMQ10" s="198"/>
      <c r="CMR10" s="198"/>
      <c r="CMS10" s="198"/>
      <c r="CMT10" s="198"/>
      <c r="CMU10" s="198"/>
      <c r="CMV10" s="198"/>
      <c r="CMW10" s="198"/>
      <c r="CMX10" s="198"/>
      <c r="CMY10" s="198"/>
      <c r="CMZ10" s="198"/>
      <c r="CNA10" s="198"/>
      <c r="CNB10" s="198"/>
      <c r="CNC10" s="198"/>
      <c r="CND10" s="198"/>
      <c r="CNE10" s="198"/>
      <c r="CNF10" s="198"/>
      <c r="CNG10" s="198"/>
      <c r="CNH10" s="198"/>
      <c r="CNI10" s="198"/>
      <c r="CNJ10" s="198"/>
      <c r="CNK10" s="198"/>
      <c r="CNL10" s="198"/>
      <c r="CNM10" s="198"/>
      <c r="CNN10" s="198"/>
      <c r="CNO10" s="198"/>
      <c r="CNP10" s="198"/>
      <c r="CNQ10" s="198"/>
      <c r="CNR10" s="198"/>
      <c r="CNS10" s="198"/>
      <c r="CNT10" s="198"/>
      <c r="CNU10" s="198"/>
      <c r="CNV10" s="198"/>
      <c r="CNW10" s="198"/>
      <c r="CNX10" s="198"/>
      <c r="CNY10" s="198"/>
      <c r="CNZ10" s="198"/>
      <c r="COA10" s="198"/>
      <c r="COB10" s="198"/>
      <c r="COC10" s="198"/>
      <c r="COD10" s="198"/>
      <c r="COE10" s="198"/>
      <c r="COF10" s="198"/>
      <c r="COG10" s="198"/>
      <c r="COH10" s="198"/>
      <c r="COI10" s="198"/>
      <c r="COJ10" s="198"/>
      <c r="COK10" s="198"/>
      <c r="COL10" s="198"/>
      <c r="COM10" s="198"/>
      <c r="CON10" s="198"/>
      <c r="COO10" s="198"/>
      <c r="COP10" s="198"/>
      <c r="COQ10" s="198"/>
      <c r="COR10" s="198"/>
      <c r="COS10" s="198"/>
      <c r="COT10" s="198"/>
      <c r="COU10" s="198"/>
      <c r="COV10" s="198"/>
      <c r="COW10" s="198"/>
      <c r="COX10" s="198"/>
      <c r="COY10" s="198"/>
      <c r="COZ10" s="198"/>
      <c r="CPA10" s="198"/>
      <c r="CPB10" s="198"/>
      <c r="CPC10" s="198"/>
      <c r="CPD10" s="198"/>
      <c r="CPE10" s="198"/>
      <c r="CPF10" s="198"/>
      <c r="CPG10" s="198"/>
      <c r="CPH10" s="198"/>
      <c r="CPI10" s="198"/>
      <c r="CPJ10" s="198"/>
      <c r="CPK10" s="198"/>
      <c r="CPL10" s="198"/>
      <c r="CPM10" s="198"/>
      <c r="CPN10" s="198"/>
      <c r="CPO10" s="198"/>
      <c r="CPP10" s="198"/>
      <c r="CPQ10" s="198"/>
      <c r="CPR10" s="198"/>
      <c r="CPS10" s="198"/>
      <c r="CPT10" s="198"/>
      <c r="CPU10" s="198"/>
      <c r="CPV10" s="198"/>
      <c r="CPW10" s="198"/>
      <c r="CPX10" s="198"/>
      <c r="CPY10" s="198"/>
      <c r="CPZ10" s="198"/>
      <c r="CQA10" s="198"/>
      <c r="CQB10" s="198"/>
      <c r="CQC10" s="198"/>
      <c r="CQD10" s="198"/>
      <c r="CQE10" s="198"/>
      <c r="CQF10" s="198"/>
      <c r="CQG10" s="198"/>
      <c r="CQH10" s="198"/>
      <c r="CQI10" s="198"/>
      <c r="CQJ10" s="198"/>
      <c r="CQK10" s="198"/>
      <c r="CQL10" s="198"/>
      <c r="CQM10" s="198"/>
      <c r="CQN10" s="198"/>
      <c r="CQO10" s="198"/>
      <c r="CQP10" s="198"/>
      <c r="CQQ10" s="198"/>
      <c r="CQR10" s="198"/>
      <c r="CQS10" s="198"/>
      <c r="CQT10" s="198"/>
      <c r="CQU10" s="198"/>
      <c r="CQV10" s="198"/>
      <c r="CQW10" s="198"/>
      <c r="CQX10" s="198"/>
      <c r="CQY10" s="198"/>
      <c r="CQZ10" s="198"/>
      <c r="CRA10" s="198"/>
      <c r="CRB10" s="198"/>
      <c r="CRC10" s="198"/>
      <c r="CRD10" s="198"/>
      <c r="CRE10" s="198"/>
      <c r="CRF10" s="198"/>
      <c r="CRG10" s="198"/>
      <c r="CRH10" s="198"/>
      <c r="CRI10" s="198"/>
      <c r="CRJ10" s="198"/>
      <c r="CRK10" s="198"/>
      <c r="CRL10" s="198"/>
      <c r="CRM10" s="198"/>
      <c r="CRN10" s="198"/>
      <c r="CRO10" s="198"/>
      <c r="CRP10" s="198"/>
      <c r="CRQ10" s="198"/>
      <c r="CRR10" s="198"/>
      <c r="CRS10" s="198"/>
      <c r="CRT10" s="198"/>
      <c r="CRU10" s="198"/>
      <c r="CRV10" s="198"/>
      <c r="CRW10" s="198"/>
      <c r="CRX10" s="198"/>
      <c r="CRY10" s="198"/>
      <c r="CRZ10" s="198"/>
      <c r="CSA10" s="198"/>
      <c r="CSB10" s="198"/>
      <c r="CSC10" s="198"/>
      <c r="CSD10" s="90"/>
    </row>
    <row r="11" spans="1:2526" ht="20.100000000000001" customHeight="1" x14ac:dyDescent="0.25">
      <c r="B11" s="96"/>
      <c r="C11" s="210"/>
      <c r="D11" s="210"/>
      <c r="E11" s="210"/>
      <c r="F11" s="215" t="s">
        <v>141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141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9" t="s">
        <v>140</v>
      </c>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t="s">
        <v>140</v>
      </c>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t="s">
        <v>138</v>
      </c>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t="s">
        <v>135</v>
      </c>
      <c r="KU11" s="199"/>
      <c r="KV11" s="199"/>
      <c r="KW11" s="199"/>
      <c r="KX11" s="199"/>
      <c r="KY11" s="199"/>
      <c r="KZ11" s="199"/>
      <c r="LA11" s="199"/>
      <c r="LB11" s="199"/>
      <c r="LC11" s="199"/>
      <c r="LD11" s="199"/>
      <c r="LE11" s="199"/>
      <c r="LF11" s="199"/>
      <c r="LG11" s="199"/>
      <c r="LH11" s="199"/>
      <c r="LI11" s="199"/>
      <c r="LJ11" s="199"/>
      <c r="LK11" s="199"/>
      <c r="LL11" s="199"/>
      <c r="LM11" s="199"/>
      <c r="LN11" s="199"/>
      <c r="LO11" s="199"/>
      <c r="LP11" s="199"/>
      <c r="LQ11" s="199"/>
      <c r="LR11" s="199"/>
      <c r="LS11" s="199"/>
      <c r="LT11" s="199"/>
      <c r="LU11" s="199"/>
      <c r="LV11" s="199"/>
      <c r="LW11" s="199"/>
      <c r="LX11" s="199"/>
      <c r="LY11" s="199"/>
      <c r="LZ11" s="199"/>
      <c r="MA11" s="199"/>
      <c r="MB11" s="199"/>
      <c r="MC11" s="199"/>
      <c r="MD11" s="199"/>
      <c r="ME11" s="199"/>
      <c r="MF11" s="199"/>
      <c r="MG11" s="199"/>
      <c r="MH11" s="199"/>
      <c r="MI11" s="199"/>
      <c r="MJ11" s="199"/>
      <c r="MK11" s="199"/>
      <c r="ML11" s="199"/>
      <c r="MM11" s="199"/>
      <c r="MN11" s="199"/>
      <c r="MO11" s="199"/>
      <c r="MP11" s="199"/>
      <c r="MQ11" s="199"/>
      <c r="MR11" s="199"/>
      <c r="MS11" s="199"/>
      <c r="MT11" s="199"/>
      <c r="MU11" s="199"/>
      <c r="MV11" s="199"/>
      <c r="MW11" s="199"/>
      <c r="MX11" s="199"/>
      <c r="MY11" s="199"/>
      <c r="MZ11" s="199"/>
      <c r="NA11" s="199"/>
      <c r="NB11" s="199" t="s">
        <v>135</v>
      </c>
      <c r="NC11" s="199"/>
      <c r="ND11" s="199"/>
      <c r="NE11" s="199"/>
      <c r="NF11" s="199"/>
      <c r="NG11" s="199"/>
      <c r="NH11" s="199"/>
      <c r="NI11" s="199"/>
      <c r="NJ11" s="199"/>
      <c r="NK11" s="199"/>
      <c r="NL11" s="199"/>
      <c r="NM11" s="199"/>
      <c r="NN11" s="199"/>
      <c r="NO11" s="199"/>
      <c r="NP11" s="199"/>
      <c r="NQ11" s="199"/>
      <c r="NR11" s="199"/>
      <c r="NS11" s="199"/>
      <c r="NT11" s="199"/>
      <c r="NU11" s="199"/>
      <c r="NV11" s="199"/>
      <c r="NW11" s="199"/>
      <c r="NX11" s="199"/>
      <c r="NY11" s="199"/>
      <c r="NZ11" s="199"/>
      <c r="OA11" s="199"/>
      <c r="OB11" s="199"/>
      <c r="OC11" s="199"/>
      <c r="OD11" s="199"/>
      <c r="OE11" s="199"/>
      <c r="OF11" s="199"/>
      <c r="OG11" s="199"/>
      <c r="OH11" s="199"/>
      <c r="OI11" s="199"/>
      <c r="OJ11" s="199"/>
      <c r="OK11" s="199"/>
      <c r="OL11" s="199"/>
      <c r="OM11" s="199"/>
      <c r="ON11" s="199"/>
      <c r="OO11" s="199"/>
      <c r="OP11" s="199"/>
      <c r="OQ11" s="199"/>
      <c r="OR11" s="199"/>
      <c r="OS11" s="199"/>
      <c r="OT11" s="199"/>
      <c r="OU11" s="199"/>
      <c r="OV11" s="199"/>
      <c r="OW11" s="199"/>
      <c r="OX11" s="199"/>
      <c r="OY11" s="199"/>
      <c r="OZ11" s="199"/>
      <c r="PA11" s="199"/>
      <c r="PB11" s="199"/>
      <c r="PC11" s="199"/>
      <c r="PD11" s="199"/>
      <c r="PE11" s="199"/>
      <c r="PF11" s="199"/>
      <c r="PG11" s="199"/>
      <c r="PH11" s="199"/>
      <c r="PI11" s="199"/>
      <c r="PJ11" s="199" t="s">
        <v>132</v>
      </c>
      <c r="PK11" s="199"/>
      <c r="PL11" s="199"/>
      <c r="PM11" s="199"/>
      <c r="PN11" s="199"/>
      <c r="PO11" s="199"/>
      <c r="PP11" s="199"/>
      <c r="PQ11" s="199"/>
      <c r="PR11" s="199"/>
      <c r="PS11" s="199"/>
      <c r="PT11" s="199"/>
      <c r="PU11" s="199"/>
      <c r="PV11" s="199"/>
      <c r="PW11" s="199"/>
      <c r="PX11" s="199"/>
      <c r="PY11" s="199"/>
      <c r="PZ11" s="199"/>
      <c r="QA11" s="199"/>
      <c r="QB11" s="199"/>
      <c r="QC11" s="199"/>
      <c r="QD11" s="199"/>
      <c r="QE11" s="199"/>
      <c r="QF11" s="199"/>
      <c r="QG11" s="199"/>
      <c r="QH11" s="199"/>
      <c r="QI11" s="199"/>
      <c r="QJ11" s="199"/>
      <c r="QK11" s="199"/>
      <c r="QL11" s="199"/>
      <c r="QM11" s="199"/>
      <c r="QN11" s="199"/>
      <c r="QO11" s="199"/>
      <c r="QP11" s="199"/>
      <c r="QQ11" s="199"/>
      <c r="QR11" s="199"/>
      <c r="QS11" s="199"/>
      <c r="QT11" s="199"/>
      <c r="QU11" s="199"/>
      <c r="QV11" s="199"/>
      <c r="QW11" s="199"/>
      <c r="QX11" s="199"/>
      <c r="QY11" s="199"/>
      <c r="QZ11" s="199"/>
      <c r="RA11" s="199"/>
      <c r="RB11" s="199"/>
      <c r="RC11" s="199"/>
      <c r="RD11" s="199"/>
      <c r="RE11" s="199"/>
      <c r="RF11" s="199"/>
      <c r="RG11" s="199"/>
      <c r="RH11" s="199"/>
      <c r="RI11" s="199"/>
      <c r="RJ11" s="199"/>
      <c r="RK11" s="199"/>
      <c r="RL11" s="199"/>
      <c r="RM11" s="199"/>
      <c r="RN11" s="199"/>
      <c r="RO11" s="199"/>
      <c r="RP11" s="199"/>
      <c r="RQ11" s="199"/>
      <c r="RR11" s="199" t="s">
        <v>132</v>
      </c>
      <c r="RS11" s="199"/>
      <c r="RT11" s="199"/>
      <c r="RU11" s="199"/>
      <c r="RV11" s="199"/>
      <c r="RW11" s="199"/>
      <c r="RX11" s="199"/>
      <c r="RY11" s="199"/>
      <c r="RZ11" s="199"/>
      <c r="SA11" s="199"/>
      <c r="SB11" s="199"/>
      <c r="SC11" s="199"/>
      <c r="SD11" s="199"/>
      <c r="SE11" s="199"/>
      <c r="SF11" s="199"/>
      <c r="SG11" s="199"/>
      <c r="SH11" s="199"/>
      <c r="SI11" s="199"/>
      <c r="SJ11" s="199"/>
      <c r="SK11" s="199"/>
      <c r="SL11" s="199"/>
      <c r="SM11" s="199"/>
      <c r="SN11" s="199"/>
      <c r="SO11" s="199"/>
      <c r="SP11" s="199"/>
      <c r="SQ11" s="199"/>
      <c r="SR11" s="199"/>
      <c r="SS11" s="199"/>
      <c r="ST11" s="199"/>
      <c r="SU11" s="199"/>
      <c r="SV11" s="199"/>
      <c r="SW11" s="199"/>
      <c r="SX11" s="199"/>
      <c r="SY11" s="199"/>
      <c r="SZ11" s="199"/>
      <c r="TA11" s="199"/>
      <c r="TB11" s="199"/>
      <c r="TC11" s="199"/>
      <c r="TD11" s="199"/>
      <c r="TE11" s="199"/>
      <c r="TF11" s="199"/>
      <c r="TG11" s="199"/>
      <c r="TH11" s="199"/>
      <c r="TI11" s="199"/>
      <c r="TJ11" s="199"/>
      <c r="TK11" s="199"/>
      <c r="TL11" s="199"/>
      <c r="TM11" s="199"/>
      <c r="TN11" s="199"/>
      <c r="TO11" s="199"/>
      <c r="TP11" s="199"/>
      <c r="TQ11" s="199"/>
      <c r="TR11" s="199"/>
      <c r="TS11" s="199"/>
      <c r="TT11" s="199"/>
      <c r="TU11" s="199"/>
      <c r="TV11" s="199"/>
      <c r="TW11" s="199"/>
      <c r="TX11" s="199"/>
      <c r="TY11" s="199"/>
      <c r="TZ11" s="199" t="s">
        <v>129</v>
      </c>
      <c r="UA11" s="199"/>
      <c r="UB11" s="199"/>
      <c r="UC11" s="199"/>
      <c r="UD11" s="199"/>
      <c r="UE11" s="199"/>
      <c r="UF11" s="199"/>
      <c r="UG11" s="199"/>
      <c r="UH11" s="199"/>
      <c r="UI11" s="199"/>
      <c r="UJ11" s="199"/>
      <c r="UK11" s="199"/>
      <c r="UL11" s="199"/>
      <c r="UM11" s="199"/>
      <c r="UN11" s="199"/>
      <c r="UO11" s="199"/>
      <c r="UP11" s="199"/>
      <c r="UQ11" s="199"/>
      <c r="UR11" s="199"/>
      <c r="US11" s="199"/>
      <c r="UT11" s="199"/>
      <c r="UU11" s="199"/>
      <c r="UV11" s="199"/>
      <c r="UW11" s="199"/>
      <c r="UX11" s="199"/>
      <c r="UY11" s="199"/>
      <c r="UZ11" s="199"/>
      <c r="VA11" s="199"/>
      <c r="VB11" s="199"/>
      <c r="VC11" s="199"/>
      <c r="VD11" s="199"/>
      <c r="VE11" s="199"/>
      <c r="VF11" s="199"/>
      <c r="VG11" s="199"/>
      <c r="VH11" s="199"/>
      <c r="VI11" s="199"/>
      <c r="VJ11" s="199"/>
      <c r="VK11" s="199"/>
      <c r="VL11" s="199"/>
      <c r="VM11" s="199"/>
      <c r="VN11" s="199"/>
      <c r="VO11" s="199"/>
      <c r="VP11" s="199"/>
      <c r="VQ11" s="199"/>
      <c r="VR11" s="199"/>
      <c r="VS11" s="199"/>
      <c r="VT11" s="199"/>
      <c r="VU11" s="199"/>
      <c r="VV11" s="199"/>
      <c r="VW11" s="199"/>
      <c r="VX11" s="199"/>
      <c r="VY11" s="199"/>
      <c r="VZ11" s="199"/>
      <c r="WA11" s="199"/>
      <c r="WB11" s="199"/>
      <c r="WC11" s="199"/>
      <c r="WD11" s="199"/>
      <c r="WE11" s="199"/>
      <c r="WF11" s="199"/>
      <c r="WG11" s="199"/>
      <c r="WH11" s="199" t="s">
        <v>129</v>
      </c>
      <c r="WI11" s="199"/>
      <c r="WJ11" s="199"/>
      <c r="WK11" s="199"/>
      <c r="WL11" s="199"/>
      <c r="WM11" s="199"/>
      <c r="WN11" s="199"/>
      <c r="WO11" s="199"/>
      <c r="WP11" s="199"/>
      <c r="WQ11" s="199"/>
      <c r="WR11" s="199"/>
      <c r="WS11" s="199"/>
      <c r="WT11" s="199"/>
      <c r="WU11" s="199"/>
      <c r="WV11" s="199"/>
      <c r="WW11" s="199"/>
      <c r="WX11" s="199"/>
      <c r="WY11" s="199"/>
      <c r="WZ11" s="199"/>
      <c r="XA11" s="199"/>
      <c r="XB11" s="199"/>
      <c r="XC11" s="199"/>
      <c r="XD11" s="199"/>
      <c r="XE11" s="199"/>
      <c r="XF11" s="199"/>
      <c r="XG11" s="199"/>
      <c r="XH11" s="199"/>
      <c r="XI11" s="199"/>
      <c r="XJ11" s="199"/>
      <c r="XK11" s="199"/>
      <c r="XL11" s="199"/>
      <c r="XM11" s="199"/>
      <c r="XN11" s="199"/>
      <c r="XO11" s="199"/>
      <c r="XP11" s="199"/>
      <c r="XQ11" s="199"/>
      <c r="XR11" s="199"/>
      <c r="XS11" s="199"/>
      <c r="XT11" s="199"/>
      <c r="XU11" s="199"/>
      <c r="XV11" s="199"/>
      <c r="XW11" s="199"/>
      <c r="XX11" s="199"/>
      <c r="XY11" s="199"/>
      <c r="XZ11" s="199"/>
      <c r="YA11" s="199"/>
      <c r="YB11" s="199"/>
      <c r="YC11" s="199"/>
      <c r="YD11" s="199"/>
      <c r="YE11" s="199"/>
      <c r="YF11" s="199"/>
      <c r="YG11" s="199"/>
      <c r="YH11" s="199"/>
      <c r="YI11" s="199"/>
      <c r="YJ11" s="199"/>
      <c r="YK11" s="199"/>
      <c r="YL11" s="199"/>
      <c r="YM11" s="199"/>
      <c r="YN11" s="199"/>
      <c r="YO11" s="199"/>
      <c r="YP11" s="199" t="s">
        <v>127</v>
      </c>
      <c r="YQ11" s="199"/>
      <c r="YR11" s="199"/>
      <c r="YS11" s="199"/>
      <c r="YT11" s="199"/>
      <c r="YU11" s="199"/>
      <c r="YV11" s="199"/>
      <c r="YW11" s="199"/>
      <c r="YX11" s="199"/>
      <c r="YY11" s="199"/>
      <c r="YZ11" s="199"/>
      <c r="ZA11" s="199"/>
      <c r="ZB11" s="199"/>
      <c r="ZC11" s="199"/>
      <c r="ZD11" s="199"/>
      <c r="ZE11" s="199"/>
      <c r="ZF11" s="199"/>
      <c r="ZG11" s="199"/>
      <c r="ZH11" s="199"/>
      <c r="ZI11" s="199"/>
      <c r="ZJ11" s="199"/>
      <c r="ZK11" s="199"/>
      <c r="ZL11" s="199"/>
      <c r="ZM11" s="199"/>
      <c r="ZN11" s="199"/>
      <c r="ZO11" s="199"/>
      <c r="ZP11" s="199"/>
      <c r="ZQ11" s="199"/>
      <c r="ZR11" s="199"/>
      <c r="ZS11" s="199"/>
      <c r="ZT11" s="199"/>
      <c r="ZU11" s="199"/>
      <c r="ZV11" s="199"/>
      <c r="ZW11" s="199"/>
      <c r="ZX11" s="199"/>
      <c r="ZY11" s="199"/>
      <c r="ZZ11" s="199"/>
      <c r="AAA11" s="199"/>
      <c r="AAB11" s="199"/>
      <c r="AAC11" s="199"/>
      <c r="AAD11" s="199"/>
      <c r="AAE11" s="199"/>
      <c r="AAF11" s="199"/>
      <c r="AAG11" s="199"/>
      <c r="AAH11" s="199"/>
      <c r="AAI11" s="199"/>
      <c r="AAJ11" s="199"/>
      <c r="AAK11" s="199"/>
      <c r="AAL11" s="199"/>
      <c r="AAM11" s="199"/>
      <c r="AAN11" s="199"/>
      <c r="AAO11" s="199"/>
      <c r="AAP11" s="199"/>
      <c r="AAQ11" s="199"/>
      <c r="AAR11" s="199"/>
      <c r="AAS11" s="199"/>
      <c r="AAT11" s="199"/>
      <c r="AAU11" s="199"/>
      <c r="AAV11" s="199"/>
      <c r="AAW11" s="199"/>
      <c r="AAX11" s="199" t="s">
        <v>124</v>
      </c>
      <c r="AAY11" s="199"/>
      <c r="AAZ11" s="199"/>
      <c r="ABA11" s="199"/>
      <c r="ABB11" s="199"/>
      <c r="ABC11" s="199"/>
      <c r="ABD11" s="199"/>
      <c r="ABE11" s="199"/>
      <c r="ABF11" s="199"/>
      <c r="ABG11" s="199"/>
      <c r="ABH11" s="199"/>
      <c r="ABI11" s="199"/>
      <c r="ABJ11" s="199"/>
      <c r="ABK11" s="199"/>
      <c r="ABL11" s="199"/>
      <c r="ABM11" s="199"/>
      <c r="ABN11" s="199"/>
      <c r="ABO11" s="199"/>
      <c r="ABP11" s="199"/>
      <c r="ABQ11" s="199"/>
      <c r="ABR11" s="199"/>
      <c r="ABS11" s="199"/>
      <c r="ABT11" s="199"/>
      <c r="ABU11" s="199"/>
      <c r="ABV11" s="199"/>
      <c r="ABW11" s="199"/>
      <c r="ABX11" s="199"/>
      <c r="ABY11" s="199"/>
      <c r="ABZ11" s="199"/>
      <c r="ACA11" s="199"/>
      <c r="ACB11" s="199"/>
      <c r="ACC11" s="199"/>
      <c r="ACD11" s="199"/>
      <c r="ACE11" s="199"/>
      <c r="ACF11" s="199"/>
      <c r="ACG11" s="199"/>
      <c r="ACH11" s="199"/>
      <c r="ACI11" s="199"/>
      <c r="ACJ11" s="199"/>
      <c r="ACK11" s="199"/>
      <c r="ACL11" s="199"/>
      <c r="ACM11" s="199"/>
      <c r="ACN11" s="199"/>
      <c r="ACO11" s="199"/>
      <c r="ACP11" s="199"/>
      <c r="ACQ11" s="199"/>
      <c r="ACR11" s="199"/>
      <c r="ACS11" s="199"/>
      <c r="ACT11" s="199"/>
      <c r="ACU11" s="199"/>
      <c r="ACV11" s="199"/>
      <c r="ACW11" s="199"/>
      <c r="ACX11" s="199"/>
      <c r="ACY11" s="199"/>
      <c r="ACZ11" s="199"/>
      <c r="ADA11" s="199"/>
      <c r="ADB11" s="199"/>
      <c r="ADC11" s="199"/>
      <c r="ADD11" s="199"/>
      <c r="ADE11" s="199"/>
      <c r="ADF11" s="199" t="s">
        <v>124</v>
      </c>
      <c r="ADG11" s="199"/>
      <c r="ADH11" s="199"/>
      <c r="ADI11" s="199"/>
      <c r="ADJ11" s="199"/>
      <c r="ADK11" s="199"/>
      <c r="ADL11" s="199"/>
      <c r="ADM11" s="199"/>
      <c r="ADN11" s="199"/>
      <c r="ADO11" s="199"/>
      <c r="ADP11" s="199"/>
      <c r="ADQ11" s="199"/>
      <c r="ADR11" s="199"/>
      <c r="ADS11" s="199"/>
      <c r="ADT11" s="199"/>
      <c r="ADU11" s="199"/>
      <c r="ADV11" s="199"/>
      <c r="ADW11" s="199"/>
      <c r="ADX11" s="199"/>
      <c r="ADY11" s="199"/>
      <c r="ADZ11" s="199"/>
      <c r="AEA11" s="199"/>
      <c r="AEB11" s="199"/>
      <c r="AEC11" s="199"/>
      <c r="AED11" s="199"/>
      <c r="AEE11" s="199"/>
      <c r="AEF11" s="199"/>
      <c r="AEG11" s="199"/>
      <c r="AEH11" s="199"/>
      <c r="AEI11" s="199"/>
      <c r="AEJ11" s="199"/>
      <c r="AEK11" s="199"/>
      <c r="AEL11" s="199"/>
      <c r="AEM11" s="199"/>
      <c r="AEN11" s="199"/>
      <c r="AEO11" s="199"/>
      <c r="AEP11" s="199"/>
      <c r="AEQ11" s="199"/>
      <c r="AER11" s="199"/>
      <c r="AES11" s="199"/>
      <c r="AET11" s="199"/>
      <c r="AEU11" s="199"/>
      <c r="AEV11" s="199"/>
      <c r="AEW11" s="199"/>
      <c r="AEX11" s="199"/>
      <c r="AEY11" s="199"/>
      <c r="AEZ11" s="199"/>
      <c r="AFA11" s="199"/>
      <c r="AFB11" s="199"/>
      <c r="AFC11" s="199"/>
      <c r="AFD11" s="199"/>
      <c r="AFE11" s="199"/>
      <c r="AFF11" s="199"/>
      <c r="AFG11" s="199"/>
      <c r="AFH11" s="199"/>
      <c r="AFI11" s="199"/>
      <c r="AFJ11" s="199"/>
      <c r="AFK11" s="199"/>
      <c r="AFL11" s="199"/>
      <c r="AFM11" s="199"/>
      <c r="AFN11" s="199" t="s">
        <v>121</v>
      </c>
      <c r="AFO11" s="199"/>
      <c r="AFP11" s="199"/>
      <c r="AFQ11" s="199"/>
      <c r="AFR11" s="199"/>
      <c r="AFS11" s="199"/>
      <c r="AFT11" s="199"/>
      <c r="AFU11" s="199"/>
      <c r="AFV11" s="199"/>
      <c r="AFW11" s="199"/>
      <c r="AFX11" s="199"/>
      <c r="AFY11" s="199"/>
      <c r="AFZ11" s="199"/>
      <c r="AGA11" s="199"/>
      <c r="AGB11" s="199"/>
      <c r="AGC11" s="199"/>
      <c r="AGD11" s="199"/>
      <c r="AGE11" s="199"/>
      <c r="AGF11" s="199"/>
      <c r="AGG11" s="199"/>
      <c r="AGH11" s="199"/>
      <c r="AGI11" s="199"/>
      <c r="AGJ11" s="199"/>
      <c r="AGK11" s="199"/>
      <c r="AGL11" s="199"/>
      <c r="AGM11" s="199"/>
      <c r="AGN11" s="199"/>
      <c r="AGO11" s="199"/>
      <c r="AGP11" s="199"/>
      <c r="AGQ11" s="199"/>
      <c r="AGR11" s="199"/>
      <c r="AGS11" s="199"/>
      <c r="AGT11" s="199"/>
      <c r="AGU11" s="199"/>
      <c r="AGV11" s="199"/>
      <c r="AGW11" s="199"/>
      <c r="AGX11" s="199"/>
      <c r="AGY11" s="199"/>
      <c r="AGZ11" s="199"/>
      <c r="AHA11" s="199"/>
      <c r="AHB11" s="199"/>
      <c r="AHC11" s="199"/>
      <c r="AHD11" s="199"/>
      <c r="AHE11" s="199"/>
      <c r="AHF11" s="199"/>
      <c r="AHG11" s="199"/>
      <c r="AHH11" s="199"/>
      <c r="AHI11" s="199"/>
      <c r="AHJ11" s="199"/>
      <c r="AHK11" s="199"/>
      <c r="AHL11" s="199"/>
      <c r="AHM11" s="199"/>
      <c r="AHN11" s="199"/>
      <c r="AHO11" s="199"/>
      <c r="AHP11" s="199"/>
      <c r="AHQ11" s="199"/>
      <c r="AHR11" s="199"/>
      <c r="AHS11" s="199"/>
      <c r="AHT11" s="199"/>
      <c r="AHU11" s="199"/>
      <c r="AHV11" s="199" t="s">
        <v>121</v>
      </c>
      <c r="AHW11" s="199"/>
      <c r="AHX11" s="199"/>
      <c r="AHY11" s="199"/>
      <c r="AHZ11" s="199"/>
      <c r="AIA11" s="199"/>
      <c r="AIB11" s="199"/>
      <c r="AIC11" s="199"/>
      <c r="AID11" s="199"/>
      <c r="AIE11" s="199"/>
      <c r="AIF11" s="199"/>
      <c r="AIG11" s="199"/>
      <c r="AIH11" s="199"/>
      <c r="AII11" s="199"/>
      <c r="AIJ11" s="199"/>
      <c r="AIK11" s="199"/>
      <c r="AIL11" s="199"/>
      <c r="AIM11" s="199"/>
      <c r="AIN11" s="199"/>
      <c r="AIO11" s="199"/>
      <c r="AIP11" s="199"/>
      <c r="AIQ11" s="199"/>
      <c r="AIR11" s="199"/>
      <c r="AIS11" s="199"/>
      <c r="AIT11" s="199"/>
      <c r="AIU11" s="199"/>
      <c r="AIV11" s="199"/>
      <c r="AIW11" s="199"/>
      <c r="AIX11" s="199"/>
      <c r="AIY11" s="199"/>
      <c r="AIZ11" s="199"/>
      <c r="AJA11" s="199"/>
      <c r="AJB11" s="199"/>
      <c r="AJC11" s="199"/>
      <c r="AJD11" s="199"/>
      <c r="AJE11" s="199"/>
      <c r="AJF11" s="199"/>
      <c r="AJG11" s="199"/>
      <c r="AJH11" s="199"/>
      <c r="AJI11" s="199"/>
      <c r="AJJ11" s="199"/>
      <c r="AJK11" s="199"/>
      <c r="AJL11" s="199"/>
      <c r="AJM11" s="199"/>
      <c r="AJN11" s="199"/>
      <c r="AJO11" s="199"/>
      <c r="AJP11" s="199"/>
      <c r="AJQ11" s="199"/>
      <c r="AJR11" s="199"/>
      <c r="AJS11" s="199"/>
      <c r="AJT11" s="199"/>
      <c r="AJU11" s="199"/>
      <c r="AJV11" s="199"/>
      <c r="AJW11" s="199"/>
      <c r="AJX11" s="199"/>
      <c r="AJY11" s="199"/>
      <c r="AJZ11" s="199"/>
      <c r="AKA11" s="199"/>
      <c r="AKB11" s="199"/>
      <c r="AKC11" s="199"/>
      <c r="AKD11" s="199" t="s">
        <v>118</v>
      </c>
      <c r="AKE11" s="199"/>
      <c r="AKF11" s="199"/>
      <c r="AKG11" s="199"/>
      <c r="AKH11" s="199"/>
      <c r="AKI11" s="199"/>
      <c r="AKJ11" s="199"/>
      <c r="AKK11" s="199"/>
      <c r="AKL11" s="199"/>
      <c r="AKM11" s="199"/>
      <c r="AKN11" s="199"/>
      <c r="AKO11" s="199"/>
      <c r="AKP11" s="199"/>
      <c r="AKQ11" s="199"/>
      <c r="AKR11" s="199"/>
      <c r="AKS11" s="199"/>
      <c r="AKT11" s="199"/>
      <c r="AKU11" s="199"/>
      <c r="AKV11" s="199"/>
      <c r="AKW11" s="199"/>
      <c r="AKX11" s="199"/>
      <c r="AKY11" s="199"/>
      <c r="AKZ11" s="199"/>
      <c r="ALA11" s="199"/>
      <c r="ALB11" s="199"/>
      <c r="ALC11" s="199"/>
      <c r="ALD11" s="199"/>
      <c r="ALE11" s="199"/>
      <c r="ALF11" s="199"/>
      <c r="ALG11" s="199"/>
      <c r="ALH11" s="199"/>
      <c r="ALI11" s="199"/>
      <c r="ALJ11" s="199"/>
      <c r="ALK11" s="199"/>
      <c r="ALL11" s="199"/>
      <c r="ALM11" s="199"/>
      <c r="ALN11" s="199"/>
      <c r="ALO11" s="199"/>
      <c r="ALP11" s="199"/>
      <c r="ALQ11" s="199"/>
      <c r="ALR11" s="199"/>
      <c r="ALS11" s="199"/>
      <c r="ALT11" s="199"/>
      <c r="ALU11" s="199"/>
      <c r="ALV11" s="199"/>
      <c r="ALW11" s="199"/>
      <c r="ALX11" s="199"/>
      <c r="ALY11" s="199"/>
      <c r="ALZ11" s="199"/>
      <c r="AMA11" s="199"/>
      <c r="AMB11" s="199"/>
      <c r="AMC11" s="199"/>
      <c r="AMD11" s="199"/>
      <c r="AME11" s="199"/>
      <c r="AMF11" s="199"/>
      <c r="AMG11" s="199"/>
      <c r="AMH11" s="199"/>
      <c r="AMI11" s="199"/>
      <c r="AMJ11" s="199"/>
      <c r="AMK11" s="199"/>
      <c r="AML11" s="199" t="s">
        <v>118</v>
      </c>
      <c r="AMM11" s="199"/>
      <c r="AMN11" s="199"/>
      <c r="AMO11" s="199"/>
      <c r="AMP11" s="199"/>
      <c r="AMQ11" s="199"/>
      <c r="AMR11" s="199"/>
      <c r="AMS11" s="199"/>
      <c r="AMT11" s="199"/>
      <c r="AMU11" s="199"/>
      <c r="AMV11" s="199"/>
      <c r="AMW11" s="199"/>
      <c r="AMX11" s="199"/>
      <c r="AMY11" s="199"/>
      <c r="AMZ11" s="199"/>
      <c r="ANA11" s="199"/>
      <c r="ANB11" s="199"/>
      <c r="ANC11" s="199"/>
      <c r="AND11" s="199"/>
      <c r="ANE11" s="199"/>
      <c r="ANF11" s="199"/>
      <c r="ANG11" s="199"/>
      <c r="ANH11" s="199"/>
      <c r="ANI11" s="199"/>
      <c r="ANJ11" s="199"/>
      <c r="ANK11" s="199"/>
      <c r="ANL11" s="199"/>
      <c r="ANM11" s="199"/>
      <c r="ANN11" s="199"/>
      <c r="ANO11" s="199"/>
      <c r="ANP11" s="199"/>
      <c r="ANQ11" s="199"/>
      <c r="ANR11" s="199"/>
      <c r="ANS11" s="199"/>
      <c r="ANT11" s="199"/>
      <c r="ANU11" s="199"/>
      <c r="ANV11" s="199"/>
      <c r="ANW11" s="199"/>
      <c r="ANX11" s="199"/>
      <c r="ANY11" s="199"/>
      <c r="ANZ11" s="199"/>
      <c r="AOA11" s="199"/>
      <c r="AOB11" s="199"/>
      <c r="AOC11" s="199"/>
      <c r="AOD11" s="199"/>
      <c r="AOE11" s="199"/>
      <c r="AOF11" s="199"/>
      <c r="AOG11" s="199"/>
      <c r="AOH11" s="199"/>
      <c r="AOI11" s="199"/>
      <c r="AOJ11" s="199"/>
      <c r="AOK11" s="199"/>
      <c r="AOL11" s="199"/>
      <c r="AOM11" s="199"/>
      <c r="AON11" s="199"/>
      <c r="AOO11" s="199"/>
      <c r="AOP11" s="199"/>
      <c r="AOQ11" s="199"/>
      <c r="AOR11" s="199"/>
      <c r="AOS11" s="199"/>
      <c r="AOT11" s="199" t="s">
        <v>116</v>
      </c>
      <c r="AOU11" s="199"/>
      <c r="AOV11" s="199"/>
      <c r="AOW11" s="199"/>
      <c r="AOX11" s="199"/>
      <c r="AOY11" s="199"/>
      <c r="AOZ11" s="199"/>
      <c r="APA11" s="199"/>
      <c r="APB11" s="199"/>
      <c r="APC11" s="199"/>
      <c r="APD11" s="199"/>
      <c r="APE11" s="199"/>
      <c r="APF11" s="199"/>
      <c r="APG11" s="199"/>
      <c r="APH11" s="199"/>
      <c r="API11" s="199"/>
      <c r="APJ11" s="199"/>
      <c r="APK11" s="199"/>
      <c r="APL11" s="199"/>
      <c r="APM11" s="199"/>
      <c r="APN11" s="199"/>
      <c r="APO11" s="199"/>
      <c r="APP11" s="199"/>
      <c r="APQ11" s="199"/>
      <c r="APR11" s="199"/>
      <c r="APS11" s="199"/>
      <c r="APT11" s="199"/>
      <c r="APU11" s="199"/>
      <c r="APV11" s="199"/>
      <c r="APW11" s="199"/>
      <c r="APX11" s="199"/>
      <c r="APY11" s="199"/>
      <c r="APZ11" s="199"/>
      <c r="AQA11" s="199"/>
      <c r="AQB11" s="199"/>
      <c r="AQC11" s="199"/>
      <c r="AQD11" s="199"/>
      <c r="AQE11" s="199"/>
      <c r="AQF11" s="199"/>
      <c r="AQG11" s="199"/>
      <c r="AQH11" s="199"/>
      <c r="AQI11" s="199"/>
      <c r="AQJ11" s="199"/>
      <c r="AQK11" s="199"/>
      <c r="AQL11" s="199"/>
      <c r="AQM11" s="199"/>
      <c r="AQN11" s="199"/>
      <c r="AQO11" s="199"/>
      <c r="AQP11" s="199"/>
      <c r="AQQ11" s="199"/>
      <c r="AQR11" s="199"/>
      <c r="AQS11" s="199"/>
      <c r="AQT11" s="199"/>
      <c r="AQU11" s="199"/>
      <c r="AQV11" s="199"/>
      <c r="AQW11" s="199"/>
      <c r="AQX11" s="199"/>
      <c r="AQY11" s="199"/>
      <c r="AQZ11" s="199"/>
      <c r="ARA11" s="199"/>
      <c r="ARB11" s="199" t="s">
        <v>113</v>
      </c>
      <c r="ARC11" s="199"/>
      <c r="ARD11" s="199"/>
      <c r="ARE11" s="199"/>
      <c r="ARF11" s="199"/>
      <c r="ARG11" s="199"/>
      <c r="ARH11" s="199"/>
      <c r="ARI11" s="199"/>
      <c r="ARJ11" s="199"/>
      <c r="ARK11" s="199"/>
      <c r="ARL11" s="199"/>
      <c r="ARM11" s="199"/>
      <c r="ARN11" s="199"/>
      <c r="ARO11" s="199"/>
      <c r="ARP11" s="199"/>
      <c r="ARQ11" s="199"/>
      <c r="ARR11" s="199"/>
      <c r="ARS11" s="199"/>
      <c r="ART11" s="199"/>
      <c r="ARU11" s="199"/>
      <c r="ARV11" s="199"/>
      <c r="ARW11" s="199"/>
      <c r="ARX11" s="199"/>
      <c r="ARY11" s="199"/>
      <c r="ARZ11" s="199"/>
      <c r="ASA11" s="199"/>
      <c r="ASB11" s="199"/>
      <c r="ASC11" s="199"/>
      <c r="ASD11" s="199"/>
      <c r="ASE11" s="199"/>
      <c r="ASF11" s="199"/>
      <c r="ASG11" s="199"/>
      <c r="ASH11" s="199"/>
      <c r="ASI11" s="199"/>
      <c r="ASJ11" s="199"/>
      <c r="ASK11" s="199"/>
      <c r="ASL11" s="199"/>
      <c r="ASM11" s="199"/>
      <c r="ASN11" s="199"/>
      <c r="ASO11" s="199"/>
      <c r="ASP11" s="199"/>
      <c r="ASQ11" s="199"/>
      <c r="ASR11" s="199"/>
      <c r="ASS11" s="199"/>
      <c r="AST11" s="199"/>
      <c r="ASU11" s="199"/>
      <c r="ASV11" s="199"/>
      <c r="ASW11" s="199"/>
      <c r="ASX11" s="199"/>
      <c r="ASY11" s="199"/>
      <c r="ASZ11" s="199"/>
      <c r="ATA11" s="199"/>
      <c r="ATB11" s="199"/>
      <c r="ATC11" s="199"/>
      <c r="ATD11" s="199"/>
      <c r="ATE11" s="199"/>
      <c r="ATF11" s="199"/>
      <c r="ATG11" s="199"/>
      <c r="ATH11" s="199"/>
      <c r="ATI11" s="199"/>
      <c r="ATJ11" s="199" t="s">
        <v>113</v>
      </c>
      <c r="ATK11" s="199"/>
      <c r="ATL11" s="199"/>
      <c r="ATM11" s="199"/>
      <c r="ATN11" s="199"/>
      <c r="ATO11" s="199"/>
      <c r="ATP11" s="199"/>
      <c r="ATQ11" s="199"/>
      <c r="ATR11" s="199"/>
      <c r="ATS11" s="199"/>
      <c r="ATT11" s="199"/>
      <c r="ATU11" s="199"/>
      <c r="ATV11" s="199"/>
      <c r="ATW11" s="199"/>
      <c r="ATX11" s="199"/>
      <c r="ATY11" s="199"/>
      <c r="ATZ11" s="199"/>
      <c r="AUA11" s="199"/>
      <c r="AUB11" s="199"/>
      <c r="AUC11" s="199"/>
      <c r="AUD11" s="199"/>
      <c r="AUE11" s="199"/>
      <c r="AUF11" s="199"/>
      <c r="AUG11" s="199"/>
      <c r="AUH11" s="199"/>
      <c r="AUI11" s="199"/>
      <c r="AUJ11" s="199"/>
      <c r="AUK11" s="199"/>
      <c r="AUL11" s="199"/>
      <c r="AUM11" s="199"/>
      <c r="AUN11" s="199"/>
      <c r="AUO11" s="199"/>
      <c r="AUP11" s="199"/>
      <c r="AUQ11" s="199"/>
      <c r="AUR11" s="199"/>
      <c r="AUS11" s="199"/>
      <c r="AUT11" s="199"/>
      <c r="AUU11" s="199"/>
      <c r="AUV11" s="199"/>
      <c r="AUW11" s="199"/>
      <c r="AUX11" s="199"/>
      <c r="AUY11" s="199"/>
      <c r="AUZ11" s="199"/>
      <c r="AVA11" s="199"/>
      <c r="AVB11" s="199"/>
      <c r="AVC11" s="199"/>
      <c r="AVD11" s="199"/>
      <c r="AVE11" s="199"/>
      <c r="AVF11" s="199"/>
      <c r="AVG11" s="199"/>
      <c r="AVH11" s="199"/>
      <c r="AVI11" s="199"/>
      <c r="AVJ11" s="199"/>
      <c r="AVK11" s="199"/>
      <c r="AVL11" s="199"/>
      <c r="AVM11" s="199"/>
      <c r="AVN11" s="199"/>
      <c r="AVO11" s="199"/>
      <c r="AVP11" s="199"/>
      <c r="AVQ11" s="199"/>
      <c r="AVR11" s="199" t="s">
        <v>110</v>
      </c>
      <c r="AVS11" s="199"/>
      <c r="AVT11" s="199"/>
      <c r="AVU11" s="199"/>
      <c r="AVV11" s="199"/>
      <c r="AVW11" s="199"/>
      <c r="AVX11" s="199"/>
      <c r="AVY11" s="199"/>
      <c r="AVZ11" s="199"/>
      <c r="AWA11" s="199"/>
      <c r="AWB11" s="199"/>
      <c r="AWC11" s="199"/>
      <c r="AWD11" s="199"/>
      <c r="AWE11" s="199"/>
      <c r="AWF11" s="199"/>
      <c r="AWG11" s="199"/>
      <c r="AWH11" s="199"/>
      <c r="AWI11" s="199"/>
      <c r="AWJ11" s="199"/>
      <c r="AWK11" s="199"/>
      <c r="AWL11" s="199"/>
      <c r="AWM11" s="199"/>
      <c r="AWN11" s="199"/>
      <c r="AWO11" s="199"/>
      <c r="AWP11" s="199"/>
      <c r="AWQ11" s="199"/>
      <c r="AWR11" s="199"/>
      <c r="AWS11" s="199"/>
      <c r="AWT11" s="199"/>
      <c r="AWU11" s="199"/>
      <c r="AWV11" s="199"/>
      <c r="AWW11" s="199"/>
      <c r="AWX11" s="199"/>
      <c r="AWY11" s="199"/>
      <c r="AWZ11" s="199"/>
      <c r="AXA11" s="199"/>
      <c r="AXB11" s="199"/>
      <c r="AXC11" s="199"/>
      <c r="AXD11" s="199"/>
      <c r="AXE11" s="199"/>
      <c r="AXF11" s="199"/>
      <c r="AXG11" s="199"/>
      <c r="AXH11" s="199"/>
      <c r="AXI11" s="199"/>
      <c r="AXJ11" s="199"/>
      <c r="AXK11" s="199"/>
      <c r="AXL11" s="199"/>
      <c r="AXM11" s="199"/>
      <c r="AXN11" s="199"/>
      <c r="AXO11" s="199"/>
      <c r="AXP11" s="199"/>
      <c r="AXQ11" s="199"/>
      <c r="AXR11" s="199"/>
      <c r="AXS11" s="199"/>
      <c r="AXT11" s="199"/>
      <c r="AXU11" s="199"/>
      <c r="AXV11" s="199"/>
      <c r="AXW11" s="199"/>
      <c r="AXX11" s="199"/>
      <c r="AXY11" s="199"/>
      <c r="AXZ11" s="199" t="s">
        <v>110</v>
      </c>
      <c r="AYA11" s="199"/>
      <c r="AYB11" s="199"/>
      <c r="AYC11" s="199"/>
      <c r="AYD11" s="199"/>
      <c r="AYE11" s="199"/>
      <c r="AYF11" s="199"/>
      <c r="AYG11" s="199"/>
      <c r="AYH11" s="199"/>
      <c r="AYI11" s="199"/>
      <c r="AYJ11" s="199"/>
      <c r="AYK11" s="199"/>
      <c r="AYL11" s="199"/>
      <c r="AYM11" s="199"/>
      <c r="AYN11" s="199"/>
      <c r="AYO11" s="199"/>
      <c r="AYP11" s="199"/>
      <c r="AYQ11" s="199"/>
      <c r="AYR11" s="199"/>
      <c r="AYS11" s="199"/>
      <c r="AYT11" s="199"/>
      <c r="AYU11" s="199"/>
      <c r="AYV11" s="199"/>
      <c r="AYW11" s="199"/>
      <c r="AYX11" s="199"/>
      <c r="AYY11" s="199"/>
      <c r="AYZ11" s="199"/>
      <c r="AZA11" s="199"/>
      <c r="AZB11" s="199"/>
      <c r="AZC11" s="199"/>
      <c r="AZD11" s="199"/>
      <c r="AZE11" s="199"/>
      <c r="AZF11" s="199"/>
      <c r="AZG11" s="199"/>
      <c r="AZH11" s="199"/>
      <c r="AZI11" s="199"/>
      <c r="AZJ11" s="199"/>
      <c r="AZK11" s="199"/>
      <c r="AZL11" s="199"/>
      <c r="AZM11" s="199"/>
      <c r="AZN11" s="199"/>
      <c r="AZO11" s="199"/>
      <c r="AZP11" s="199"/>
      <c r="AZQ11" s="199"/>
      <c r="AZR11" s="199"/>
      <c r="AZS11" s="199"/>
      <c r="AZT11" s="199"/>
      <c r="AZU11" s="199"/>
      <c r="AZV11" s="199"/>
      <c r="AZW11" s="199"/>
      <c r="AZX11" s="199"/>
      <c r="AZY11" s="199"/>
      <c r="AZZ11" s="199"/>
      <c r="BAA11" s="199"/>
      <c r="BAB11" s="199"/>
      <c r="BAC11" s="199"/>
      <c r="BAD11" s="199"/>
      <c r="BAE11" s="199"/>
      <c r="BAF11" s="199"/>
      <c r="BAG11" s="199"/>
      <c r="BAH11" s="199" t="s">
        <v>107</v>
      </c>
      <c r="BAI11" s="199"/>
      <c r="BAJ11" s="199"/>
      <c r="BAK11" s="199"/>
      <c r="BAL11" s="199"/>
      <c r="BAM11" s="199"/>
      <c r="BAN11" s="199"/>
      <c r="BAO11" s="199"/>
      <c r="BAP11" s="199"/>
      <c r="BAQ11" s="199"/>
      <c r="BAR11" s="199"/>
      <c r="BAS11" s="199"/>
      <c r="BAT11" s="199"/>
      <c r="BAU11" s="199"/>
      <c r="BAV11" s="199"/>
      <c r="BAW11" s="199"/>
      <c r="BAX11" s="199"/>
      <c r="BAY11" s="199"/>
      <c r="BAZ11" s="199"/>
      <c r="BBA11" s="199"/>
      <c r="BBB11" s="199"/>
      <c r="BBC11" s="199"/>
      <c r="BBD11" s="199"/>
      <c r="BBE11" s="199"/>
      <c r="BBF11" s="199"/>
      <c r="BBG11" s="199"/>
      <c r="BBH11" s="199"/>
      <c r="BBI11" s="199"/>
      <c r="BBJ11" s="199"/>
      <c r="BBK11" s="199"/>
      <c r="BBL11" s="199"/>
      <c r="BBM11" s="199"/>
      <c r="BBN11" s="199"/>
      <c r="BBO11" s="199"/>
      <c r="BBP11" s="199"/>
      <c r="BBQ11" s="199"/>
      <c r="BBR11" s="199"/>
      <c r="BBS11" s="199"/>
      <c r="BBT11" s="199"/>
      <c r="BBU11" s="199"/>
      <c r="BBV11" s="199"/>
      <c r="BBW11" s="199"/>
      <c r="BBX11" s="199"/>
      <c r="BBY11" s="199"/>
      <c r="BBZ11" s="199"/>
      <c r="BCA11" s="199"/>
      <c r="BCB11" s="199"/>
      <c r="BCC11" s="199"/>
      <c r="BCD11" s="199"/>
      <c r="BCE11" s="199"/>
      <c r="BCF11" s="199"/>
      <c r="BCG11" s="199"/>
      <c r="BCH11" s="199"/>
      <c r="BCI11" s="199"/>
      <c r="BCJ11" s="199"/>
      <c r="BCK11" s="199"/>
      <c r="BCL11" s="199"/>
      <c r="BCM11" s="199"/>
      <c r="BCN11" s="199"/>
      <c r="BCO11" s="199"/>
      <c r="BCP11" s="199" t="s">
        <v>107</v>
      </c>
      <c r="BCQ11" s="199"/>
      <c r="BCR11" s="199"/>
      <c r="BCS11" s="199"/>
      <c r="BCT11" s="199"/>
      <c r="BCU11" s="199"/>
      <c r="BCV11" s="199"/>
      <c r="BCW11" s="199"/>
      <c r="BCX11" s="199"/>
      <c r="BCY11" s="199"/>
      <c r="BCZ11" s="199"/>
      <c r="BDA11" s="199"/>
      <c r="BDB11" s="199"/>
      <c r="BDC11" s="199"/>
      <c r="BDD11" s="199"/>
      <c r="BDE11" s="199"/>
      <c r="BDF11" s="199"/>
      <c r="BDG11" s="199"/>
      <c r="BDH11" s="199"/>
      <c r="BDI11" s="199"/>
      <c r="BDJ11" s="199"/>
      <c r="BDK11" s="199"/>
      <c r="BDL11" s="199"/>
      <c r="BDM11" s="199"/>
      <c r="BDN11" s="199"/>
      <c r="BDO11" s="199"/>
      <c r="BDP11" s="199"/>
      <c r="BDQ11" s="199"/>
      <c r="BDR11" s="199"/>
      <c r="BDS11" s="199"/>
      <c r="BDT11" s="199"/>
      <c r="BDU11" s="199"/>
      <c r="BDV11" s="199"/>
      <c r="BDW11" s="199"/>
      <c r="BDX11" s="199"/>
      <c r="BDY11" s="199"/>
      <c r="BDZ11" s="199"/>
      <c r="BEA11" s="199"/>
      <c r="BEB11" s="199"/>
      <c r="BEC11" s="199"/>
      <c r="BED11" s="199"/>
      <c r="BEE11" s="199"/>
      <c r="BEF11" s="199"/>
      <c r="BEG11" s="199"/>
      <c r="BEH11" s="199"/>
      <c r="BEI11" s="199"/>
      <c r="BEJ11" s="199"/>
      <c r="BEK11" s="199"/>
      <c r="BEL11" s="199"/>
      <c r="BEM11" s="199"/>
      <c r="BEN11" s="199"/>
      <c r="BEO11" s="199"/>
      <c r="BEP11" s="199"/>
      <c r="BEQ11" s="199"/>
      <c r="BER11" s="199"/>
      <c r="BES11" s="199"/>
      <c r="BET11" s="199"/>
      <c r="BEU11" s="199"/>
      <c r="BEV11" s="199"/>
      <c r="BEW11" s="199"/>
      <c r="BEX11" s="199" t="s">
        <v>105</v>
      </c>
      <c r="BEY11" s="199"/>
      <c r="BEZ11" s="199"/>
      <c r="BFA11" s="199"/>
      <c r="BFB11" s="199"/>
      <c r="BFC11" s="199"/>
      <c r="BFD11" s="199"/>
      <c r="BFE11" s="199"/>
      <c r="BFF11" s="199"/>
      <c r="BFG11" s="199"/>
      <c r="BFH11" s="199"/>
      <c r="BFI11" s="199"/>
      <c r="BFJ11" s="199"/>
      <c r="BFK11" s="199"/>
      <c r="BFL11" s="199"/>
      <c r="BFM11" s="199"/>
      <c r="BFN11" s="199"/>
      <c r="BFO11" s="199"/>
      <c r="BFP11" s="199"/>
      <c r="BFQ11" s="199"/>
      <c r="BFR11" s="199"/>
      <c r="BFS11" s="199"/>
      <c r="BFT11" s="199"/>
      <c r="BFU11" s="199"/>
      <c r="BFV11" s="199"/>
      <c r="BFW11" s="199"/>
      <c r="BFX11" s="199"/>
      <c r="BFY11" s="199"/>
      <c r="BFZ11" s="199"/>
      <c r="BGA11" s="199"/>
      <c r="BGB11" s="199"/>
      <c r="BGC11" s="199"/>
      <c r="BGD11" s="199"/>
      <c r="BGE11" s="199"/>
      <c r="BGF11" s="199"/>
      <c r="BGG11" s="199"/>
      <c r="BGH11" s="199"/>
      <c r="BGI11" s="199"/>
      <c r="BGJ11" s="199"/>
      <c r="BGK11" s="199"/>
      <c r="BGL11" s="199"/>
      <c r="BGM11" s="199"/>
      <c r="BGN11" s="199"/>
      <c r="BGO11" s="199"/>
      <c r="BGP11" s="199"/>
      <c r="BGQ11" s="199"/>
      <c r="BGR11" s="199"/>
      <c r="BGS11" s="199"/>
      <c r="BGT11" s="199"/>
      <c r="BGU11" s="199"/>
      <c r="BGV11" s="199"/>
      <c r="BGW11" s="199"/>
      <c r="BGX11" s="199"/>
      <c r="BGY11" s="199"/>
      <c r="BGZ11" s="199"/>
      <c r="BHA11" s="199"/>
      <c r="BHB11" s="199"/>
      <c r="BHC11" s="199"/>
      <c r="BHD11" s="199"/>
      <c r="BHE11" s="199"/>
      <c r="BHF11" s="199" t="s">
        <v>102</v>
      </c>
      <c r="BHG11" s="199"/>
      <c r="BHH11" s="199"/>
      <c r="BHI11" s="199"/>
      <c r="BHJ11" s="199"/>
      <c r="BHK11" s="199"/>
      <c r="BHL11" s="199"/>
      <c r="BHM11" s="199"/>
      <c r="BHN11" s="199"/>
      <c r="BHO11" s="199"/>
      <c r="BHP11" s="199"/>
      <c r="BHQ11" s="199"/>
      <c r="BHR11" s="199"/>
      <c r="BHS11" s="199"/>
      <c r="BHT11" s="199"/>
      <c r="BHU11" s="199"/>
      <c r="BHV11" s="199"/>
      <c r="BHW11" s="199"/>
      <c r="BHX11" s="199"/>
      <c r="BHY11" s="199"/>
      <c r="BHZ11" s="199"/>
      <c r="BIA11" s="199"/>
      <c r="BIB11" s="199"/>
      <c r="BIC11" s="199"/>
      <c r="BID11" s="199"/>
      <c r="BIE11" s="199"/>
      <c r="BIF11" s="199"/>
      <c r="BIG11" s="199"/>
      <c r="BIH11" s="199"/>
      <c r="BII11" s="199"/>
      <c r="BIJ11" s="199"/>
      <c r="BIK11" s="199"/>
      <c r="BIL11" s="199"/>
      <c r="BIM11" s="199"/>
      <c r="BIN11" s="199"/>
      <c r="BIO11" s="199"/>
      <c r="BIP11" s="199"/>
      <c r="BIQ11" s="199"/>
      <c r="BIR11" s="199"/>
      <c r="BIS11" s="199"/>
      <c r="BIT11" s="199"/>
      <c r="BIU11" s="199"/>
      <c r="BIV11" s="199"/>
      <c r="BIW11" s="199"/>
      <c r="BIX11" s="199"/>
      <c r="BIY11" s="199"/>
      <c r="BIZ11" s="199"/>
      <c r="BJA11" s="199"/>
      <c r="BJB11" s="199"/>
      <c r="BJC11" s="199"/>
      <c r="BJD11" s="199"/>
      <c r="BJE11" s="199"/>
      <c r="BJF11" s="199"/>
      <c r="BJG11" s="199"/>
      <c r="BJH11" s="199"/>
      <c r="BJI11" s="199"/>
      <c r="BJJ11" s="199"/>
      <c r="BJK11" s="199"/>
      <c r="BJL11" s="199"/>
      <c r="BJM11" s="199"/>
      <c r="BJN11" s="199" t="s">
        <v>102</v>
      </c>
      <c r="BJO11" s="199"/>
      <c r="BJP11" s="199"/>
      <c r="BJQ11" s="199"/>
      <c r="BJR11" s="199"/>
      <c r="BJS11" s="199"/>
      <c r="BJT11" s="199"/>
      <c r="BJU11" s="199"/>
      <c r="BJV11" s="199"/>
      <c r="BJW11" s="199"/>
      <c r="BJX11" s="199"/>
      <c r="BJY11" s="199"/>
      <c r="BJZ11" s="199"/>
      <c r="BKA11" s="199"/>
      <c r="BKB11" s="199"/>
      <c r="BKC11" s="199"/>
      <c r="BKD11" s="199"/>
      <c r="BKE11" s="199"/>
      <c r="BKF11" s="199"/>
      <c r="BKG11" s="199"/>
      <c r="BKH11" s="199"/>
      <c r="BKI11" s="199"/>
      <c r="BKJ11" s="199"/>
      <c r="BKK11" s="199"/>
      <c r="BKL11" s="199"/>
      <c r="BKM11" s="199"/>
      <c r="BKN11" s="199"/>
      <c r="BKO11" s="199"/>
      <c r="BKP11" s="199"/>
      <c r="BKQ11" s="199"/>
      <c r="BKR11" s="199"/>
      <c r="BKS11" s="199"/>
      <c r="BKT11" s="199"/>
      <c r="BKU11" s="199"/>
      <c r="BKV11" s="199"/>
      <c r="BKW11" s="199"/>
      <c r="BKX11" s="199"/>
      <c r="BKY11" s="199"/>
      <c r="BKZ11" s="199"/>
      <c r="BLA11" s="199"/>
      <c r="BLB11" s="199"/>
      <c r="BLC11" s="199"/>
      <c r="BLD11" s="199"/>
      <c r="BLE11" s="199"/>
      <c r="BLF11" s="199"/>
      <c r="BLG11" s="199"/>
      <c r="BLH11" s="199"/>
      <c r="BLI11" s="199"/>
      <c r="BLJ11" s="199"/>
      <c r="BLK11" s="199"/>
      <c r="BLL11" s="199"/>
      <c r="BLM11" s="199"/>
      <c r="BLN11" s="199"/>
      <c r="BLO11" s="199"/>
      <c r="BLP11" s="199"/>
      <c r="BLQ11" s="199"/>
      <c r="BLR11" s="199"/>
      <c r="BLS11" s="199"/>
      <c r="BLT11" s="199"/>
      <c r="BLU11" s="199"/>
      <c r="BLV11" s="199" t="s">
        <v>99</v>
      </c>
      <c r="BLW11" s="199"/>
      <c r="BLX11" s="199"/>
      <c r="BLY11" s="199"/>
      <c r="BLZ11" s="199"/>
      <c r="BMA11" s="199"/>
      <c r="BMB11" s="199"/>
      <c r="BMC11" s="199"/>
      <c r="BMD11" s="199"/>
      <c r="BME11" s="199"/>
      <c r="BMF11" s="199"/>
      <c r="BMG11" s="199"/>
      <c r="BMH11" s="199"/>
      <c r="BMI11" s="199"/>
      <c r="BMJ11" s="199"/>
      <c r="BMK11" s="199"/>
      <c r="BML11" s="199"/>
      <c r="BMM11" s="199"/>
      <c r="BMN11" s="199"/>
      <c r="BMO11" s="199"/>
      <c r="BMP11" s="199"/>
      <c r="BMQ11" s="199"/>
      <c r="BMR11" s="199"/>
      <c r="BMS11" s="199"/>
      <c r="BMT11" s="199"/>
      <c r="BMU11" s="199"/>
      <c r="BMV11" s="199"/>
      <c r="BMW11" s="199"/>
      <c r="BMX11" s="199"/>
      <c r="BMY11" s="199"/>
      <c r="BMZ11" s="199"/>
      <c r="BNA11" s="199"/>
      <c r="BNB11" s="199"/>
      <c r="BNC11" s="199"/>
      <c r="BND11" s="199"/>
      <c r="BNE11" s="199"/>
      <c r="BNF11" s="199"/>
      <c r="BNG11" s="199"/>
      <c r="BNH11" s="199"/>
      <c r="BNI11" s="199"/>
      <c r="BNJ11" s="199"/>
      <c r="BNK11" s="199"/>
      <c r="BNL11" s="199"/>
      <c r="BNM11" s="199"/>
      <c r="BNN11" s="199"/>
      <c r="BNO11" s="199"/>
      <c r="BNP11" s="199"/>
      <c r="BNQ11" s="199"/>
      <c r="BNR11" s="199"/>
      <c r="BNS11" s="199"/>
      <c r="BNT11" s="199"/>
      <c r="BNU11" s="199"/>
      <c r="BNV11" s="199"/>
      <c r="BNW11" s="199"/>
      <c r="BNX11" s="199"/>
      <c r="BNY11" s="199"/>
      <c r="BNZ11" s="199"/>
      <c r="BOA11" s="199"/>
      <c r="BOB11" s="199"/>
      <c r="BOC11" s="199"/>
      <c r="BOD11" s="199" t="s">
        <v>99</v>
      </c>
      <c r="BOE11" s="199"/>
      <c r="BOF11" s="199"/>
      <c r="BOG11" s="199"/>
      <c r="BOH11" s="199"/>
      <c r="BOI11" s="199"/>
      <c r="BOJ11" s="199"/>
      <c r="BOK11" s="199"/>
      <c r="BOL11" s="199"/>
      <c r="BOM11" s="199"/>
      <c r="BON11" s="199"/>
      <c r="BOO11" s="199"/>
      <c r="BOP11" s="199"/>
      <c r="BOQ11" s="199"/>
      <c r="BOR11" s="199"/>
      <c r="BOS11" s="199"/>
      <c r="BOT11" s="199"/>
      <c r="BOU11" s="199"/>
      <c r="BOV11" s="199"/>
      <c r="BOW11" s="199"/>
      <c r="BOX11" s="199"/>
      <c r="BOY11" s="199"/>
      <c r="BOZ11" s="199"/>
      <c r="BPA11" s="199"/>
      <c r="BPB11" s="199"/>
      <c r="BPC11" s="199"/>
      <c r="BPD11" s="199"/>
      <c r="BPE11" s="199"/>
      <c r="BPF11" s="199"/>
      <c r="BPG11" s="199"/>
      <c r="BPH11" s="199"/>
      <c r="BPI11" s="199"/>
      <c r="BPJ11" s="199"/>
      <c r="BPK11" s="199"/>
      <c r="BPL11" s="199"/>
      <c r="BPM11" s="199"/>
      <c r="BPN11" s="199"/>
      <c r="BPO11" s="199"/>
      <c r="BPP11" s="199"/>
      <c r="BPQ11" s="199"/>
      <c r="BPR11" s="199"/>
      <c r="BPS11" s="199"/>
      <c r="BPT11" s="199"/>
      <c r="BPU11" s="199"/>
      <c r="BPV11" s="199"/>
      <c r="BPW11" s="199"/>
      <c r="BPX11" s="199"/>
      <c r="BPY11" s="199"/>
      <c r="BPZ11" s="199"/>
      <c r="BQA11" s="199"/>
      <c r="BQB11" s="199"/>
      <c r="BQC11" s="199"/>
      <c r="BQD11" s="199"/>
      <c r="BQE11" s="199"/>
      <c r="BQF11" s="199"/>
      <c r="BQG11" s="199"/>
      <c r="BQH11" s="199"/>
      <c r="BQI11" s="199"/>
      <c r="BQJ11" s="199"/>
      <c r="BQK11" s="199"/>
      <c r="BQL11" s="199" t="s">
        <v>96</v>
      </c>
      <c r="BQM11" s="199"/>
      <c r="BQN11" s="199"/>
      <c r="BQO11" s="199"/>
      <c r="BQP11" s="199"/>
      <c r="BQQ11" s="199"/>
      <c r="BQR11" s="199"/>
      <c r="BQS11" s="199"/>
      <c r="BQT11" s="199"/>
      <c r="BQU11" s="199"/>
      <c r="BQV11" s="199"/>
      <c r="BQW11" s="199"/>
      <c r="BQX11" s="199"/>
      <c r="BQY11" s="199"/>
      <c r="BQZ11" s="199"/>
      <c r="BRA11" s="199"/>
      <c r="BRB11" s="199"/>
      <c r="BRC11" s="199"/>
      <c r="BRD11" s="199"/>
      <c r="BRE11" s="199"/>
      <c r="BRF11" s="199"/>
      <c r="BRG11" s="199"/>
      <c r="BRH11" s="199"/>
      <c r="BRI11" s="199"/>
      <c r="BRJ11" s="199"/>
      <c r="BRK11" s="199"/>
      <c r="BRL11" s="199"/>
      <c r="BRM11" s="199"/>
      <c r="BRN11" s="199"/>
      <c r="BRO11" s="199"/>
      <c r="BRP11" s="199"/>
      <c r="BRQ11" s="199"/>
      <c r="BRR11" s="199"/>
      <c r="BRS11" s="199"/>
      <c r="BRT11" s="199"/>
      <c r="BRU11" s="199"/>
      <c r="BRV11" s="199"/>
      <c r="BRW11" s="199"/>
      <c r="BRX11" s="199"/>
      <c r="BRY11" s="199"/>
      <c r="BRZ11" s="199"/>
      <c r="BSA11" s="199"/>
      <c r="BSB11" s="199"/>
      <c r="BSC11" s="199"/>
      <c r="BSD11" s="199"/>
      <c r="BSE11" s="199"/>
      <c r="BSF11" s="199"/>
      <c r="BSG11" s="199"/>
      <c r="BSH11" s="199"/>
      <c r="BSI11" s="199"/>
      <c r="BSJ11" s="199"/>
      <c r="BSK11" s="199"/>
      <c r="BSL11" s="199"/>
      <c r="BSM11" s="199"/>
      <c r="BSN11" s="199"/>
      <c r="BSO11" s="199"/>
      <c r="BSP11" s="199"/>
      <c r="BSQ11" s="199"/>
      <c r="BSR11" s="199"/>
      <c r="BSS11" s="199"/>
      <c r="BST11" s="199" t="s">
        <v>96</v>
      </c>
      <c r="BSU11" s="199"/>
      <c r="BSV11" s="199"/>
      <c r="BSW11" s="199"/>
      <c r="BSX11" s="199"/>
      <c r="BSY11" s="199"/>
      <c r="BSZ11" s="199"/>
      <c r="BTA11" s="199"/>
      <c r="BTB11" s="199"/>
      <c r="BTC11" s="199"/>
      <c r="BTD11" s="199"/>
      <c r="BTE11" s="199"/>
      <c r="BTF11" s="199"/>
      <c r="BTG11" s="199"/>
      <c r="BTH11" s="199"/>
      <c r="BTI11" s="199"/>
      <c r="BTJ11" s="199"/>
      <c r="BTK11" s="199"/>
      <c r="BTL11" s="199"/>
      <c r="BTM11" s="199"/>
      <c r="BTN11" s="199"/>
      <c r="BTO11" s="199"/>
      <c r="BTP11" s="199"/>
      <c r="BTQ11" s="199"/>
      <c r="BTR11" s="199"/>
      <c r="BTS11" s="199"/>
      <c r="BTT11" s="199"/>
      <c r="BTU11" s="199"/>
      <c r="BTV11" s="199"/>
      <c r="BTW11" s="199"/>
      <c r="BTX11" s="199"/>
      <c r="BTY11" s="199"/>
      <c r="BTZ11" s="199"/>
      <c r="BUA11" s="199"/>
      <c r="BUB11" s="199"/>
      <c r="BUC11" s="199"/>
      <c r="BUD11" s="199"/>
      <c r="BUE11" s="199"/>
      <c r="BUF11" s="199"/>
      <c r="BUG11" s="199"/>
      <c r="BUH11" s="199"/>
      <c r="BUI11" s="199"/>
      <c r="BUJ11" s="199"/>
      <c r="BUK11" s="199"/>
      <c r="BUL11" s="199"/>
      <c r="BUM11" s="199"/>
      <c r="BUN11" s="199"/>
      <c r="BUO11" s="199"/>
      <c r="BUP11" s="199"/>
      <c r="BUQ11" s="199"/>
      <c r="BUR11" s="199"/>
      <c r="BUS11" s="199"/>
      <c r="BUT11" s="199"/>
      <c r="BUU11" s="199"/>
      <c r="BUV11" s="199"/>
      <c r="BUW11" s="199"/>
      <c r="BUX11" s="199"/>
      <c r="BUY11" s="199"/>
      <c r="BUZ11" s="199"/>
      <c r="BVA11" s="199"/>
      <c r="BVB11" s="199" t="s">
        <v>94</v>
      </c>
      <c r="BVC11" s="199"/>
      <c r="BVD11" s="199"/>
      <c r="BVE11" s="199"/>
      <c r="BVF11" s="199"/>
      <c r="BVG11" s="199"/>
      <c r="BVH11" s="199"/>
      <c r="BVI11" s="199"/>
      <c r="BVJ11" s="199"/>
      <c r="BVK11" s="199"/>
      <c r="BVL11" s="199"/>
      <c r="BVM11" s="199"/>
      <c r="BVN11" s="199"/>
      <c r="BVO11" s="199"/>
      <c r="BVP11" s="199"/>
      <c r="BVQ11" s="199"/>
      <c r="BVR11" s="199"/>
      <c r="BVS11" s="199"/>
      <c r="BVT11" s="199"/>
      <c r="BVU11" s="199"/>
      <c r="BVV11" s="199"/>
      <c r="BVW11" s="199"/>
      <c r="BVX11" s="199"/>
      <c r="BVY11" s="199"/>
      <c r="BVZ11" s="199"/>
      <c r="BWA11" s="199"/>
      <c r="BWB11" s="199"/>
      <c r="BWC11" s="199"/>
      <c r="BWD11" s="199"/>
      <c r="BWE11" s="199"/>
      <c r="BWF11" s="199"/>
      <c r="BWG11" s="199"/>
      <c r="BWH11" s="199"/>
      <c r="BWI11" s="199"/>
      <c r="BWJ11" s="199"/>
      <c r="BWK11" s="199"/>
      <c r="BWL11" s="199"/>
      <c r="BWM11" s="199"/>
      <c r="BWN11" s="199"/>
      <c r="BWO11" s="199"/>
      <c r="BWP11" s="199"/>
      <c r="BWQ11" s="199"/>
      <c r="BWR11" s="199"/>
      <c r="BWS11" s="199"/>
      <c r="BWT11" s="199"/>
      <c r="BWU11" s="199"/>
      <c r="BWV11" s="199"/>
      <c r="BWW11" s="199"/>
      <c r="BWX11" s="199"/>
      <c r="BWY11" s="199"/>
      <c r="BWZ11" s="199"/>
      <c r="BXA11" s="199"/>
      <c r="BXB11" s="199"/>
      <c r="BXC11" s="199"/>
      <c r="BXD11" s="199"/>
      <c r="BXE11" s="199"/>
      <c r="BXF11" s="199"/>
      <c r="BXG11" s="199"/>
      <c r="BXH11" s="199"/>
      <c r="BXI11" s="199"/>
      <c r="BXJ11" s="199" t="s">
        <v>91</v>
      </c>
      <c r="BXK11" s="199"/>
      <c r="BXL11" s="199"/>
      <c r="BXM11" s="199"/>
      <c r="BXN11" s="199"/>
      <c r="BXO11" s="199"/>
      <c r="BXP11" s="199"/>
      <c r="BXQ11" s="199"/>
      <c r="BXR11" s="199"/>
      <c r="BXS11" s="199"/>
      <c r="BXT11" s="199"/>
      <c r="BXU11" s="199"/>
      <c r="BXV11" s="199"/>
      <c r="BXW11" s="199"/>
      <c r="BXX11" s="199"/>
      <c r="BXY11" s="199"/>
      <c r="BXZ11" s="199"/>
      <c r="BYA11" s="199"/>
      <c r="BYB11" s="199"/>
      <c r="BYC11" s="199"/>
      <c r="BYD11" s="199"/>
      <c r="BYE11" s="199"/>
      <c r="BYF11" s="199"/>
      <c r="BYG11" s="199"/>
      <c r="BYH11" s="199"/>
      <c r="BYI11" s="199"/>
      <c r="BYJ11" s="199"/>
      <c r="BYK11" s="199"/>
      <c r="BYL11" s="199"/>
      <c r="BYM11" s="199"/>
      <c r="BYN11" s="199"/>
      <c r="BYO11" s="199"/>
      <c r="BYP11" s="199"/>
      <c r="BYQ11" s="199"/>
      <c r="BYR11" s="199"/>
      <c r="BYS11" s="199"/>
      <c r="BYT11" s="199"/>
      <c r="BYU11" s="199"/>
      <c r="BYV11" s="199"/>
      <c r="BYW11" s="199"/>
      <c r="BYX11" s="199"/>
      <c r="BYY11" s="199"/>
      <c r="BYZ11" s="199"/>
      <c r="BZA11" s="199"/>
      <c r="BZB11" s="199"/>
      <c r="BZC11" s="199"/>
      <c r="BZD11" s="199"/>
      <c r="BZE11" s="199"/>
      <c r="BZF11" s="199"/>
      <c r="BZG11" s="199"/>
      <c r="BZH11" s="199"/>
      <c r="BZI11" s="199"/>
      <c r="BZJ11" s="199"/>
      <c r="BZK11" s="199"/>
      <c r="BZL11" s="199"/>
      <c r="BZM11" s="199"/>
      <c r="BZN11" s="199"/>
      <c r="BZO11" s="199"/>
      <c r="BZP11" s="199"/>
      <c r="BZQ11" s="199"/>
      <c r="BZR11" s="199" t="s">
        <v>91</v>
      </c>
      <c r="BZS11" s="199"/>
      <c r="BZT11" s="199"/>
      <c r="BZU11" s="199"/>
      <c r="BZV11" s="199"/>
      <c r="BZW11" s="199"/>
      <c r="BZX11" s="199"/>
      <c r="BZY11" s="199"/>
      <c r="BZZ11" s="199"/>
      <c r="CAA11" s="199"/>
      <c r="CAB11" s="199"/>
      <c r="CAC11" s="199"/>
      <c r="CAD11" s="199"/>
      <c r="CAE11" s="199"/>
      <c r="CAF11" s="199"/>
      <c r="CAG11" s="199"/>
      <c r="CAH11" s="199"/>
      <c r="CAI11" s="199"/>
      <c r="CAJ11" s="199"/>
      <c r="CAK11" s="199"/>
      <c r="CAL11" s="199"/>
      <c r="CAM11" s="199"/>
      <c r="CAN11" s="199"/>
      <c r="CAO11" s="199"/>
      <c r="CAP11" s="199"/>
      <c r="CAQ11" s="199"/>
      <c r="CAR11" s="199"/>
      <c r="CAS11" s="199"/>
      <c r="CAT11" s="199"/>
      <c r="CAU11" s="199"/>
      <c r="CAV11" s="199"/>
      <c r="CAW11" s="199"/>
      <c r="CAX11" s="199"/>
      <c r="CAY11" s="199"/>
      <c r="CAZ11" s="199"/>
      <c r="CBA11" s="199"/>
      <c r="CBB11" s="199"/>
      <c r="CBC11" s="199"/>
      <c r="CBD11" s="199"/>
      <c r="CBE11" s="199"/>
      <c r="CBF11" s="199"/>
      <c r="CBG11" s="199"/>
      <c r="CBH11" s="199"/>
      <c r="CBI11" s="199"/>
      <c r="CBJ11" s="199"/>
      <c r="CBK11" s="199"/>
      <c r="CBL11" s="199"/>
      <c r="CBM11" s="199"/>
      <c r="CBN11" s="199"/>
      <c r="CBO11" s="199"/>
      <c r="CBP11" s="199"/>
      <c r="CBQ11" s="199"/>
      <c r="CBR11" s="199"/>
      <c r="CBS11" s="199"/>
      <c r="CBT11" s="199"/>
      <c r="CBU11" s="199"/>
      <c r="CBV11" s="199"/>
      <c r="CBW11" s="199"/>
      <c r="CBX11" s="199"/>
      <c r="CBY11" s="199"/>
      <c r="CBZ11" s="199" t="s">
        <v>88</v>
      </c>
      <c r="CCA11" s="199"/>
      <c r="CCB11" s="199"/>
      <c r="CCC11" s="199"/>
      <c r="CCD11" s="199"/>
      <c r="CCE11" s="199"/>
      <c r="CCF11" s="199"/>
      <c r="CCG11" s="199"/>
      <c r="CCH11" s="199"/>
      <c r="CCI11" s="199"/>
      <c r="CCJ11" s="199"/>
      <c r="CCK11" s="199"/>
      <c r="CCL11" s="199"/>
      <c r="CCM11" s="199"/>
      <c r="CCN11" s="199"/>
      <c r="CCO11" s="199"/>
      <c r="CCP11" s="199"/>
      <c r="CCQ11" s="199"/>
      <c r="CCR11" s="199"/>
      <c r="CCS11" s="199"/>
      <c r="CCT11" s="199"/>
      <c r="CCU11" s="199"/>
      <c r="CCV11" s="199"/>
      <c r="CCW11" s="199"/>
      <c r="CCX11" s="199"/>
      <c r="CCY11" s="199"/>
      <c r="CCZ11" s="199"/>
      <c r="CDA11" s="199"/>
      <c r="CDB11" s="199"/>
      <c r="CDC11" s="199"/>
      <c r="CDD11" s="199"/>
      <c r="CDE11" s="199"/>
      <c r="CDF11" s="199"/>
      <c r="CDG11" s="199"/>
      <c r="CDH11" s="199"/>
      <c r="CDI11" s="199"/>
      <c r="CDJ11" s="199"/>
      <c r="CDK11" s="199"/>
      <c r="CDL11" s="199"/>
      <c r="CDM11" s="199"/>
      <c r="CDN11" s="199"/>
      <c r="CDO11" s="199"/>
      <c r="CDP11" s="199"/>
      <c r="CDQ11" s="199"/>
      <c r="CDR11" s="199"/>
      <c r="CDS11" s="199"/>
      <c r="CDT11" s="199"/>
      <c r="CDU11" s="199"/>
      <c r="CDV11" s="199"/>
      <c r="CDW11" s="199"/>
      <c r="CDX11" s="199"/>
      <c r="CDY11" s="199"/>
      <c r="CDZ11" s="199"/>
      <c r="CEA11" s="199"/>
      <c r="CEB11" s="199"/>
      <c r="CEC11" s="199"/>
      <c r="CED11" s="199"/>
      <c r="CEE11" s="199"/>
      <c r="CEF11" s="199"/>
      <c r="CEG11" s="199"/>
      <c r="CEH11" s="199" t="s">
        <v>88</v>
      </c>
      <c r="CEI11" s="199"/>
      <c r="CEJ11" s="199"/>
      <c r="CEK11" s="199"/>
      <c r="CEL11" s="199"/>
      <c r="CEM11" s="199"/>
      <c r="CEN11" s="199"/>
      <c r="CEO11" s="199"/>
      <c r="CEP11" s="199"/>
      <c r="CEQ11" s="199"/>
      <c r="CER11" s="199"/>
      <c r="CES11" s="199"/>
      <c r="CET11" s="199"/>
      <c r="CEU11" s="199"/>
      <c r="CEV11" s="199"/>
      <c r="CEW11" s="199"/>
      <c r="CEX11" s="199"/>
      <c r="CEY11" s="199"/>
      <c r="CEZ11" s="199"/>
      <c r="CFA11" s="199"/>
      <c r="CFB11" s="199"/>
      <c r="CFC11" s="199"/>
      <c r="CFD11" s="199"/>
      <c r="CFE11" s="199"/>
      <c r="CFF11" s="199"/>
      <c r="CFG11" s="199"/>
      <c r="CFH11" s="199"/>
      <c r="CFI11" s="199"/>
      <c r="CFJ11" s="199"/>
      <c r="CFK11" s="199"/>
      <c r="CFL11" s="199"/>
      <c r="CFM11" s="199"/>
      <c r="CFN11" s="199"/>
      <c r="CFO11" s="199"/>
      <c r="CFP11" s="199"/>
      <c r="CFQ11" s="199"/>
      <c r="CFR11" s="199"/>
      <c r="CFS11" s="199"/>
      <c r="CFT11" s="199"/>
      <c r="CFU11" s="199"/>
      <c r="CFV11" s="199"/>
      <c r="CFW11" s="199"/>
      <c r="CFX11" s="199"/>
      <c r="CFY11" s="199"/>
      <c r="CFZ11" s="199"/>
      <c r="CGA11" s="199"/>
      <c r="CGB11" s="199"/>
      <c r="CGC11" s="199"/>
      <c r="CGD11" s="199"/>
      <c r="CGE11" s="199"/>
      <c r="CGF11" s="199"/>
      <c r="CGG11" s="199"/>
      <c r="CGH11" s="199"/>
      <c r="CGI11" s="199"/>
      <c r="CGJ11" s="199"/>
      <c r="CGK11" s="199"/>
      <c r="CGL11" s="199"/>
      <c r="CGM11" s="199"/>
      <c r="CGN11" s="199"/>
      <c r="CGO11" s="199"/>
      <c r="CGP11" s="199" t="s">
        <v>85</v>
      </c>
      <c r="CGQ11" s="199"/>
      <c r="CGR11" s="199"/>
      <c r="CGS11" s="199"/>
      <c r="CGT11" s="199"/>
      <c r="CGU11" s="199"/>
      <c r="CGV11" s="199"/>
      <c r="CGW11" s="199"/>
      <c r="CGX11" s="199"/>
      <c r="CGY11" s="199"/>
      <c r="CGZ11" s="199"/>
      <c r="CHA11" s="199"/>
      <c r="CHB11" s="199"/>
      <c r="CHC11" s="199"/>
      <c r="CHD11" s="199"/>
      <c r="CHE11" s="199"/>
      <c r="CHF11" s="199"/>
      <c r="CHG11" s="199"/>
      <c r="CHH11" s="199"/>
      <c r="CHI11" s="199"/>
      <c r="CHJ11" s="199"/>
      <c r="CHK11" s="199"/>
      <c r="CHL11" s="199"/>
      <c r="CHM11" s="199"/>
      <c r="CHN11" s="199"/>
      <c r="CHO11" s="199"/>
      <c r="CHP11" s="199"/>
      <c r="CHQ11" s="199"/>
      <c r="CHR11" s="199"/>
      <c r="CHS11" s="199"/>
      <c r="CHT11" s="199"/>
      <c r="CHU11" s="199"/>
      <c r="CHV11" s="199"/>
      <c r="CHW11" s="199"/>
      <c r="CHX11" s="199"/>
      <c r="CHY11" s="199"/>
      <c r="CHZ11" s="199"/>
      <c r="CIA11" s="199"/>
      <c r="CIB11" s="199"/>
      <c r="CIC11" s="199"/>
      <c r="CID11" s="199"/>
      <c r="CIE11" s="199"/>
      <c r="CIF11" s="199"/>
      <c r="CIG11" s="199"/>
      <c r="CIH11" s="199"/>
      <c r="CII11" s="199"/>
      <c r="CIJ11" s="199"/>
      <c r="CIK11" s="199"/>
      <c r="CIL11" s="199"/>
      <c r="CIM11" s="199"/>
      <c r="CIN11" s="199"/>
      <c r="CIO11" s="199"/>
      <c r="CIP11" s="199"/>
      <c r="CIQ11" s="199"/>
      <c r="CIR11" s="199"/>
      <c r="CIS11" s="199"/>
      <c r="CIT11" s="199"/>
      <c r="CIU11" s="199"/>
      <c r="CIV11" s="199"/>
      <c r="CIW11" s="199"/>
      <c r="CIX11" s="199" t="s">
        <v>85</v>
      </c>
      <c r="CIY11" s="199"/>
      <c r="CIZ11" s="199"/>
      <c r="CJA11" s="199"/>
      <c r="CJB11" s="199"/>
      <c r="CJC11" s="199"/>
      <c r="CJD11" s="199"/>
      <c r="CJE11" s="199"/>
      <c r="CJF11" s="199"/>
      <c r="CJG11" s="199"/>
      <c r="CJH11" s="199"/>
      <c r="CJI11" s="199"/>
      <c r="CJJ11" s="199"/>
      <c r="CJK11" s="199"/>
      <c r="CJL11" s="199"/>
      <c r="CJM11" s="199"/>
      <c r="CJN11" s="199"/>
      <c r="CJO11" s="199"/>
      <c r="CJP11" s="199"/>
      <c r="CJQ11" s="199"/>
      <c r="CJR11" s="199"/>
      <c r="CJS11" s="199"/>
      <c r="CJT11" s="199"/>
      <c r="CJU11" s="199"/>
      <c r="CJV11" s="199"/>
      <c r="CJW11" s="199"/>
      <c r="CJX11" s="199"/>
      <c r="CJY11" s="199"/>
      <c r="CJZ11" s="199"/>
      <c r="CKA11" s="199"/>
      <c r="CKB11" s="199"/>
      <c r="CKC11" s="199"/>
      <c r="CKD11" s="199"/>
      <c r="CKE11" s="199"/>
      <c r="CKF11" s="199"/>
      <c r="CKG11" s="199"/>
      <c r="CKH11" s="199"/>
      <c r="CKI11" s="199"/>
      <c r="CKJ11" s="199"/>
      <c r="CKK11" s="199"/>
      <c r="CKL11" s="199"/>
      <c r="CKM11" s="199"/>
      <c r="CKN11" s="199"/>
      <c r="CKO11" s="199"/>
      <c r="CKP11" s="199"/>
      <c r="CKQ11" s="199"/>
      <c r="CKR11" s="199"/>
      <c r="CKS11" s="199"/>
      <c r="CKT11" s="199"/>
      <c r="CKU11" s="199"/>
      <c r="CKV11" s="199"/>
      <c r="CKW11" s="199"/>
      <c r="CKX11" s="199"/>
      <c r="CKY11" s="199"/>
      <c r="CKZ11" s="199"/>
      <c r="CLA11" s="199"/>
      <c r="CLB11" s="199"/>
      <c r="CLC11" s="199"/>
      <c r="CLD11" s="199"/>
      <c r="CLE11" s="199"/>
      <c r="CLF11" s="199" t="s">
        <v>83</v>
      </c>
      <c r="CLG11" s="199"/>
      <c r="CLH11" s="199"/>
      <c r="CLI11" s="199"/>
      <c r="CLJ11" s="199"/>
      <c r="CLK11" s="199"/>
      <c r="CLL11" s="199"/>
      <c r="CLM11" s="199"/>
      <c r="CLN11" s="199"/>
      <c r="CLO11" s="199"/>
      <c r="CLP11" s="199"/>
      <c r="CLQ11" s="199"/>
      <c r="CLR11" s="199"/>
      <c r="CLS11" s="199"/>
      <c r="CLT11" s="199"/>
      <c r="CLU11" s="199"/>
      <c r="CLV11" s="199"/>
      <c r="CLW11" s="199"/>
      <c r="CLX11" s="199"/>
      <c r="CLY11" s="199"/>
      <c r="CLZ11" s="199"/>
      <c r="CMA11" s="199"/>
      <c r="CMB11" s="199"/>
      <c r="CMC11" s="199"/>
      <c r="CMD11" s="199"/>
      <c r="CME11" s="199"/>
      <c r="CMF11" s="199"/>
      <c r="CMG11" s="199"/>
      <c r="CMH11" s="199"/>
      <c r="CMI11" s="199"/>
      <c r="CMJ11" s="199"/>
      <c r="CMK11" s="199"/>
      <c r="CML11" s="199"/>
      <c r="CMM11" s="199"/>
      <c r="CMN11" s="199"/>
      <c r="CMO11" s="199"/>
      <c r="CMP11" s="199"/>
      <c r="CMQ11" s="199"/>
      <c r="CMR11" s="199"/>
      <c r="CMS11" s="199"/>
      <c r="CMT11" s="199"/>
      <c r="CMU11" s="199"/>
      <c r="CMV11" s="199"/>
      <c r="CMW11" s="199"/>
      <c r="CMX11" s="199"/>
      <c r="CMY11" s="199"/>
      <c r="CMZ11" s="199"/>
      <c r="CNA11" s="199"/>
      <c r="CNB11" s="199"/>
      <c r="CNC11" s="199"/>
      <c r="CND11" s="199"/>
      <c r="CNE11" s="199"/>
      <c r="CNF11" s="199"/>
      <c r="CNG11" s="199"/>
      <c r="CNH11" s="199"/>
      <c r="CNI11" s="199"/>
      <c r="CNJ11" s="199"/>
      <c r="CNK11" s="199"/>
      <c r="CNL11" s="199"/>
      <c r="CNM11" s="199"/>
      <c r="CNN11" s="199" t="s">
        <v>80</v>
      </c>
      <c r="CNO11" s="199"/>
      <c r="CNP11" s="199"/>
      <c r="CNQ11" s="199"/>
      <c r="CNR11" s="199"/>
      <c r="CNS11" s="199"/>
      <c r="CNT11" s="199"/>
      <c r="CNU11" s="199"/>
      <c r="CNV11" s="199"/>
      <c r="CNW11" s="199"/>
      <c r="CNX11" s="199"/>
      <c r="CNY11" s="199"/>
      <c r="CNZ11" s="199"/>
      <c r="COA11" s="199"/>
      <c r="COB11" s="199"/>
      <c r="COC11" s="199"/>
      <c r="COD11" s="199"/>
      <c r="COE11" s="199"/>
      <c r="COF11" s="199"/>
      <c r="COG11" s="199"/>
      <c r="COH11" s="199"/>
      <c r="COI11" s="199"/>
      <c r="COJ11" s="199"/>
      <c r="COK11" s="199"/>
      <c r="COL11" s="199"/>
      <c r="COM11" s="199"/>
      <c r="CON11" s="199"/>
      <c r="COO11" s="199"/>
      <c r="COP11" s="199"/>
      <c r="COQ11" s="199"/>
      <c r="COR11" s="199"/>
      <c r="COS11" s="199"/>
      <c r="COT11" s="199"/>
      <c r="COU11" s="199"/>
      <c r="COV11" s="199"/>
      <c r="COW11" s="199"/>
      <c r="COX11" s="199"/>
      <c r="COY11" s="199"/>
      <c r="COZ11" s="199"/>
      <c r="CPA11" s="199"/>
      <c r="CPB11" s="199"/>
      <c r="CPC11" s="199"/>
      <c r="CPD11" s="199"/>
      <c r="CPE11" s="199"/>
      <c r="CPF11" s="199"/>
      <c r="CPG11" s="199"/>
      <c r="CPH11" s="199"/>
      <c r="CPI11" s="199"/>
      <c r="CPJ11" s="199"/>
      <c r="CPK11" s="199"/>
      <c r="CPL11" s="199"/>
      <c r="CPM11" s="199"/>
      <c r="CPN11" s="199"/>
      <c r="CPO11" s="199"/>
      <c r="CPP11" s="199"/>
      <c r="CPQ11" s="199"/>
      <c r="CPR11" s="199"/>
      <c r="CPS11" s="199"/>
      <c r="CPT11" s="199"/>
      <c r="CPU11" s="199"/>
      <c r="CPV11" s="199" t="s">
        <v>80</v>
      </c>
      <c r="CPW11" s="199"/>
      <c r="CPX11" s="199"/>
      <c r="CPY11" s="199"/>
      <c r="CPZ11" s="199"/>
      <c r="CQA11" s="199"/>
      <c r="CQB11" s="199"/>
      <c r="CQC11" s="199"/>
      <c r="CQD11" s="199"/>
      <c r="CQE11" s="199"/>
      <c r="CQF11" s="199"/>
      <c r="CQG11" s="199"/>
      <c r="CQH11" s="199"/>
      <c r="CQI11" s="199"/>
      <c r="CQJ11" s="199"/>
      <c r="CQK11" s="199"/>
      <c r="CQL11" s="199"/>
      <c r="CQM11" s="199"/>
      <c r="CQN11" s="199"/>
      <c r="CQO11" s="199"/>
      <c r="CQP11" s="199"/>
      <c r="CQQ11" s="199"/>
      <c r="CQR11" s="199"/>
      <c r="CQS11" s="199"/>
      <c r="CQT11" s="199"/>
      <c r="CQU11" s="199"/>
      <c r="CQV11" s="199"/>
      <c r="CQW11" s="199"/>
      <c r="CQX11" s="199"/>
      <c r="CQY11" s="199"/>
      <c r="CQZ11" s="199"/>
      <c r="CRA11" s="199"/>
      <c r="CRB11" s="199"/>
      <c r="CRC11" s="199"/>
      <c r="CRD11" s="199"/>
      <c r="CRE11" s="199"/>
      <c r="CRF11" s="199"/>
      <c r="CRG11" s="199"/>
      <c r="CRH11" s="199"/>
      <c r="CRI11" s="199"/>
      <c r="CRJ11" s="199"/>
      <c r="CRK11" s="199"/>
      <c r="CRL11" s="199"/>
      <c r="CRM11" s="199"/>
      <c r="CRN11" s="199"/>
      <c r="CRO11" s="199"/>
      <c r="CRP11" s="199"/>
      <c r="CRQ11" s="199"/>
      <c r="CRR11" s="199"/>
      <c r="CRS11" s="199"/>
      <c r="CRT11" s="199"/>
      <c r="CRU11" s="199"/>
      <c r="CRV11" s="199"/>
      <c r="CRW11" s="199"/>
      <c r="CRX11" s="199"/>
      <c r="CRY11" s="199"/>
      <c r="CRZ11" s="199"/>
      <c r="CSA11" s="199"/>
      <c r="CSB11" s="199"/>
      <c r="CSC11" s="199"/>
      <c r="CSD11" s="90"/>
    </row>
    <row r="12" spans="1:2526" ht="15.75" customHeight="1" thickBot="1" x14ac:dyDescent="0.3">
      <c r="B12" s="97"/>
      <c r="C12" s="211"/>
      <c r="D12" s="211"/>
      <c r="E12" s="211"/>
      <c r="F12" s="214" t="s">
        <v>60</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61</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00" t="s">
        <v>60</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0" t="s">
        <v>62</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0" t="s">
        <v>61</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0" t="s">
        <v>60</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0" t="s">
        <v>61</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0" t="s">
        <v>60</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0" t="s">
        <v>61</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0" t="s">
        <v>60</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0" t="s">
        <v>61</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0" t="s">
        <v>61</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0" t="s">
        <v>60</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0" t="s">
        <v>61</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0" t="s">
        <v>60</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0" t="s">
        <v>61</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0" t="s">
        <v>60</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0" t="s">
        <v>61</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0" t="s">
        <v>61</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0" t="s">
        <v>60</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0" t="s">
        <v>61</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0" t="s">
        <v>60</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0" t="s">
        <v>61</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0" t="s">
        <v>60</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0" t="s">
        <v>61</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0" t="s">
        <v>61</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0" t="s">
        <v>60</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200" t="s">
        <v>61</v>
      </c>
      <c r="BJO12" s="201"/>
      <c r="BJP12" s="201"/>
      <c r="BJQ12" s="201"/>
      <c r="BJR12" s="201"/>
      <c r="BJS12" s="201"/>
      <c r="BJT12" s="201"/>
      <c r="BJU12" s="201"/>
      <c r="BJV12" s="201"/>
      <c r="BJW12" s="201"/>
      <c r="BJX12" s="201"/>
      <c r="BJY12" s="201"/>
      <c r="BJZ12" s="201"/>
      <c r="BKA12" s="201"/>
      <c r="BKB12" s="201"/>
      <c r="BKC12" s="201"/>
      <c r="BKD12" s="201"/>
      <c r="BKE12" s="201"/>
      <c r="BKF12" s="201"/>
      <c r="BKG12" s="201"/>
      <c r="BKH12" s="201"/>
      <c r="BKI12" s="201"/>
      <c r="BKJ12" s="201"/>
      <c r="BKK12" s="201"/>
      <c r="BKL12" s="201"/>
      <c r="BKM12" s="201"/>
      <c r="BKN12" s="201"/>
      <c r="BKO12" s="201"/>
      <c r="BKP12" s="201"/>
      <c r="BKQ12" s="201"/>
      <c r="BKR12" s="201"/>
      <c r="BKS12" s="201"/>
      <c r="BKT12" s="201"/>
      <c r="BKU12" s="201"/>
      <c r="BKV12" s="201"/>
      <c r="BKW12" s="201"/>
      <c r="BKX12" s="201"/>
      <c r="BKY12" s="201"/>
      <c r="BKZ12" s="201"/>
      <c r="BLA12" s="201"/>
      <c r="BLB12" s="201"/>
      <c r="BLC12" s="201"/>
      <c r="BLD12" s="201"/>
      <c r="BLE12" s="201"/>
      <c r="BLF12" s="201"/>
      <c r="BLG12" s="201"/>
      <c r="BLH12" s="201"/>
      <c r="BLI12" s="201"/>
      <c r="BLJ12" s="201"/>
      <c r="BLK12" s="201"/>
      <c r="BLL12" s="201"/>
      <c r="BLM12" s="201"/>
      <c r="BLN12" s="201"/>
      <c r="BLO12" s="201"/>
      <c r="BLP12" s="201"/>
      <c r="BLQ12" s="201"/>
      <c r="BLR12" s="201"/>
      <c r="BLS12" s="201"/>
      <c r="BLT12" s="201"/>
      <c r="BLU12" s="201"/>
      <c r="BLV12" s="200" t="s">
        <v>60</v>
      </c>
      <c r="BLW12" s="201"/>
      <c r="BLX12" s="201"/>
      <c r="BLY12" s="201"/>
      <c r="BLZ12" s="201"/>
      <c r="BMA12" s="201"/>
      <c r="BMB12" s="201"/>
      <c r="BMC12" s="201"/>
      <c r="BMD12" s="201"/>
      <c r="BME12" s="201"/>
      <c r="BMF12" s="201"/>
      <c r="BMG12" s="201"/>
      <c r="BMH12" s="201"/>
      <c r="BMI12" s="201"/>
      <c r="BMJ12" s="201"/>
      <c r="BMK12" s="201"/>
      <c r="BML12" s="201"/>
      <c r="BMM12" s="201"/>
      <c r="BMN12" s="201"/>
      <c r="BMO12" s="201"/>
      <c r="BMP12" s="201"/>
      <c r="BMQ12" s="201"/>
      <c r="BMR12" s="201"/>
      <c r="BMS12" s="201"/>
      <c r="BMT12" s="201"/>
      <c r="BMU12" s="201"/>
      <c r="BMV12" s="201"/>
      <c r="BMW12" s="201"/>
      <c r="BMX12" s="201"/>
      <c r="BMY12" s="201"/>
      <c r="BMZ12" s="201"/>
      <c r="BNA12" s="201"/>
      <c r="BNB12" s="201"/>
      <c r="BNC12" s="201"/>
      <c r="BND12" s="201"/>
      <c r="BNE12" s="201"/>
      <c r="BNF12" s="201"/>
      <c r="BNG12" s="201"/>
      <c r="BNH12" s="201"/>
      <c r="BNI12" s="201"/>
      <c r="BNJ12" s="201"/>
      <c r="BNK12" s="201"/>
      <c r="BNL12" s="201"/>
      <c r="BNM12" s="201"/>
      <c r="BNN12" s="201"/>
      <c r="BNO12" s="201"/>
      <c r="BNP12" s="201"/>
      <c r="BNQ12" s="201"/>
      <c r="BNR12" s="201"/>
      <c r="BNS12" s="201"/>
      <c r="BNT12" s="201"/>
      <c r="BNU12" s="201"/>
      <c r="BNV12" s="201"/>
      <c r="BNW12" s="201"/>
      <c r="BNX12" s="201"/>
      <c r="BNY12" s="201"/>
      <c r="BNZ12" s="201"/>
      <c r="BOA12" s="201"/>
      <c r="BOB12" s="201"/>
      <c r="BOC12" s="201"/>
      <c r="BOD12" s="200" t="s">
        <v>61</v>
      </c>
      <c r="BOE12" s="201"/>
      <c r="BOF12" s="201"/>
      <c r="BOG12" s="201"/>
      <c r="BOH12" s="201"/>
      <c r="BOI12" s="201"/>
      <c r="BOJ12" s="201"/>
      <c r="BOK12" s="201"/>
      <c r="BOL12" s="201"/>
      <c r="BOM12" s="201"/>
      <c r="BON12" s="201"/>
      <c r="BOO12" s="201"/>
      <c r="BOP12" s="201"/>
      <c r="BOQ12" s="201"/>
      <c r="BOR12" s="201"/>
      <c r="BOS12" s="201"/>
      <c r="BOT12" s="201"/>
      <c r="BOU12" s="201"/>
      <c r="BOV12" s="201"/>
      <c r="BOW12" s="201"/>
      <c r="BOX12" s="201"/>
      <c r="BOY12" s="201"/>
      <c r="BOZ12" s="201"/>
      <c r="BPA12" s="201"/>
      <c r="BPB12" s="201"/>
      <c r="BPC12" s="201"/>
      <c r="BPD12" s="201"/>
      <c r="BPE12" s="201"/>
      <c r="BPF12" s="201"/>
      <c r="BPG12" s="201"/>
      <c r="BPH12" s="201"/>
      <c r="BPI12" s="201"/>
      <c r="BPJ12" s="201"/>
      <c r="BPK12" s="201"/>
      <c r="BPL12" s="201"/>
      <c r="BPM12" s="201"/>
      <c r="BPN12" s="201"/>
      <c r="BPO12" s="201"/>
      <c r="BPP12" s="201"/>
      <c r="BPQ12" s="201"/>
      <c r="BPR12" s="201"/>
      <c r="BPS12" s="201"/>
      <c r="BPT12" s="201"/>
      <c r="BPU12" s="201"/>
      <c r="BPV12" s="201"/>
      <c r="BPW12" s="201"/>
      <c r="BPX12" s="201"/>
      <c r="BPY12" s="201"/>
      <c r="BPZ12" s="201"/>
      <c r="BQA12" s="201"/>
      <c r="BQB12" s="201"/>
      <c r="BQC12" s="201"/>
      <c r="BQD12" s="201"/>
      <c r="BQE12" s="201"/>
      <c r="BQF12" s="201"/>
      <c r="BQG12" s="201"/>
      <c r="BQH12" s="201"/>
      <c r="BQI12" s="201"/>
      <c r="BQJ12" s="201"/>
      <c r="BQK12" s="201"/>
      <c r="BQL12" s="200" t="s">
        <v>60</v>
      </c>
      <c r="BQM12" s="201"/>
      <c r="BQN12" s="201"/>
      <c r="BQO12" s="201"/>
      <c r="BQP12" s="201"/>
      <c r="BQQ12" s="201"/>
      <c r="BQR12" s="201"/>
      <c r="BQS12" s="201"/>
      <c r="BQT12" s="201"/>
      <c r="BQU12" s="201"/>
      <c r="BQV12" s="201"/>
      <c r="BQW12" s="201"/>
      <c r="BQX12" s="201"/>
      <c r="BQY12" s="201"/>
      <c r="BQZ12" s="201"/>
      <c r="BRA12" s="201"/>
      <c r="BRB12" s="201"/>
      <c r="BRC12" s="201"/>
      <c r="BRD12" s="201"/>
      <c r="BRE12" s="201"/>
      <c r="BRF12" s="201"/>
      <c r="BRG12" s="201"/>
      <c r="BRH12" s="201"/>
      <c r="BRI12" s="201"/>
      <c r="BRJ12" s="201"/>
      <c r="BRK12" s="201"/>
      <c r="BRL12" s="201"/>
      <c r="BRM12" s="201"/>
      <c r="BRN12" s="201"/>
      <c r="BRO12" s="201"/>
      <c r="BRP12" s="201"/>
      <c r="BRQ12" s="201"/>
      <c r="BRR12" s="201"/>
      <c r="BRS12" s="201"/>
      <c r="BRT12" s="201"/>
      <c r="BRU12" s="201"/>
      <c r="BRV12" s="201"/>
      <c r="BRW12" s="201"/>
      <c r="BRX12" s="201"/>
      <c r="BRY12" s="201"/>
      <c r="BRZ12" s="201"/>
      <c r="BSA12" s="201"/>
      <c r="BSB12" s="201"/>
      <c r="BSC12" s="201"/>
      <c r="BSD12" s="201"/>
      <c r="BSE12" s="201"/>
      <c r="BSF12" s="201"/>
      <c r="BSG12" s="201"/>
      <c r="BSH12" s="201"/>
      <c r="BSI12" s="201"/>
      <c r="BSJ12" s="201"/>
      <c r="BSK12" s="201"/>
      <c r="BSL12" s="201"/>
      <c r="BSM12" s="201"/>
      <c r="BSN12" s="201"/>
      <c r="BSO12" s="201"/>
      <c r="BSP12" s="201"/>
      <c r="BSQ12" s="201"/>
      <c r="BSR12" s="201"/>
      <c r="BSS12" s="201"/>
      <c r="BST12" s="200" t="s">
        <v>61</v>
      </c>
      <c r="BSU12" s="201"/>
      <c r="BSV12" s="201"/>
      <c r="BSW12" s="201"/>
      <c r="BSX12" s="201"/>
      <c r="BSY12" s="201"/>
      <c r="BSZ12" s="201"/>
      <c r="BTA12" s="201"/>
      <c r="BTB12" s="201"/>
      <c r="BTC12" s="201"/>
      <c r="BTD12" s="201"/>
      <c r="BTE12" s="201"/>
      <c r="BTF12" s="201"/>
      <c r="BTG12" s="201"/>
      <c r="BTH12" s="201"/>
      <c r="BTI12" s="201"/>
      <c r="BTJ12" s="201"/>
      <c r="BTK12" s="201"/>
      <c r="BTL12" s="201"/>
      <c r="BTM12" s="201"/>
      <c r="BTN12" s="201"/>
      <c r="BTO12" s="201"/>
      <c r="BTP12" s="201"/>
      <c r="BTQ12" s="201"/>
      <c r="BTR12" s="201"/>
      <c r="BTS12" s="201"/>
      <c r="BTT12" s="201"/>
      <c r="BTU12" s="201"/>
      <c r="BTV12" s="201"/>
      <c r="BTW12" s="201"/>
      <c r="BTX12" s="201"/>
      <c r="BTY12" s="201"/>
      <c r="BTZ12" s="201"/>
      <c r="BUA12" s="201"/>
      <c r="BUB12" s="201"/>
      <c r="BUC12" s="201"/>
      <c r="BUD12" s="201"/>
      <c r="BUE12" s="201"/>
      <c r="BUF12" s="201"/>
      <c r="BUG12" s="201"/>
      <c r="BUH12" s="201"/>
      <c r="BUI12" s="201"/>
      <c r="BUJ12" s="201"/>
      <c r="BUK12" s="201"/>
      <c r="BUL12" s="201"/>
      <c r="BUM12" s="201"/>
      <c r="BUN12" s="201"/>
      <c r="BUO12" s="201"/>
      <c r="BUP12" s="201"/>
      <c r="BUQ12" s="201"/>
      <c r="BUR12" s="201"/>
      <c r="BUS12" s="201"/>
      <c r="BUT12" s="201"/>
      <c r="BUU12" s="201"/>
      <c r="BUV12" s="201"/>
      <c r="BUW12" s="201"/>
      <c r="BUX12" s="201"/>
      <c r="BUY12" s="201"/>
      <c r="BUZ12" s="201"/>
      <c r="BVA12" s="201"/>
      <c r="BVB12" s="200" t="s">
        <v>61</v>
      </c>
      <c r="BVC12" s="201"/>
      <c r="BVD12" s="201"/>
      <c r="BVE12" s="201"/>
      <c r="BVF12" s="201"/>
      <c r="BVG12" s="201"/>
      <c r="BVH12" s="201"/>
      <c r="BVI12" s="201"/>
      <c r="BVJ12" s="201"/>
      <c r="BVK12" s="201"/>
      <c r="BVL12" s="201"/>
      <c r="BVM12" s="201"/>
      <c r="BVN12" s="201"/>
      <c r="BVO12" s="201"/>
      <c r="BVP12" s="201"/>
      <c r="BVQ12" s="201"/>
      <c r="BVR12" s="201"/>
      <c r="BVS12" s="201"/>
      <c r="BVT12" s="201"/>
      <c r="BVU12" s="201"/>
      <c r="BVV12" s="201"/>
      <c r="BVW12" s="201"/>
      <c r="BVX12" s="201"/>
      <c r="BVY12" s="201"/>
      <c r="BVZ12" s="201"/>
      <c r="BWA12" s="201"/>
      <c r="BWB12" s="201"/>
      <c r="BWC12" s="201"/>
      <c r="BWD12" s="201"/>
      <c r="BWE12" s="201"/>
      <c r="BWF12" s="201"/>
      <c r="BWG12" s="201"/>
      <c r="BWH12" s="201"/>
      <c r="BWI12" s="201"/>
      <c r="BWJ12" s="201"/>
      <c r="BWK12" s="201"/>
      <c r="BWL12" s="201"/>
      <c r="BWM12" s="201"/>
      <c r="BWN12" s="201"/>
      <c r="BWO12" s="201"/>
      <c r="BWP12" s="201"/>
      <c r="BWQ12" s="201"/>
      <c r="BWR12" s="201"/>
      <c r="BWS12" s="201"/>
      <c r="BWT12" s="201"/>
      <c r="BWU12" s="201"/>
      <c r="BWV12" s="201"/>
      <c r="BWW12" s="201"/>
      <c r="BWX12" s="201"/>
      <c r="BWY12" s="201"/>
      <c r="BWZ12" s="201"/>
      <c r="BXA12" s="201"/>
      <c r="BXB12" s="201"/>
      <c r="BXC12" s="201"/>
      <c r="BXD12" s="201"/>
      <c r="BXE12" s="201"/>
      <c r="BXF12" s="201"/>
      <c r="BXG12" s="201"/>
      <c r="BXH12" s="201"/>
      <c r="BXI12" s="201"/>
      <c r="BXJ12" s="200" t="s">
        <v>60</v>
      </c>
      <c r="BXK12" s="201"/>
      <c r="BXL12" s="201"/>
      <c r="BXM12" s="201"/>
      <c r="BXN12" s="201"/>
      <c r="BXO12" s="201"/>
      <c r="BXP12" s="201"/>
      <c r="BXQ12" s="201"/>
      <c r="BXR12" s="201"/>
      <c r="BXS12" s="201"/>
      <c r="BXT12" s="201"/>
      <c r="BXU12" s="201"/>
      <c r="BXV12" s="201"/>
      <c r="BXW12" s="201"/>
      <c r="BXX12" s="201"/>
      <c r="BXY12" s="201"/>
      <c r="BXZ12" s="201"/>
      <c r="BYA12" s="201"/>
      <c r="BYB12" s="201"/>
      <c r="BYC12" s="201"/>
      <c r="BYD12" s="201"/>
      <c r="BYE12" s="201"/>
      <c r="BYF12" s="201"/>
      <c r="BYG12" s="201"/>
      <c r="BYH12" s="201"/>
      <c r="BYI12" s="201"/>
      <c r="BYJ12" s="201"/>
      <c r="BYK12" s="201"/>
      <c r="BYL12" s="201"/>
      <c r="BYM12" s="201"/>
      <c r="BYN12" s="201"/>
      <c r="BYO12" s="201"/>
      <c r="BYP12" s="201"/>
      <c r="BYQ12" s="201"/>
      <c r="BYR12" s="201"/>
      <c r="BYS12" s="201"/>
      <c r="BYT12" s="201"/>
      <c r="BYU12" s="201"/>
      <c r="BYV12" s="201"/>
      <c r="BYW12" s="201"/>
      <c r="BYX12" s="201"/>
      <c r="BYY12" s="201"/>
      <c r="BYZ12" s="201"/>
      <c r="BZA12" s="201"/>
      <c r="BZB12" s="201"/>
      <c r="BZC12" s="201"/>
      <c r="BZD12" s="201"/>
      <c r="BZE12" s="201"/>
      <c r="BZF12" s="201"/>
      <c r="BZG12" s="201"/>
      <c r="BZH12" s="201"/>
      <c r="BZI12" s="201"/>
      <c r="BZJ12" s="201"/>
      <c r="BZK12" s="201"/>
      <c r="BZL12" s="201"/>
      <c r="BZM12" s="201"/>
      <c r="BZN12" s="201"/>
      <c r="BZO12" s="201"/>
      <c r="BZP12" s="201"/>
      <c r="BZQ12" s="201"/>
      <c r="BZR12" s="200" t="s">
        <v>61</v>
      </c>
      <c r="BZS12" s="201"/>
      <c r="BZT12" s="201"/>
      <c r="BZU12" s="201"/>
      <c r="BZV12" s="201"/>
      <c r="BZW12" s="201"/>
      <c r="BZX12" s="201"/>
      <c r="BZY12" s="201"/>
      <c r="BZZ12" s="201"/>
      <c r="CAA12" s="201"/>
      <c r="CAB12" s="201"/>
      <c r="CAC12" s="201"/>
      <c r="CAD12" s="201"/>
      <c r="CAE12" s="201"/>
      <c r="CAF12" s="201"/>
      <c r="CAG12" s="201"/>
      <c r="CAH12" s="201"/>
      <c r="CAI12" s="201"/>
      <c r="CAJ12" s="201"/>
      <c r="CAK12" s="201"/>
      <c r="CAL12" s="201"/>
      <c r="CAM12" s="201"/>
      <c r="CAN12" s="201"/>
      <c r="CAO12" s="201"/>
      <c r="CAP12" s="201"/>
      <c r="CAQ12" s="201"/>
      <c r="CAR12" s="201"/>
      <c r="CAS12" s="201"/>
      <c r="CAT12" s="201"/>
      <c r="CAU12" s="201"/>
      <c r="CAV12" s="201"/>
      <c r="CAW12" s="201"/>
      <c r="CAX12" s="201"/>
      <c r="CAY12" s="201"/>
      <c r="CAZ12" s="201"/>
      <c r="CBA12" s="201"/>
      <c r="CBB12" s="201"/>
      <c r="CBC12" s="201"/>
      <c r="CBD12" s="201"/>
      <c r="CBE12" s="201"/>
      <c r="CBF12" s="201"/>
      <c r="CBG12" s="201"/>
      <c r="CBH12" s="201"/>
      <c r="CBI12" s="201"/>
      <c r="CBJ12" s="201"/>
      <c r="CBK12" s="201"/>
      <c r="CBL12" s="201"/>
      <c r="CBM12" s="201"/>
      <c r="CBN12" s="201"/>
      <c r="CBO12" s="201"/>
      <c r="CBP12" s="201"/>
      <c r="CBQ12" s="201"/>
      <c r="CBR12" s="201"/>
      <c r="CBS12" s="201"/>
      <c r="CBT12" s="201"/>
      <c r="CBU12" s="201"/>
      <c r="CBV12" s="201"/>
      <c r="CBW12" s="201"/>
      <c r="CBX12" s="201"/>
      <c r="CBY12" s="201"/>
      <c r="CBZ12" s="200" t="s">
        <v>60</v>
      </c>
      <c r="CCA12" s="201"/>
      <c r="CCB12" s="201"/>
      <c r="CCC12" s="201"/>
      <c r="CCD12" s="201"/>
      <c r="CCE12" s="201"/>
      <c r="CCF12" s="201"/>
      <c r="CCG12" s="201"/>
      <c r="CCH12" s="201"/>
      <c r="CCI12" s="201"/>
      <c r="CCJ12" s="201"/>
      <c r="CCK12" s="201"/>
      <c r="CCL12" s="201"/>
      <c r="CCM12" s="201"/>
      <c r="CCN12" s="201"/>
      <c r="CCO12" s="201"/>
      <c r="CCP12" s="201"/>
      <c r="CCQ12" s="201"/>
      <c r="CCR12" s="201"/>
      <c r="CCS12" s="201"/>
      <c r="CCT12" s="201"/>
      <c r="CCU12" s="201"/>
      <c r="CCV12" s="201"/>
      <c r="CCW12" s="201"/>
      <c r="CCX12" s="201"/>
      <c r="CCY12" s="201"/>
      <c r="CCZ12" s="201"/>
      <c r="CDA12" s="201"/>
      <c r="CDB12" s="201"/>
      <c r="CDC12" s="201"/>
      <c r="CDD12" s="201"/>
      <c r="CDE12" s="201"/>
      <c r="CDF12" s="201"/>
      <c r="CDG12" s="201"/>
      <c r="CDH12" s="201"/>
      <c r="CDI12" s="201"/>
      <c r="CDJ12" s="201"/>
      <c r="CDK12" s="201"/>
      <c r="CDL12" s="201"/>
      <c r="CDM12" s="201"/>
      <c r="CDN12" s="201"/>
      <c r="CDO12" s="201"/>
      <c r="CDP12" s="201"/>
      <c r="CDQ12" s="201"/>
      <c r="CDR12" s="201"/>
      <c r="CDS12" s="201"/>
      <c r="CDT12" s="201"/>
      <c r="CDU12" s="201"/>
      <c r="CDV12" s="201"/>
      <c r="CDW12" s="201"/>
      <c r="CDX12" s="201"/>
      <c r="CDY12" s="201"/>
      <c r="CDZ12" s="201"/>
      <c r="CEA12" s="201"/>
      <c r="CEB12" s="201"/>
      <c r="CEC12" s="201"/>
      <c r="CED12" s="201"/>
      <c r="CEE12" s="201"/>
      <c r="CEF12" s="201"/>
      <c r="CEG12" s="201"/>
      <c r="CEH12" s="200" t="s">
        <v>61</v>
      </c>
      <c r="CEI12" s="201"/>
      <c r="CEJ12" s="201"/>
      <c r="CEK12" s="201"/>
      <c r="CEL12" s="201"/>
      <c r="CEM12" s="201"/>
      <c r="CEN12" s="201"/>
      <c r="CEO12" s="201"/>
      <c r="CEP12" s="201"/>
      <c r="CEQ12" s="201"/>
      <c r="CER12" s="201"/>
      <c r="CES12" s="201"/>
      <c r="CET12" s="201"/>
      <c r="CEU12" s="201"/>
      <c r="CEV12" s="201"/>
      <c r="CEW12" s="201"/>
      <c r="CEX12" s="201"/>
      <c r="CEY12" s="201"/>
      <c r="CEZ12" s="201"/>
      <c r="CFA12" s="201"/>
      <c r="CFB12" s="201"/>
      <c r="CFC12" s="201"/>
      <c r="CFD12" s="201"/>
      <c r="CFE12" s="201"/>
      <c r="CFF12" s="201"/>
      <c r="CFG12" s="201"/>
      <c r="CFH12" s="201"/>
      <c r="CFI12" s="201"/>
      <c r="CFJ12" s="201"/>
      <c r="CFK12" s="201"/>
      <c r="CFL12" s="201"/>
      <c r="CFM12" s="201"/>
      <c r="CFN12" s="201"/>
      <c r="CFO12" s="201"/>
      <c r="CFP12" s="201"/>
      <c r="CFQ12" s="201"/>
      <c r="CFR12" s="201"/>
      <c r="CFS12" s="201"/>
      <c r="CFT12" s="201"/>
      <c r="CFU12" s="201"/>
      <c r="CFV12" s="201"/>
      <c r="CFW12" s="201"/>
      <c r="CFX12" s="201"/>
      <c r="CFY12" s="201"/>
      <c r="CFZ12" s="201"/>
      <c r="CGA12" s="201"/>
      <c r="CGB12" s="201"/>
      <c r="CGC12" s="201"/>
      <c r="CGD12" s="201"/>
      <c r="CGE12" s="201"/>
      <c r="CGF12" s="201"/>
      <c r="CGG12" s="201"/>
      <c r="CGH12" s="201"/>
      <c r="CGI12" s="201"/>
      <c r="CGJ12" s="201"/>
      <c r="CGK12" s="201"/>
      <c r="CGL12" s="201"/>
      <c r="CGM12" s="201"/>
      <c r="CGN12" s="201"/>
      <c r="CGO12" s="201"/>
      <c r="CGP12" s="200" t="s">
        <v>60</v>
      </c>
      <c r="CGQ12" s="201"/>
      <c r="CGR12" s="201"/>
      <c r="CGS12" s="201"/>
      <c r="CGT12" s="201"/>
      <c r="CGU12" s="201"/>
      <c r="CGV12" s="201"/>
      <c r="CGW12" s="201"/>
      <c r="CGX12" s="201"/>
      <c r="CGY12" s="201"/>
      <c r="CGZ12" s="201"/>
      <c r="CHA12" s="201"/>
      <c r="CHB12" s="201"/>
      <c r="CHC12" s="201"/>
      <c r="CHD12" s="201"/>
      <c r="CHE12" s="201"/>
      <c r="CHF12" s="201"/>
      <c r="CHG12" s="201"/>
      <c r="CHH12" s="201"/>
      <c r="CHI12" s="201"/>
      <c r="CHJ12" s="201"/>
      <c r="CHK12" s="201"/>
      <c r="CHL12" s="201"/>
      <c r="CHM12" s="201"/>
      <c r="CHN12" s="201"/>
      <c r="CHO12" s="201"/>
      <c r="CHP12" s="201"/>
      <c r="CHQ12" s="201"/>
      <c r="CHR12" s="201"/>
      <c r="CHS12" s="201"/>
      <c r="CHT12" s="201"/>
      <c r="CHU12" s="201"/>
      <c r="CHV12" s="201"/>
      <c r="CHW12" s="201"/>
      <c r="CHX12" s="201"/>
      <c r="CHY12" s="201"/>
      <c r="CHZ12" s="201"/>
      <c r="CIA12" s="201"/>
      <c r="CIB12" s="201"/>
      <c r="CIC12" s="201"/>
      <c r="CID12" s="201"/>
      <c r="CIE12" s="201"/>
      <c r="CIF12" s="201"/>
      <c r="CIG12" s="201"/>
      <c r="CIH12" s="201"/>
      <c r="CII12" s="201"/>
      <c r="CIJ12" s="201"/>
      <c r="CIK12" s="201"/>
      <c r="CIL12" s="201"/>
      <c r="CIM12" s="201"/>
      <c r="CIN12" s="201"/>
      <c r="CIO12" s="201"/>
      <c r="CIP12" s="201"/>
      <c r="CIQ12" s="201"/>
      <c r="CIR12" s="201"/>
      <c r="CIS12" s="201"/>
      <c r="CIT12" s="201"/>
      <c r="CIU12" s="201"/>
      <c r="CIV12" s="201"/>
      <c r="CIW12" s="201"/>
      <c r="CIX12" s="200" t="s">
        <v>61</v>
      </c>
      <c r="CIY12" s="201"/>
      <c r="CIZ12" s="201"/>
      <c r="CJA12" s="201"/>
      <c r="CJB12" s="201"/>
      <c r="CJC12" s="201"/>
      <c r="CJD12" s="201"/>
      <c r="CJE12" s="201"/>
      <c r="CJF12" s="201"/>
      <c r="CJG12" s="201"/>
      <c r="CJH12" s="201"/>
      <c r="CJI12" s="201"/>
      <c r="CJJ12" s="201"/>
      <c r="CJK12" s="201"/>
      <c r="CJL12" s="201"/>
      <c r="CJM12" s="201"/>
      <c r="CJN12" s="201"/>
      <c r="CJO12" s="201"/>
      <c r="CJP12" s="201"/>
      <c r="CJQ12" s="201"/>
      <c r="CJR12" s="201"/>
      <c r="CJS12" s="201"/>
      <c r="CJT12" s="201"/>
      <c r="CJU12" s="201"/>
      <c r="CJV12" s="201"/>
      <c r="CJW12" s="201"/>
      <c r="CJX12" s="201"/>
      <c r="CJY12" s="201"/>
      <c r="CJZ12" s="201"/>
      <c r="CKA12" s="201"/>
      <c r="CKB12" s="201"/>
      <c r="CKC12" s="201"/>
      <c r="CKD12" s="201"/>
      <c r="CKE12" s="201"/>
      <c r="CKF12" s="201"/>
      <c r="CKG12" s="201"/>
      <c r="CKH12" s="201"/>
      <c r="CKI12" s="201"/>
      <c r="CKJ12" s="201"/>
      <c r="CKK12" s="201"/>
      <c r="CKL12" s="201"/>
      <c r="CKM12" s="201"/>
      <c r="CKN12" s="201"/>
      <c r="CKO12" s="201"/>
      <c r="CKP12" s="201"/>
      <c r="CKQ12" s="201"/>
      <c r="CKR12" s="201"/>
      <c r="CKS12" s="201"/>
      <c r="CKT12" s="201"/>
      <c r="CKU12" s="201"/>
      <c r="CKV12" s="201"/>
      <c r="CKW12" s="201"/>
      <c r="CKX12" s="201"/>
      <c r="CKY12" s="201"/>
      <c r="CKZ12" s="201"/>
      <c r="CLA12" s="201"/>
      <c r="CLB12" s="201"/>
      <c r="CLC12" s="201"/>
      <c r="CLD12" s="201"/>
      <c r="CLE12" s="201"/>
      <c r="CLF12" s="200" t="s">
        <v>61</v>
      </c>
      <c r="CLG12" s="201"/>
      <c r="CLH12" s="201"/>
      <c r="CLI12" s="201"/>
      <c r="CLJ12" s="201"/>
      <c r="CLK12" s="201"/>
      <c r="CLL12" s="201"/>
      <c r="CLM12" s="201"/>
      <c r="CLN12" s="201"/>
      <c r="CLO12" s="201"/>
      <c r="CLP12" s="201"/>
      <c r="CLQ12" s="201"/>
      <c r="CLR12" s="201"/>
      <c r="CLS12" s="201"/>
      <c r="CLT12" s="201"/>
      <c r="CLU12" s="201"/>
      <c r="CLV12" s="201"/>
      <c r="CLW12" s="201"/>
      <c r="CLX12" s="201"/>
      <c r="CLY12" s="201"/>
      <c r="CLZ12" s="201"/>
      <c r="CMA12" s="201"/>
      <c r="CMB12" s="201"/>
      <c r="CMC12" s="201"/>
      <c r="CMD12" s="201"/>
      <c r="CME12" s="201"/>
      <c r="CMF12" s="201"/>
      <c r="CMG12" s="201"/>
      <c r="CMH12" s="201"/>
      <c r="CMI12" s="201"/>
      <c r="CMJ12" s="201"/>
      <c r="CMK12" s="201"/>
      <c r="CML12" s="201"/>
      <c r="CMM12" s="201"/>
      <c r="CMN12" s="201"/>
      <c r="CMO12" s="201"/>
      <c r="CMP12" s="201"/>
      <c r="CMQ12" s="201"/>
      <c r="CMR12" s="201"/>
      <c r="CMS12" s="201"/>
      <c r="CMT12" s="201"/>
      <c r="CMU12" s="201"/>
      <c r="CMV12" s="201"/>
      <c r="CMW12" s="201"/>
      <c r="CMX12" s="201"/>
      <c r="CMY12" s="201"/>
      <c r="CMZ12" s="201"/>
      <c r="CNA12" s="201"/>
      <c r="CNB12" s="201"/>
      <c r="CNC12" s="201"/>
      <c r="CND12" s="201"/>
      <c r="CNE12" s="201"/>
      <c r="CNF12" s="201"/>
      <c r="CNG12" s="201"/>
      <c r="CNH12" s="201"/>
      <c r="CNI12" s="201"/>
      <c r="CNJ12" s="201"/>
      <c r="CNK12" s="201"/>
      <c r="CNL12" s="201"/>
      <c r="CNM12" s="201"/>
      <c r="CNN12" s="200" t="s">
        <v>60</v>
      </c>
      <c r="CNO12" s="201"/>
      <c r="CNP12" s="201"/>
      <c r="CNQ12" s="201"/>
      <c r="CNR12" s="201"/>
      <c r="CNS12" s="201"/>
      <c r="CNT12" s="201"/>
      <c r="CNU12" s="201"/>
      <c r="CNV12" s="201"/>
      <c r="CNW12" s="201"/>
      <c r="CNX12" s="201"/>
      <c r="CNY12" s="201"/>
      <c r="CNZ12" s="201"/>
      <c r="COA12" s="201"/>
      <c r="COB12" s="201"/>
      <c r="COC12" s="201"/>
      <c r="COD12" s="201"/>
      <c r="COE12" s="201"/>
      <c r="COF12" s="201"/>
      <c r="COG12" s="201"/>
      <c r="COH12" s="201"/>
      <c r="COI12" s="201"/>
      <c r="COJ12" s="201"/>
      <c r="COK12" s="201"/>
      <c r="COL12" s="201"/>
      <c r="COM12" s="201"/>
      <c r="CON12" s="201"/>
      <c r="COO12" s="201"/>
      <c r="COP12" s="201"/>
      <c r="COQ12" s="201"/>
      <c r="COR12" s="201"/>
      <c r="COS12" s="201"/>
      <c r="COT12" s="201"/>
      <c r="COU12" s="201"/>
      <c r="COV12" s="201"/>
      <c r="COW12" s="201"/>
      <c r="COX12" s="201"/>
      <c r="COY12" s="201"/>
      <c r="COZ12" s="201"/>
      <c r="CPA12" s="201"/>
      <c r="CPB12" s="201"/>
      <c r="CPC12" s="201"/>
      <c r="CPD12" s="201"/>
      <c r="CPE12" s="201"/>
      <c r="CPF12" s="201"/>
      <c r="CPG12" s="201"/>
      <c r="CPH12" s="201"/>
      <c r="CPI12" s="201"/>
      <c r="CPJ12" s="201"/>
      <c r="CPK12" s="201"/>
      <c r="CPL12" s="201"/>
      <c r="CPM12" s="201"/>
      <c r="CPN12" s="201"/>
      <c r="CPO12" s="201"/>
      <c r="CPP12" s="201"/>
      <c r="CPQ12" s="201"/>
      <c r="CPR12" s="201"/>
      <c r="CPS12" s="201"/>
      <c r="CPT12" s="201"/>
      <c r="CPU12" s="201"/>
      <c r="CPV12" s="200" t="s">
        <v>61</v>
      </c>
      <c r="CPW12" s="201"/>
      <c r="CPX12" s="201"/>
      <c r="CPY12" s="201"/>
      <c r="CPZ12" s="201"/>
      <c r="CQA12" s="201"/>
      <c r="CQB12" s="201"/>
      <c r="CQC12" s="201"/>
      <c r="CQD12" s="201"/>
      <c r="CQE12" s="201"/>
      <c r="CQF12" s="201"/>
      <c r="CQG12" s="201"/>
      <c r="CQH12" s="201"/>
      <c r="CQI12" s="201"/>
      <c r="CQJ12" s="201"/>
      <c r="CQK12" s="201"/>
      <c r="CQL12" s="201"/>
      <c r="CQM12" s="201"/>
      <c r="CQN12" s="201"/>
      <c r="CQO12" s="201"/>
      <c r="CQP12" s="201"/>
      <c r="CQQ12" s="201"/>
      <c r="CQR12" s="201"/>
      <c r="CQS12" s="201"/>
      <c r="CQT12" s="201"/>
      <c r="CQU12" s="201"/>
      <c r="CQV12" s="201"/>
      <c r="CQW12" s="201"/>
      <c r="CQX12" s="201"/>
      <c r="CQY12" s="201"/>
      <c r="CQZ12" s="201"/>
      <c r="CRA12" s="201"/>
      <c r="CRB12" s="201"/>
      <c r="CRC12" s="201"/>
      <c r="CRD12" s="201"/>
      <c r="CRE12" s="201"/>
      <c r="CRF12" s="201"/>
      <c r="CRG12" s="201"/>
      <c r="CRH12" s="201"/>
      <c r="CRI12" s="201"/>
      <c r="CRJ12" s="201"/>
      <c r="CRK12" s="201"/>
      <c r="CRL12" s="201"/>
      <c r="CRM12" s="201"/>
      <c r="CRN12" s="201"/>
      <c r="CRO12" s="201"/>
      <c r="CRP12" s="201"/>
      <c r="CRQ12" s="201"/>
      <c r="CRR12" s="201"/>
      <c r="CRS12" s="201"/>
      <c r="CRT12" s="201"/>
      <c r="CRU12" s="201"/>
      <c r="CRV12" s="201"/>
      <c r="CRW12" s="201"/>
      <c r="CRX12" s="201"/>
      <c r="CRY12" s="201"/>
      <c r="CRZ12" s="201"/>
      <c r="CSA12" s="201"/>
      <c r="CSB12" s="201"/>
      <c r="CSC12" s="201"/>
      <c r="CSD12" s="90"/>
    </row>
    <row r="13" spans="1:2526" ht="42.75" customHeight="1" thickBot="1" x14ac:dyDescent="0.3">
      <c r="B13" s="96"/>
      <c r="C13" s="227" t="s">
        <v>7</v>
      </c>
      <c r="D13" s="144"/>
      <c r="E13" s="229" t="s">
        <v>37</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139</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137</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136</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134</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133</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131</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130</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128</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126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125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123</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122</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120</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119</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117</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115</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114</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112</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111</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109</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108</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106</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104</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103</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202" t="s">
        <v>101</v>
      </c>
      <c r="BJO13" s="203"/>
      <c r="BJP13" s="203"/>
      <c r="BJQ13" s="203"/>
      <c r="BJR13" s="203"/>
      <c r="BJS13" s="203"/>
      <c r="BJT13" s="203"/>
      <c r="BJU13" s="203"/>
      <c r="BJV13" s="203"/>
      <c r="BJW13" s="203"/>
      <c r="BJX13" s="203"/>
      <c r="BJY13" s="203"/>
      <c r="BJZ13" s="203"/>
      <c r="BKA13" s="203"/>
      <c r="BKB13" s="203"/>
      <c r="BKC13" s="203"/>
      <c r="BKD13" s="203"/>
      <c r="BKE13" s="203"/>
      <c r="BKF13" s="203"/>
      <c r="BKG13" s="203"/>
      <c r="BKH13" s="203"/>
      <c r="BKI13" s="203"/>
      <c r="BKJ13" s="203"/>
      <c r="BKK13" s="203"/>
      <c r="BKL13" s="203"/>
      <c r="BKM13" s="203"/>
      <c r="BKN13" s="203"/>
      <c r="BKO13" s="203"/>
      <c r="BKP13" s="203"/>
      <c r="BKQ13" s="203"/>
      <c r="BKR13" s="203"/>
      <c r="BKS13" s="203"/>
      <c r="BKT13" s="203"/>
      <c r="BKU13" s="203"/>
      <c r="BKV13" s="203"/>
      <c r="BKW13" s="203"/>
      <c r="BKX13" s="203"/>
      <c r="BKY13" s="203"/>
      <c r="BKZ13" s="203"/>
      <c r="BLA13" s="203"/>
      <c r="BLB13" s="203"/>
      <c r="BLC13" s="203"/>
      <c r="BLD13" s="203"/>
      <c r="BLE13" s="203"/>
      <c r="BLF13" s="203"/>
      <c r="BLG13" s="203"/>
      <c r="BLH13" s="203"/>
      <c r="BLI13" s="203"/>
      <c r="BLJ13" s="203"/>
      <c r="BLK13" s="203"/>
      <c r="BLL13" s="203"/>
      <c r="BLM13" s="203"/>
      <c r="BLN13" s="203"/>
      <c r="BLO13" s="203"/>
      <c r="BLP13" s="203"/>
      <c r="BLQ13" s="203"/>
      <c r="BLR13" s="203"/>
      <c r="BLS13" s="203"/>
      <c r="BLT13" s="203"/>
      <c r="BLU13" s="204"/>
      <c r="BLV13" s="202" t="s">
        <v>100</v>
      </c>
      <c r="BLW13" s="203"/>
      <c r="BLX13" s="203"/>
      <c r="BLY13" s="203"/>
      <c r="BLZ13" s="203"/>
      <c r="BMA13" s="203"/>
      <c r="BMB13" s="203"/>
      <c r="BMC13" s="203"/>
      <c r="BMD13" s="203"/>
      <c r="BME13" s="203"/>
      <c r="BMF13" s="203"/>
      <c r="BMG13" s="203"/>
      <c r="BMH13" s="203"/>
      <c r="BMI13" s="203"/>
      <c r="BMJ13" s="203"/>
      <c r="BMK13" s="203"/>
      <c r="BML13" s="203"/>
      <c r="BMM13" s="203"/>
      <c r="BMN13" s="203"/>
      <c r="BMO13" s="203"/>
      <c r="BMP13" s="203"/>
      <c r="BMQ13" s="203"/>
      <c r="BMR13" s="203"/>
      <c r="BMS13" s="203"/>
      <c r="BMT13" s="203"/>
      <c r="BMU13" s="203"/>
      <c r="BMV13" s="203"/>
      <c r="BMW13" s="203"/>
      <c r="BMX13" s="203"/>
      <c r="BMY13" s="203"/>
      <c r="BMZ13" s="203"/>
      <c r="BNA13" s="203"/>
      <c r="BNB13" s="203"/>
      <c r="BNC13" s="203"/>
      <c r="BND13" s="203"/>
      <c r="BNE13" s="203"/>
      <c r="BNF13" s="203"/>
      <c r="BNG13" s="203"/>
      <c r="BNH13" s="203"/>
      <c r="BNI13" s="203"/>
      <c r="BNJ13" s="203"/>
      <c r="BNK13" s="203"/>
      <c r="BNL13" s="203"/>
      <c r="BNM13" s="203"/>
      <c r="BNN13" s="203"/>
      <c r="BNO13" s="203"/>
      <c r="BNP13" s="203"/>
      <c r="BNQ13" s="203"/>
      <c r="BNR13" s="203"/>
      <c r="BNS13" s="203"/>
      <c r="BNT13" s="203"/>
      <c r="BNU13" s="203"/>
      <c r="BNV13" s="203"/>
      <c r="BNW13" s="203"/>
      <c r="BNX13" s="203"/>
      <c r="BNY13" s="203"/>
      <c r="BNZ13" s="203"/>
      <c r="BOA13" s="203"/>
      <c r="BOB13" s="203"/>
      <c r="BOC13" s="204"/>
      <c r="BOD13" s="202" t="s">
        <v>98</v>
      </c>
      <c r="BOE13" s="203"/>
      <c r="BOF13" s="203"/>
      <c r="BOG13" s="203"/>
      <c r="BOH13" s="203"/>
      <c r="BOI13" s="203"/>
      <c r="BOJ13" s="203"/>
      <c r="BOK13" s="203"/>
      <c r="BOL13" s="203"/>
      <c r="BOM13" s="203"/>
      <c r="BON13" s="203"/>
      <c r="BOO13" s="203"/>
      <c r="BOP13" s="203"/>
      <c r="BOQ13" s="203"/>
      <c r="BOR13" s="203"/>
      <c r="BOS13" s="203"/>
      <c r="BOT13" s="203"/>
      <c r="BOU13" s="203"/>
      <c r="BOV13" s="203"/>
      <c r="BOW13" s="203"/>
      <c r="BOX13" s="203"/>
      <c r="BOY13" s="203"/>
      <c r="BOZ13" s="203"/>
      <c r="BPA13" s="203"/>
      <c r="BPB13" s="203"/>
      <c r="BPC13" s="203"/>
      <c r="BPD13" s="203"/>
      <c r="BPE13" s="203"/>
      <c r="BPF13" s="203"/>
      <c r="BPG13" s="203"/>
      <c r="BPH13" s="203"/>
      <c r="BPI13" s="203"/>
      <c r="BPJ13" s="203"/>
      <c r="BPK13" s="203"/>
      <c r="BPL13" s="203"/>
      <c r="BPM13" s="203"/>
      <c r="BPN13" s="203"/>
      <c r="BPO13" s="203"/>
      <c r="BPP13" s="203"/>
      <c r="BPQ13" s="203"/>
      <c r="BPR13" s="203"/>
      <c r="BPS13" s="203"/>
      <c r="BPT13" s="203"/>
      <c r="BPU13" s="203"/>
      <c r="BPV13" s="203"/>
      <c r="BPW13" s="203"/>
      <c r="BPX13" s="203"/>
      <c r="BPY13" s="203"/>
      <c r="BPZ13" s="203"/>
      <c r="BQA13" s="203"/>
      <c r="BQB13" s="203"/>
      <c r="BQC13" s="203"/>
      <c r="BQD13" s="203"/>
      <c r="BQE13" s="203"/>
      <c r="BQF13" s="203"/>
      <c r="BQG13" s="203"/>
      <c r="BQH13" s="203"/>
      <c r="BQI13" s="203"/>
      <c r="BQJ13" s="203"/>
      <c r="BQK13" s="204"/>
      <c r="BQL13" s="202" t="s">
        <v>97</v>
      </c>
      <c r="BQM13" s="203"/>
      <c r="BQN13" s="203"/>
      <c r="BQO13" s="203"/>
      <c r="BQP13" s="203"/>
      <c r="BQQ13" s="203"/>
      <c r="BQR13" s="203"/>
      <c r="BQS13" s="203"/>
      <c r="BQT13" s="203"/>
      <c r="BQU13" s="203"/>
      <c r="BQV13" s="203"/>
      <c r="BQW13" s="203"/>
      <c r="BQX13" s="203"/>
      <c r="BQY13" s="203"/>
      <c r="BQZ13" s="203"/>
      <c r="BRA13" s="203"/>
      <c r="BRB13" s="203"/>
      <c r="BRC13" s="203"/>
      <c r="BRD13" s="203"/>
      <c r="BRE13" s="203"/>
      <c r="BRF13" s="203"/>
      <c r="BRG13" s="203"/>
      <c r="BRH13" s="203"/>
      <c r="BRI13" s="203"/>
      <c r="BRJ13" s="203"/>
      <c r="BRK13" s="203"/>
      <c r="BRL13" s="203"/>
      <c r="BRM13" s="203"/>
      <c r="BRN13" s="203"/>
      <c r="BRO13" s="203"/>
      <c r="BRP13" s="203"/>
      <c r="BRQ13" s="203"/>
      <c r="BRR13" s="203"/>
      <c r="BRS13" s="203"/>
      <c r="BRT13" s="203"/>
      <c r="BRU13" s="203"/>
      <c r="BRV13" s="203"/>
      <c r="BRW13" s="203"/>
      <c r="BRX13" s="203"/>
      <c r="BRY13" s="203"/>
      <c r="BRZ13" s="203"/>
      <c r="BSA13" s="203"/>
      <c r="BSB13" s="203"/>
      <c r="BSC13" s="203"/>
      <c r="BSD13" s="203"/>
      <c r="BSE13" s="203"/>
      <c r="BSF13" s="203"/>
      <c r="BSG13" s="203"/>
      <c r="BSH13" s="203"/>
      <c r="BSI13" s="203"/>
      <c r="BSJ13" s="203"/>
      <c r="BSK13" s="203"/>
      <c r="BSL13" s="203"/>
      <c r="BSM13" s="203"/>
      <c r="BSN13" s="203"/>
      <c r="BSO13" s="203"/>
      <c r="BSP13" s="203"/>
      <c r="BSQ13" s="203"/>
      <c r="BSR13" s="203"/>
      <c r="BSS13" s="204"/>
      <c r="BST13" s="202" t="s">
        <v>95</v>
      </c>
      <c r="BSU13" s="203"/>
      <c r="BSV13" s="203"/>
      <c r="BSW13" s="203"/>
      <c r="BSX13" s="203"/>
      <c r="BSY13" s="203"/>
      <c r="BSZ13" s="203"/>
      <c r="BTA13" s="203"/>
      <c r="BTB13" s="203"/>
      <c r="BTC13" s="203"/>
      <c r="BTD13" s="203"/>
      <c r="BTE13" s="203"/>
      <c r="BTF13" s="203"/>
      <c r="BTG13" s="203"/>
      <c r="BTH13" s="203"/>
      <c r="BTI13" s="203"/>
      <c r="BTJ13" s="203"/>
      <c r="BTK13" s="203"/>
      <c r="BTL13" s="203"/>
      <c r="BTM13" s="203"/>
      <c r="BTN13" s="203"/>
      <c r="BTO13" s="203"/>
      <c r="BTP13" s="203"/>
      <c r="BTQ13" s="203"/>
      <c r="BTR13" s="203"/>
      <c r="BTS13" s="203"/>
      <c r="BTT13" s="203"/>
      <c r="BTU13" s="203"/>
      <c r="BTV13" s="203"/>
      <c r="BTW13" s="203"/>
      <c r="BTX13" s="203"/>
      <c r="BTY13" s="203"/>
      <c r="BTZ13" s="203"/>
      <c r="BUA13" s="203"/>
      <c r="BUB13" s="203"/>
      <c r="BUC13" s="203"/>
      <c r="BUD13" s="203"/>
      <c r="BUE13" s="203"/>
      <c r="BUF13" s="203"/>
      <c r="BUG13" s="203"/>
      <c r="BUH13" s="203"/>
      <c r="BUI13" s="203"/>
      <c r="BUJ13" s="203"/>
      <c r="BUK13" s="203"/>
      <c r="BUL13" s="203"/>
      <c r="BUM13" s="203"/>
      <c r="BUN13" s="203"/>
      <c r="BUO13" s="203"/>
      <c r="BUP13" s="203"/>
      <c r="BUQ13" s="203"/>
      <c r="BUR13" s="203"/>
      <c r="BUS13" s="203"/>
      <c r="BUT13" s="203"/>
      <c r="BUU13" s="203"/>
      <c r="BUV13" s="203"/>
      <c r="BUW13" s="203"/>
      <c r="BUX13" s="203"/>
      <c r="BUY13" s="203"/>
      <c r="BUZ13" s="203"/>
      <c r="BVA13" s="204"/>
      <c r="BVB13" s="202" t="s">
        <v>93</v>
      </c>
      <c r="BVC13" s="203"/>
      <c r="BVD13" s="203"/>
      <c r="BVE13" s="203"/>
      <c r="BVF13" s="203"/>
      <c r="BVG13" s="203"/>
      <c r="BVH13" s="203"/>
      <c r="BVI13" s="203"/>
      <c r="BVJ13" s="203"/>
      <c r="BVK13" s="203"/>
      <c r="BVL13" s="203"/>
      <c r="BVM13" s="203"/>
      <c r="BVN13" s="203"/>
      <c r="BVO13" s="203"/>
      <c r="BVP13" s="203"/>
      <c r="BVQ13" s="203"/>
      <c r="BVR13" s="203"/>
      <c r="BVS13" s="203"/>
      <c r="BVT13" s="203"/>
      <c r="BVU13" s="203"/>
      <c r="BVV13" s="203"/>
      <c r="BVW13" s="203"/>
      <c r="BVX13" s="203"/>
      <c r="BVY13" s="203"/>
      <c r="BVZ13" s="203"/>
      <c r="BWA13" s="203"/>
      <c r="BWB13" s="203"/>
      <c r="BWC13" s="203"/>
      <c r="BWD13" s="203"/>
      <c r="BWE13" s="203"/>
      <c r="BWF13" s="203"/>
      <c r="BWG13" s="203"/>
      <c r="BWH13" s="203"/>
      <c r="BWI13" s="203"/>
      <c r="BWJ13" s="203"/>
      <c r="BWK13" s="203"/>
      <c r="BWL13" s="203"/>
      <c r="BWM13" s="203"/>
      <c r="BWN13" s="203"/>
      <c r="BWO13" s="203"/>
      <c r="BWP13" s="203"/>
      <c r="BWQ13" s="203"/>
      <c r="BWR13" s="203"/>
      <c r="BWS13" s="203"/>
      <c r="BWT13" s="203"/>
      <c r="BWU13" s="203"/>
      <c r="BWV13" s="203"/>
      <c r="BWW13" s="203"/>
      <c r="BWX13" s="203"/>
      <c r="BWY13" s="203"/>
      <c r="BWZ13" s="203"/>
      <c r="BXA13" s="203"/>
      <c r="BXB13" s="203"/>
      <c r="BXC13" s="203"/>
      <c r="BXD13" s="203"/>
      <c r="BXE13" s="203"/>
      <c r="BXF13" s="203"/>
      <c r="BXG13" s="203"/>
      <c r="BXH13" s="203"/>
      <c r="BXI13" s="204"/>
      <c r="BXJ13" s="202" t="s">
        <v>92</v>
      </c>
      <c r="BXK13" s="203"/>
      <c r="BXL13" s="203"/>
      <c r="BXM13" s="203"/>
      <c r="BXN13" s="203"/>
      <c r="BXO13" s="203"/>
      <c r="BXP13" s="203"/>
      <c r="BXQ13" s="203"/>
      <c r="BXR13" s="203"/>
      <c r="BXS13" s="203"/>
      <c r="BXT13" s="203"/>
      <c r="BXU13" s="203"/>
      <c r="BXV13" s="203"/>
      <c r="BXW13" s="203"/>
      <c r="BXX13" s="203"/>
      <c r="BXY13" s="203"/>
      <c r="BXZ13" s="203"/>
      <c r="BYA13" s="203"/>
      <c r="BYB13" s="203"/>
      <c r="BYC13" s="203"/>
      <c r="BYD13" s="203"/>
      <c r="BYE13" s="203"/>
      <c r="BYF13" s="203"/>
      <c r="BYG13" s="203"/>
      <c r="BYH13" s="203"/>
      <c r="BYI13" s="203"/>
      <c r="BYJ13" s="203"/>
      <c r="BYK13" s="203"/>
      <c r="BYL13" s="203"/>
      <c r="BYM13" s="203"/>
      <c r="BYN13" s="203"/>
      <c r="BYO13" s="203"/>
      <c r="BYP13" s="203"/>
      <c r="BYQ13" s="203"/>
      <c r="BYR13" s="203"/>
      <c r="BYS13" s="203"/>
      <c r="BYT13" s="203"/>
      <c r="BYU13" s="203"/>
      <c r="BYV13" s="203"/>
      <c r="BYW13" s="203"/>
      <c r="BYX13" s="203"/>
      <c r="BYY13" s="203"/>
      <c r="BYZ13" s="203"/>
      <c r="BZA13" s="203"/>
      <c r="BZB13" s="203"/>
      <c r="BZC13" s="203"/>
      <c r="BZD13" s="203"/>
      <c r="BZE13" s="203"/>
      <c r="BZF13" s="203"/>
      <c r="BZG13" s="203"/>
      <c r="BZH13" s="203"/>
      <c r="BZI13" s="203"/>
      <c r="BZJ13" s="203"/>
      <c r="BZK13" s="203"/>
      <c r="BZL13" s="203"/>
      <c r="BZM13" s="203"/>
      <c r="BZN13" s="203"/>
      <c r="BZO13" s="203"/>
      <c r="BZP13" s="203"/>
      <c r="BZQ13" s="204"/>
      <c r="BZR13" s="202" t="s">
        <v>90</v>
      </c>
      <c r="BZS13" s="203"/>
      <c r="BZT13" s="203"/>
      <c r="BZU13" s="203"/>
      <c r="BZV13" s="203"/>
      <c r="BZW13" s="203"/>
      <c r="BZX13" s="203"/>
      <c r="BZY13" s="203"/>
      <c r="BZZ13" s="203"/>
      <c r="CAA13" s="203"/>
      <c r="CAB13" s="203"/>
      <c r="CAC13" s="203"/>
      <c r="CAD13" s="203"/>
      <c r="CAE13" s="203"/>
      <c r="CAF13" s="203"/>
      <c r="CAG13" s="203"/>
      <c r="CAH13" s="203"/>
      <c r="CAI13" s="203"/>
      <c r="CAJ13" s="203"/>
      <c r="CAK13" s="203"/>
      <c r="CAL13" s="203"/>
      <c r="CAM13" s="203"/>
      <c r="CAN13" s="203"/>
      <c r="CAO13" s="203"/>
      <c r="CAP13" s="203"/>
      <c r="CAQ13" s="203"/>
      <c r="CAR13" s="203"/>
      <c r="CAS13" s="203"/>
      <c r="CAT13" s="203"/>
      <c r="CAU13" s="203"/>
      <c r="CAV13" s="203"/>
      <c r="CAW13" s="203"/>
      <c r="CAX13" s="203"/>
      <c r="CAY13" s="203"/>
      <c r="CAZ13" s="203"/>
      <c r="CBA13" s="203"/>
      <c r="CBB13" s="203"/>
      <c r="CBC13" s="203"/>
      <c r="CBD13" s="203"/>
      <c r="CBE13" s="203"/>
      <c r="CBF13" s="203"/>
      <c r="CBG13" s="203"/>
      <c r="CBH13" s="203"/>
      <c r="CBI13" s="203"/>
      <c r="CBJ13" s="203"/>
      <c r="CBK13" s="203"/>
      <c r="CBL13" s="203"/>
      <c r="CBM13" s="203"/>
      <c r="CBN13" s="203"/>
      <c r="CBO13" s="203"/>
      <c r="CBP13" s="203"/>
      <c r="CBQ13" s="203"/>
      <c r="CBR13" s="203"/>
      <c r="CBS13" s="203"/>
      <c r="CBT13" s="203"/>
      <c r="CBU13" s="203"/>
      <c r="CBV13" s="203"/>
      <c r="CBW13" s="203"/>
      <c r="CBX13" s="203"/>
      <c r="CBY13" s="204"/>
      <c r="CBZ13" s="202" t="s">
        <v>89</v>
      </c>
      <c r="CCA13" s="203"/>
      <c r="CCB13" s="203"/>
      <c r="CCC13" s="203"/>
      <c r="CCD13" s="203"/>
      <c r="CCE13" s="203"/>
      <c r="CCF13" s="203"/>
      <c r="CCG13" s="203"/>
      <c r="CCH13" s="203"/>
      <c r="CCI13" s="203"/>
      <c r="CCJ13" s="203"/>
      <c r="CCK13" s="203"/>
      <c r="CCL13" s="203"/>
      <c r="CCM13" s="203"/>
      <c r="CCN13" s="203"/>
      <c r="CCO13" s="203"/>
      <c r="CCP13" s="203"/>
      <c r="CCQ13" s="203"/>
      <c r="CCR13" s="203"/>
      <c r="CCS13" s="203"/>
      <c r="CCT13" s="203"/>
      <c r="CCU13" s="203"/>
      <c r="CCV13" s="203"/>
      <c r="CCW13" s="203"/>
      <c r="CCX13" s="203"/>
      <c r="CCY13" s="203"/>
      <c r="CCZ13" s="203"/>
      <c r="CDA13" s="203"/>
      <c r="CDB13" s="203"/>
      <c r="CDC13" s="203"/>
      <c r="CDD13" s="203"/>
      <c r="CDE13" s="203"/>
      <c r="CDF13" s="203"/>
      <c r="CDG13" s="203"/>
      <c r="CDH13" s="203"/>
      <c r="CDI13" s="203"/>
      <c r="CDJ13" s="203"/>
      <c r="CDK13" s="203"/>
      <c r="CDL13" s="203"/>
      <c r="CDM13" s="203"/>
      <c r="CDN13" s="203"/>
      <c r="CDO13" s="203"/>
      <c r="CDP13" s="203"/>
      <c r="CDQ13" s="203"/>
      <c r="CDR13" s="203"/>
      <c r="CDS13" s="203"/>
      <c r="CDT13" s="203"/>
      <c r="CDU13" s="203"/>
      <c r="CDV13" s="203"/>
      <c r="CDW13" s="203"/>
      <c r="CDX13" s="203"/>
      <c r="CDY13" s="203"/>
      <c r="CDZ13" s="203"/>
      <c r="CEA13" s="203"/>
      <c r="CEB13" s="203"/>
      <c r="CEC13" s="203"/>
      <c r="CED13" s="203"/>
      <c r="CEE13" s="203"/>
      <c r="CEF13" s="203"/>
      <c r="CEG13" s="204"/>
      <c r="CEH13" s="202" t="s">
        <v>87</v>
      </c>
      <c r="CEI13" s="203"/>
      <c r="CEJ13" s="203"/>
      <c r="CEK13" s="203"/>
      <c r="CEL13" s="203"/>
      <c r="CEM13" s="203"/>
      <c r="CEN13" s="203"/>
      <c r="CEO13" s="203"/>
      <c r="CEP13" s="203"/>
      <c r="CEQ13" s="203"/>
      <c r="CER13" s="203"/>
      <c r="CES13" s="203"/>
      <c r="CET13" s="203"/>
      <c r="CEU13" s="203"/>
      <c r="CEV13" s="203"/>
      <c r="CEW13" s="203"/>
      <c r="CEX13" s="203"/>
      <c r="CEY13" s="203"/>
      <c r="CEZ13" s="203"/>
      <c r="CFA13" s="203"/>
      <c r="CFB13" s="203"/>
      <c r="CFC13" s="203"/>
      <c r="CFD13" s="203"/>
      <c r="CFE13" s="203"/>
      <c r="CFF13" s="203"/>
      <c r="CFG13" s="203"/>
      <c r="CFH13" s="203"/>
      <c r="CFI13" s="203"/>
      <c r="CFJ13" s="203"/>
      <c r="CFK13" s="203"/>
      <c r="CFL13" s="203"/>
      <c r="CFM13" s="203"/>
      <c r="CFN13" s="203"/>
      <c r="CFO13" s="203"/>
      <c r="CFP13" s="203"/>
      <c r="CFQ13" s="203"/>
      <c r="CFR13" s="203"/>
      <c r="CFS13" s="203"/>
      <c r="CFT13" s="203"/>
      <c r="CFU13" s="203"/>
      <c r="CFV13" s="203"/>
      <c r="CFW13" s="203"/>
      <c r="CFX13" s="203"/>
      <c r="CFY13" s="203"/>
      <c r="CFZ13" s="203"/>
      <c r="CGA13" s="203"/>
      <c r="CGB13" s="203"/>
      <c r="CGC13" s="203"/>
      <c r="CGD13" s="203"/>
      <c r="CGE13" s="203"/>
      <c r="CGF13" s="203"/>
      <c r="CGG13" s="203"/>
      <c r="CGH13" s="203"/>
      <c r="CGI13" s="203"/>
      <c r="CGJ13" s="203"/>
      <c r="CGK13" s="203"/>
      <c r="CGL13" s="203"/>
      <c r="CGM13" s="203"/>
      <c r="CGN13" s="203"/>
      <c r="CGO13" s="204"/>
      <c r="CGP13" s="202" t="s">
        <v>86</v>
      </c>
      <c r="CGQ13" s="203"/>
      <c r="CGR13" s="203"/>
      <c r="CGS13" s="203"/>
      <c r="CGT13" s="203"/>
      <c r="CGU13" s="203"/>
      <c r="CGV13" s="203"/>
      <c r="CGW13" s="203"/>
      <c r="CGX13" s="203"/>
      <c r="CGY13" s="203"/>
      <c r="CGZ13" s="203"/>
      <c r="CHA13" s="203"/>
      <c r="CHB13" s="203"/>
      <c r="CHC13" s="203"/>
      <c r="CHD13" s="203"/>
      <c r="CHE13" s="203"/>
      <c r="CHF13" s="203"/>
      <c r="CHG13" s="203"/>
      <c r="CHH13" s="203"/>
      <c r="CHI13" s="203"/>
      <c r="CHJ13" s="203"/>
      <c r="CHK13" s="203"/>
      <c r="CHL13" s="203"/>
      <c r="CHM13" s="203"/>
      <c r="CHN13" s="203"/>
      <c r="CHO13" s="203"/>
      <c r="CHP13" s="203"/>
      <c r="CHQ13" s="203"/>
      <c r="CHR13" s="203"/>
      <c r="CHS13" s="203"/>
      <c r="CHT13" s="203"/>
      <c r="CHU13" s="203"/>
      <c r="CHV13" s="203"/>
      <c r="CHW13" s="203"/>
      <c r="CHX13" s="203"/>
      <c r="CHY13" s="203"/>
      <c r="CHZ13" s="203"/>
      <c r="CIA13" s="203"/>
      <c r="CIB13" s="203"/>
      <c r="CIC13" s="203"/>
      <c r="CID13" s="203"/>
      <c r="CIE13" s="203"/>
      <c r="CIF13" s="203"/>
      <c r="CIG13" s="203"/>
      <c r="CIH13" s="203"/>
      <c r="CII13" s="203"/>
      <c r="CIJ13" s="203"/>
      <c r="CIK13" s="203"/>
      <c r="CIL13" s="203"/>
      <c r="CIM13" s="203"/>
      <c r="CIN13" s="203"/>
      <c r="CIO13" s="203"/>
      <c r="CIP13" s="203"/>
      <c r="CIQ13" s="203"/>
      <c r="CIR13" s="203"/>
      <c r="CIS13" s="203"/>
      <c r="CIT13" s="203"/>
      <c r="CIU13" s="203"/>
      <c r="CIV13" s="203"/>
      <c r="CIW13" s="204"/>
      <c r="CIX13" s="202" t="s">
        <v>84</v>
      </c>
      <c r="CIY13" s="203"/>
      <c r="CIZ13" s="203"/>
      <c r="CJA13" s="203"/>
      <c r="CJB13" s="203"/>
      <c r="CJC13" s="203"/>
      <c r="CJD13" s="203"/>
      <c r="CJE13" s="203"/>
      <c r="CJF13" s="203"/>
      <c r="CJG13" s="203"/>
      <c r="CJH13" s="203"/>
      <c r="CJI13" s="203"/>
      <c r="CJJ13" s="203"/>
      <c r="CJK13" s="203"/>
      <c r="CJL13" s="203"/>
      <c r="CJM13" s="203"/>
      <c r="CJN13" s="203"/>
      <c r="CJO13" s="203"/>
      <c r="CJP13" s="203"/>
      <c r="CJQ13" s="203"/>
      <c r="CJR13" s="203"/>
      <c r="CJS13" s="203"/>
      <c r="CJT13" s="203"/>
      <c r="CJU13" s="203"/>
      <c r="CJV13" s="203"/>
      <c r="CJW13" s="203"/>
      <c r="CJX13" s="203"/>
      <c r="CJY13" s="203"/>
      <c r="CJZ13" s="203"/>
      <c r="CKA13" s="203"/>
      <c r="CKB13" s="203"/>
      <c r="CKC13" s="203"/>
      <c r="CKD13" s="203"/>
      <c r="CKE13" s="203"/>
      <c r="CKF13" s="203"/>
      <c r="CKG13" s="203"/>
      <c r="CKH13" s="203"/>
      <c r="CKI13" s="203"/>
      <c r="CKJ13" s="203"/>
      <c r="CKK13" s="203"/>
      <c r="CKL13" s="203"/>
      <c r="CKM13" s="203"/>
      <c r="CKN13" s="203"/>
      <c r="CKO13" s="203"/>
      <c r="CKP13" s="203"/>
      <c r="CKQ13" s="203"/>
      <c r="CKR13" s="203"/>
      <c r="CKS13" s="203"/>
      <c r="CKT13" s="203"/>
      <c r="CKU13" s="203"/>
      <c r="CKV13" s="203"/>
      <c r="CKW13" s="203"/>
      <c r="CKX13" s="203"/>
      <c r="CKY13" s="203"/>
      <c r="CKZ13" s="203"/>
      <c r="CLA13" s="203"/>
      <c r="CLB13" s="203"/>
      <c r="CLC13" s="203"/>
      <c r="CLD13" s="203"/>
      <c r="CLE13" s="204"/>
      <c r="CLF13" s="202" t="s">
        <v>82</v>
      </c>
      <c r="CLG13" s="203"/>
      <c r="CLH13" s="203"/>
      <c r="CLI13" s="203"/>
      <c r="CLJ13" s="203"/>
      <c r="CLK13" s="203"/>
      <c r="CLL13" s="203"/>
      <c r="CLM13" s="203"/>
      <c r="CLN13" s="203"/>
      <c r="CLO13" s="203"/>
      <c r="CLP13" s="203"/>
      <c r="CLQ13" s="203"/>
      <c r="CLR13" s="203"/>
      <c r="CLS13" s="203"/>
      <c r="CLT13" s="203"/>
      <c r="CLU13" s="203"/>
      <c r="CLV13" s="203"/>
      <c r="CLW13" s="203"/>
      <c r="CLX13" s="203"/>
      <c r="CLY13" s="203"/>
      <c r="CLZ13" s="203"/>
      <c r="CMA13" s="203"/>
      <c r="CMB13" s="203"/>
      <c r="CMC13" s="203"/>
      <c r="CMD13" s="203"/>
      <c r="CME13" s="203"/>
      <c r="CMF13" s="203"/>
      <c r="CMG13" s="203"/>
      <c r="CMH13" s="203"/>
      <c r="CMI13" s="203"/>
      <c r="CMJ13" s="203"/>
      <c r="CMK13" s="203"/>
      <c r="CML13" s="203"/>
      <c r="CMM13" s="203"/>
      <c r="CMN13" s="203"/>
      <c r="CMO13" s="203"/>
      <c r="CMP13" s="203"/>
      <c r="CMQ13" s="203"/>
      <c r="CMR13" s="203"/>
      <c r="CMS13" s="203"/>
      <c r="CMT13" s="203"/>
      <c r="CMU13" s="203"/>
      <c r="CMV13" s="203"/>
      <c r="CMW13" s="203"/>
      <c r="CMX13" s="203"/>
      <c r="CMY13" s="203"/>
      <c r="CMZ13" s="203"/>
      <c r="CNA13" s="203"/>
      <c r="CNB13" s="203"/>
      <c r="CNC13" s="203"/>
      <c r="CND13" s="203"/>
      <c r="CNE13" s="203"/>
      <c r="CNF13" s="203"/>
      <c r="CNG13" s="203"/>
      <c r="CNH13" s="203"/>
      <c r="CNI13" s="203"/>
      <c r="CNJ13" s="203"/>
      <c r="CNK13" s="203"/>
      <c r="CNL13" s="203"/>
      <c r="CNM13" s="204"/>
      <c r="CNN13" s="202" t="s">
        <v>81</v>
      </c>
      <c r="CNO13" s="203"/>
      <c r="CNP13" s="203"/>
      <c r="CNQ13" s="203"/>
      <c r="CNR13" s="203"/>
      <c r="CNS13" s="203"/>
      <c r="CNT13" s="203"/>
      <c r="CNU13" s="203"/>
      <c r="CNV13" s="203"/>
      <c r="CNW13" s="203"/>
      <c r="CNX13" s="203"/>
      <c r="CNY13" s="203"/>
      <c r="CNZ13" s="203"/>
      <c r="COA13" s="203"/>
      <c r="COB13" s="203"/>
      <c r="COC13" s="203"/>
      <c r="COD13" s="203"/>
      <c r="COE13" s="203"/>
      <c r="COF13" s="203"/>
      <c r="COG13" s="203"/>
      <c r="COH13" s="203"/>
      <c r="COI13" s="203"/>
      <c r="COJ13" s="203"/>
      <c r="COK13" s="203"/>
      <c r="COL13" s="203"/>
      <c r="COM13" s="203"/>
      <c r="CON13" s="203"/>
      <c r="COO13" s="203"/>
      <c r="COP13" s="203"/>
      <c r="COQ13" s="203"/>
      <c r="COR13" s="203"/>
      <c r="COS13" s="203"/>
      <c r="COT13" s="203"/>
      <c r="COU13" s="203"/>
      <c r="COV13" s="203"/>
      <c r="COW13" s="203"/>
      <c r="COX13" s="203"/>
      <c r="COY13" s="203"/>
      <c r="COZ13" s="203"/>
      <c r="CPA13" s="203"/>
      <c r="CPB13" s="203"/>
      <c r="CPC13" s="203"/>
      <c r="CPD13" s="203"/>
      <c r="CPE13" s="203"/>
      <c r="CPF13" s="203"/>
      <c r="CPG13" s="203"/>
      <c r="CPH13" s="203"/>
      <c r="CPI13" s="203"/>
      <c r="CPJ13" s="203"/>
      <c r="CPK13" s="203"/>
      <c r="CPL13" s="203"/>
      <c r="CPM13" s="203"/>
      <c r="CPN13" s="203"/>
      <c r="CPO13" s="203"/>
      <c r="CPP13" s="203"/>
      <c r="CPQ13" s="203"/>
      <c r="CPR13" s="203"/>
      <c r="CPS13" s="203"/>
      <c r="CPT13" s="203"/>
      <c r="CPU13" s="204"/>
      <c r="CPV13" s="202" t="s">
        <v>79</v>
      </c>
      <c r="CPW13" s="203"/>
      <c r="CPX13" s="203"/>
      <c r="CPY13" s="203"/>
      <c r="CPZ13" s="203"/>
      <c r="CQA13" s="203"/>
      <c r="CQB13" s="203"/>
      <c r="CQC13" s="203"/>
      <c r="CQD13" s="203"/>
      <c r="CQE13" s="203"/>
      <c r="CQF13" s="203"/>
      <c r="CQG13" s="203"/>
      <c r="CQH13" s="203"/>
      <c r="CQI13" s="203"/>
      <c r="CQJ13" s="203"/>
      <c r="CQK13" s="203"/>
      <c r="CQL13" s="203"/>
      <c r="CQM13" s="203"/>
      <c r="CQN13" s="203"/>
      <c r="CQO13" s="203"/>
      <c r="CQP13" s="203"/>
      <c r="CQQ13" s="203"/>
      <c r="CQR13" s="203"/>
      <c r="CQS13" s="203"/>
      <c r="CQT13" s="203"/>
      <c r="CQU13" s="203"/>
      <c r="CQV13" s="203"/>
      <c r="CQW13" s="203"/>
      <c r="CQX13" s="203"/>
      <c r="CQY13" s="203"/>
      <c r="CQZ13" s="203"/>
      <c r="CRA13" s="203"/>
      <c r="CRB13" s="203"/>
      <c r="CRC13" s="203"/>
      <c r="CRD13" s="203"/>
      <c r="CRE13" s="203"/>
      <c r="CRF13" s="203"/>
      <c r="CRG13" s="203"/>
      <c r="CRH13" s="203"/>
      <c r="CRI13" s="203"/>
      <c r="CRJ13" s="203"/>
      <c r="CRK13" s="203"/>
      <c r="CRL13" s="203"/>
      <c r="CRM13" s="203"/>
      <c r="CRN13" s="203"/>
      <c r="CRO13" s="203"/>
      <c r="CRP13" s="203"/>
      <c r="CRQ13" s="203"/>
      <c r="CRR13" s="203"/>
      <c r="CRS13" s="203"/>
      <c r="CRT13" s="203"/>
      <c r="CRU13" s="203"/>
      <c r="CRV13" s="203"/>
      <c r="CRW13" s="203"/>
      <c r="CRX13" s="203"/>
      <c r="CRY13" s="203"/>
      <c r="CRZ13" s="203"/>
      <c r="CSA13" s="203"/>
      <c r="CSB13" s="203"/>
      <c r="CSC13" s="204"/>
      <c r="CSD13" s="90"/>
    </row>
    <row r="14" spans="1:2526" ht="12.75" customHeight="1" thickBot="1" x14ac:dyDescent="0.35">
      <c r="B14" s="96"/>
      <c r="C14" s="228"/>
      <c r="D14" s="145"/>
      <c r="E14" s="230"/>
      <c r="F14" s="103"/>
      <c r="G14" s="104"/>
      <c r="H14" s="104"/>
      <c r="I14" s="104"/>
      <c r="J14" s="205" t="s">
        <v>32</v>
      </c>
      <c r="K14" s="205"/>
      <c r="L14" s="205"/>
      <c r="M14" s="205"/>
      <c r="N14" s="104"/>
      <c r="O14" s="104"/>
      <c r="P14" s="206" t="s">
        <v>22</v>
      </c>
      <c r="Q14" s="206"/>
      <c r="R14" s="206"/>
      <c r="S14" s="206"/>
      <c r="T14" s="129"/>
      <c r="U14" s="129"/>
      <c r="V14" s="205" t="s">
        <v>33</v>
      </c>
      <c r="W14" s="205"/>
      <c r="X14" s="205"/>
      <c r="Y14" s="205"/>
      <c r="Z14" s="104"/>
      <c r="AA14" s="104"/>
      <c r="AB14" s="206" t="s">
        <v>23</v>
      </c>
      <c r="AC14" s="206"/>
      <c r="AD14" s="206"/>
      <c r="AE14" s="206"/>
      <c r="AF14" s="129"/>
      <c r="AG14" s="129"/>
      <c r="AH14" s="205" t="s">
        <v>34</v>
      </c>
      <c r="AI14" s="205"/>
      <c r="AJ14" s="205"/>
      <c r="AK14" s="205"/>
      <c r="AL14" s="104"/>
      <c r="AM14" s="104"/>
      <c r="AN14" s="206" t="s">
        <v>24</v>
      </c>
      <c r="AO14" s="206"/>
      <c r="AP14" s="206"/>
      <c r="AQ14" s="206"/>
      <c r="AR14" s="129"/>
      <c r="AS14" s="129"/>
      <c r="AT14" s="205" t="s">
        <v>35</v>
      </c>
      <c r="AU14" s="205"/>
      <c r="AV14" s="205"/>
      <c r="AW14" s="205"/>
      <c r="AX14" s="104"/>
      <c r="AY14" s="104"/>
      <c r="AZ14" s="206" t="s">
        <v>25</v>
      </c>
      <c r="BA14" s="206"/>
      <c r="BB14" s="206"/>
      <c r="BC14" s="206"/>
      <c r="BD14" s="129"/>
      <c r="BE14" s="129"/>
      <c r="BF14" s="205" t="s">
        <v>36</v>
      </c>
      <c r="BG14" s="205"/>
      <c r="BH14" s="205"/>
      <c r="BI14" s="205"/>
      <c r="BJ14" s="104"/>
      <c r="BK14" s="104"/>
      <c r="BL14" s="104"/>
      <c r="BM14" s="105"/>
      <c r="BN14" s="103"/>
      <c r="BO14" s="104"/>
      <c r="BP14" s="104"/>
      <c r="BQ14" s="104"/>
      <c r="BR14" s="205" t="s">
        <v>32</v>
      </c>
      <c r="BS14" s="205"/>
      <c r="BT14" s="205"/>
      <c r="BU14" s="205"/>
      <c r="BV14" s="104"/>
      <c r="BW14" s="104"/>
      <c r="BX14" s="206" t="s">
        <v>22</v>
      </c>
      <c r="BY14" s="206"/>
      <c r="BZ14" s="206"/>
      <c r="CA14" s="206"/>
      <c r="CB14" s="129"/>
      <c r="CC14" s="129"/>
      <c r="CD14" s="205" t="s">
        <v>33</v>
      </c>
      <c r="CE14" s="205"/>
      <c r="CF14" s="205"/>
      <c r="CG14" s="205"/>
      <c r="CH14" s="104"/>
      <c r="CI14" s="104"/>
      <c r="CJ14" s="206" t="s">
        <v>23</v>
      </c>
      <c r="CK14" s="206"/>
      <c r="CL14" s="206"/>
      <c r="CM14" s="206"/>
      <c r="CN14" s="129"/>
      <c r="CO14" s="129"/>
      <c r="CP14" s="205" t="s">
        <v>34</v>
      </c>
      <c r="CQ14" s="205"/>
      <c r="CR14" s="205"/>
      <c r="CS14" s="205"/>
      <c r="CT14" s="104"/>
      <c r="CU14" s="104"/>
      <c r="CV14" s="206" t="s">
        <v>24</v>
      </c>
      <c r="CW14" s="206"/>
      <c r="CX14" s="206"/>
      <c r="CY14" s="206"/>
      <c r="CZ14" s="129"/>
      <c r="DA14" s="129"/>
      <c r="DB14" s="205" t="s">
        <v>35</v>
      </c>
      <c r="DC14" s="205"/>
      <c r="DD14" s="205"/>
      <c r="DE14" s="205"/>
      <c r="DF14" s="104"/>
      <c r="DG14" s="104"/>
      <c r="DH14" s="206" t="s">
        <v>25</v>
      </c>
      <c r="DI14" s="206"/>
      <c r="DJ14" s="206"/>
      <c r="DK14" s="206"/>
      <c r="DL14" s="129"/>
      <c r="DM14" s="129"/>
      <c r="DN14" s="205" t="s">
        <v>36</v>
      </c>
      <c r="DO14" s="205"/>
      <c r="DP14" s="205"/>
      <c r="DQ14" s="205"/>
      <c r="DR14" s="104"/>
      <c r="DS14" s="104"/>
      <c r="DT14" s="104"/>
      <c r="DU14" s="105"/>
      <c r="DV14" s="103"/>
      <c r="DW14" s="104"/>
      <c r="DX14" s="104"/>
      <c r="DY14" s="104"/>
      <c r="DZ14" s="205" t="s">
        <v>32</v>
      </c>
      <c r="EA14" s="205"/>
      <c r="EB14" s="205"/>
      <c r="EC14" s="205"/>
      <c r="ED14" s="104"/>
      <c r="EE14" s="104"/>
      <c r="EF14" s="206" t="s">
        <v>22</v>
      </c>
      <c r="EG14" s="206"/>
      <c r="EH14" s="206"/>
      <c r="EI14" s="206"/>
      <c r="EJ14" s="129"/>
      <c r="EK14" s="129"/>
      <c r="EL14" s="205" t="s">
        <v>33</v>
      </c>
      <c r="EM14" s="205"/>
      <c r="EN14" s="205"/>
      <c r="EO14" s="205"/>
      <c r="EP14" s="104"/>
      <c r="EQ14" s="104"/>
      <c r="ER14" s="206" t="s">
        <v>23</v>
      </c>
      <c r="ES14" s="206"/>
      <c r="ET14" s="206"/>
      <c r="EU14" s="206"/>
      <c r="EV14" s="129"/>
      <c r="EW14" s="129"/>
      <c r="EX14" s="205" t="s">
        <v>34</v>
      </c>
      <c r="EY14" s="205"/>
      <c r="EZ14" s="205"/>
      <c r="FA14" s="205"/>
      <c r="FB14" s="104"/>
      <c r="FC14" s="104"/>
      <c r="FD14" s="206" t="s">
        <v>24</v>
      </c>
      <c r="FE14" s="206"/>
      <c r="FF14" s="206"/>
      <c r="FG14" s="206"/>
      <c r="FH14" s="129"/>
      <c r="FI14" s="129"/>
      <c r="FJ14" s="205" t="s">
        <v>35</v>
      </c>
      <c r="FK14" s="205"/>
      <c r="FL14" s="205"/>
      <c r="FM14" s="205"/>
      <c r="FN14" s="104"/>
      <c r="FO14" s="104"/>
      <c r="FP14" s="206" t="s">
        <v>25</v>
      </c>
      <c r="FQ14" s="206"/>
      <c r="FR14" s="206"/>
      <c r="FS14" s="206"/>
      <c r="FT14" s="129"/>
      <c r="FU14" s="129"/>
      <c r="FV14" s="205" t="s">
        <v>36</v>
      </c>
      <c r="FW14" s="205"/>
      <c r="FX14" s="205"/>
      <c r="FY14" s="205"/>
      <c r="FZ14" s="104"/>
      <c r="GA14" s="104"/>
      <c r="GB14" s="104"/>
      <c r="GC14" s="105"/>
      <c r="GD14" s="103"/>
      <c r="GE14" s="104"/>
      <c r="GF14" s="104"/>
      <c r="GG14" s="104"/>
      <c r="GH14" s="205" t="s">
        <v>32</v>
      </c>
      <c r="GI14" s="205"/>
      <c r="GJ14" s="205"/>
      <c r="GK14" s="205"/>
      <c r="GL14" s="104"/>
      <c r="GM14" s="104"/>
      <c r="GN14" s="206" t="s">
        <v>22</v>
      </c>
      <c r="GO14" s="206"/>
      <c r="GP14" s="206"/>
      <c r="GQ14" s="206"/>
      <c r="GR14" s="129"/>
      <c r="GS14" s="129"/>
      <c r="GT14" s="205" t="s">
        <v>33</v>
      </c>
      <c r="GU14" s="205"/>
      <c r="GV14" s="205"/>
      <c r="GW14" s="205"/>
      <c r="GX14" s="104"/>
      <c r="GY14" s="104"/>
      <c r="GZ14" s="206" t="s">
        <v>23</v>
      </c>
      <c r="HA14" s="206"/>
      <c r="HB14" s="206"/>
      <c r="HC14" s="206"/>
      <c r="HD14" s="129"/>
      <c r="HE14" s="129"/>
      <c r="HF14" s="205" t="s">
        <v>34</v>
      </c>
      <c r="HG14" s="205"/>
      <c r="HH14" s="205"/>
      <c r="HI14" s="205"/>
      <c r="HJ14" s="104"/>
      <c r="HK14" s="104"/>
      <c r="HL14" s="206" t="s">
        <v>24</v>
      </c>
      <c r="HM14" s="206"/>
      <c r="HN14" s="206"/>
      <c r="HO14" s="206"/>
      <c r="HP14" s="129"/>
      <c r="HQ14" s="129"/>
      <c r="HR14" s="205" t="s">
        <v>35</v>
      </c>
      <c r="HS14" s="205"/>
      <c r="HT14" s="205"/>
      <c r="HU14" s="205"/>
      <c r="HV14" s="104"/>
      <c r="HW14" s="104"/>
      <c r="HX14" s="206" t="s">
        <v>25</v>
      </c>
      <c r="HY14" s="206"/>
      <c r="HZ14" s="206"/>
      <c r="IA14" s="206"/>
      <c r="IB14" s="129"/>
      <c r="IC14" s="129"/>
      <c r="ID14" s="205" t="s">
        <v>36</v>
      </c>
      <c r="IE14" s="205"/>
      <c r="IF14" s="205"/>
      <c r="IG14" s="205"/>
      <c r="IH14" s="104"/>
      <c r="II14" s="104"/>
      <c r="IJ14" s="104"/>
      <c r="IK14" s="105"/>
      <c r="IL14" s="103"/>
      <c r="IM14" s="104"/>
      <c r="IN14" s="104"/>
      <c r="IO14" s="104"/>
      <c r="IP14" s="205" t="s">
        <v>32</v>
      </c>
      <c r="IQ14" s="205"/>
      <c r="IR14" s="205"/>
      <c r="IS14" s="205"/>
      <c r="IT14" s="104"/>
      <c r="IU14" s="104"/>
      <c r="IV14" s="206" t="s">
        <v>22</v>
      </c>
      <c r="IW14" s="206"/>
      <c r="IX14" s="206"/>
      <c r="IY14" s="206"/>
      <c r="IZ14" s="129"/>
      <c r="JA14" s="129"/>
      <c r="JB14" s="205" t="s">
        <v>33</v>
      </c>
      <c r="JC14" s="205"/>
      <c r="JD14" s="205"/>
      <c r="JE14" s="205"/>
      <c r="JF14" s="104"/>
      <c r="JG14" s="104"/>
      <c r="JH14" s="206" t="s">
        <v>23</v>
      </c>
      <c r="JI14" s="206"/>
      <c r="JJ14" s="206"/>
      <c r="JK14" s="206"/>
      <c r="JL14" s="129"/>
      <c r="JM14" s="129"/>
      <c r="JN14" s="205" t="s">
        <v>34</v>
      </c>
      <c r="JO14" s="205"/>
      <c r="JP14" s="205"/>
      <c r="JQ14" s="205"/>
      <c r="JR14" s="104"/>
      <c r="JS14" s="104"/>
      <c r="JT14" s="206" t="s">
        <v>24</v>
      </c>
      <c r="JU14" s="206"/>
      <c r="JV14" s="206"/>
      <c r="JW14" s="206"/>
      <c r="JX14" s="129"/>
      <c r="JY14" s="129"/>
      <c r="JZ14" s="205" t="s">
        <v>35</v>
      </c>
      <c r="KA14" s="205"/>
      <c r="KB14" s="205"/>
      <c r="KC14" s="205"/>
      <c r="KD14" s="104"/>
      <c r="KE14" s="104"/>
      <c r="KF14" s="206" t="s">
        <v>25</v>
      </c>
      <c r="KG14" s="206"/>
      <c r="KH14" s="206"/>
      <c r="KI14" s="206"/>
      <c r="KJ14" s="129"/>
      <c r="KK14" s="129"/>
      <c r="KL14" s="205" t="s">
        <v>36</v>
      </c>
      <c r="KM14" s="205"/>
      <c r="KN14" s="205"/>
      <c r="KO14" s="205"/>
      <c r="KP14" s="104"/>
      <c r="KQ14" s="104"/>
      <c r="KR14" s="104"/>
      <c r="KS14" s="105"/>
      <c r="KT14" s="103"/>
      <c r="KU14" s="104"/>
      <c r="KV14" s="104"/>
      <c r="KW14" s="104"/>
      <c r="KX14" s="205" t="s">
        <v>32</v>
      </c>
      <c r="KY14" s="205"/>
      <c r="KZ14" s="205"/>
      <c r="LA14" s="205"/>
      <c r="LB14" s="104"/>
      <c r="LC14" s="104"/>
      <c r="LD14" s="206" t="s">
        <v>22</v>
      </c>
      <c r="LE14" s="206"/>
      <c r="LF14" s="206"/>
      <c r="LG14" s="206"/>
      <c r="LH14" s="129"/>
      <c r="LI14" s="129"/>
      <c r="LJ14" s="205" t="s">
        <v>33</v>
      </c>
      <c r="LK14" s="205"/>
      <c r="LL14" s="205"/>
      <c r="LM14" s="205"/>
      <c r="LN14" s="104"/>
      <c r="LO14" s="104"/>
      <c r="LP14" s="206" t="s">
        <v>23</v>
      </c>
      <c r="LQ14" s="206"/>
      <c r="LR14" s="206"/>
      <c r="LS14" s="206"/>
      <c r="LT14" s="129"/>
      <c r="LU14" s="129"/>
      <c r="LV14" s="205" t="s">
        <v>34</v>
      </c>
      <c r="LW14" s="205"/>
      <c r="LX14" s="205"/>
      <c r="LY14" s="205"/>
      <c r="LZ14" s="104"/>
      <c r="MA14" s="104"/>
      <c r="MB14" s="206" t="s">
        <v>24</v>
      </c>
      <c r="MC14" s="206"/>
      <c r="MD14" s="206"/>
      <c r="ME14" s="206"/>
      <c r="MF14" s="129"/>
      <c r="MG14" s="129"/>
      <c r="MH14" s="205" t="s">
        <v>35</v>
      </c>
      <c r="MI14" s="205"/>
      <c r="MJ14" s="205"/>
      <c r="MK14" s="205"/>
      <c r="ML14" s="104"/>
      <c r="MM14" s="104"/>
      <c r="MN14" s="206" t="s">
        <v>25</v>
      </c>
      <c r="MO14" s="206"/>
      <c r="MP14" s="206"/>
      <c r="MQ14" s="206"/>
      <c r="MR14" s="129"/>
      <c r="MS14" s="129"/>
      <c r="MT14" s="205" t="s">
        <v>36</v>
      </c>
      <c r="MU14" s="205"/>
      <c r="MV14" s="205"/>
      <c r="MW14" s="205"/>
      <c r="MX14" s="104"/>
      <c r="MY14" s="104"/>
      <c r="MZ14" s="104"/>
      <c r="NA14" s="105"/>
      <c r="NB14" s="103"/>
      <c r="NC14" s="104"/>
      <c r="ND14" s="104"/>
      <c r="NE14" s="104"/>
      <c r="NF14" s="205" t="s">
        <v>32</v>
      </c>
      <c r="NG14" s="205"/>
      <c r="NH14" s="205"/>
      <c r="NI14" s="205"/>
      <c r="NJ14" s="104"/>
      <c r="NK14" s="104"/>
      <c r="NL14" s="206" t="s">
        <v>22</v>
      </c>
      <c r="NM14" s="206"/>
      <c r="NN14" s="206"/>
      <c r="NO14" s="206"/>
      <c r="NP14" s="129"/>
      <c r="NQ14" s="129"/>
      <c r="NR14" s="205" t="s">
        <v>33</v>
      </c>
      <c r="NS14" s="205"/>
      <c r="NT14" s="205"/>
      <c r="NU14" s="205"/>
      <c r="NV14" s="104"/>
      <c r="NW14" s="104"/>
      <c r="NX14" s="206" t="s">
        <v>23</v>
      </c>
      <c r="NY14" s="206"/>
      <c r="NZ14" s="206"/>
      <c r="OA14" s="206"/>
      <c r="OB14" s="129"/>
      <c r="OC14" s="129"/>
      <c r="OD14" s="205" t="s">
        <v>34</v>
      </c>
      <c r="OE14" s="205"/>
      <c r="OF14" s="205"/>
      <c r="OG14" s="205"/>
      <c r="OH14" s="104"/>
      <c r="OI14" s="104"/>
      <c r="OJ14" s="206" t="s">
        <v>24</v>
      </c>
      <c r="OK14" s="206"/>
      <c r="OL14" s="206"/>
      <c r="OM14" s="206"/>
      <c r="ON14" s="129"/>
      <c r="OO14" s="129"/>
      <c r="OP14" s="205" t="s">
        <v>35</v>
      </c>
      <c r="OQ14" s="205"/>
      <c r="OR14" s="205"/>
      <c r="OS14" s="205"/>
      <c r="OT14" s="104"/>
      <c r="OU14" s="104"/>
      <c r="OV14" s="206" t="s">
        <v>25</v>
      </c>
      <c r="OW14" s="206"/>
      <c r="OX14" s="206"/>
      <c r="OY14" s="206"/>
      <c r="OZ14" s="129"/>
      <c r="PA14" s="129"/>
      <c r="PB14" s="205" t="s">
        <v>36</v>
      </c>
      <c r="PC14" s="205"/>
      <c r="PD14" s="205"/>
      <c r="PE14" s="205"/>
      <c r="PF14" s="104"/>
      <c r="PG14" s="104"/>
      <c r="PH14" s="104"/>
      <c r="PI14" s="105"/>
      <c r="PJ14" s="103"/>
      <c r="PK14" s="104"/>
      <c r="PL14" s="104"/>
      <c r="PM14" s="104"/>
      <c r="PN14" s="205" t="s">
        <v>32</v>
      </c>
      <c r="PO14" s="205"/>
      <c r="PP14" s="205"/>
      <c r="PQ14" s="205"/>
      <c r="PR14" s="104"/>
      <c r="PS14" s="104"/>
      <c r="PT14" s="206" t="s">
        <v>22</v>
      </c>
      <c r="PU14" s="206"/>
      <c r="PV14" s="206"/>
      <c r="PW14" s="206"/>
      <c r="PX14" s="129"/>
      <c r="PY14" s="129"/>
      <c r="PZ14" s="205" t="s">
        <v>33</v>
      </c>
      <c r="QA14" s="205"/>
      <c r="QB14" s="205"/>
      <c r="QC14" s="205"/>
      <c r="QD14" s="104"/>
      <c r="QE14" s="104"/>
      <c r="QF14" s="206" t="s">
        <v>23</v>
      </c>
      <c r="QG14" s="206"/>
      <c r="QH14" s="206"/>
      <c r="QI14" s="206"/>
      <c r="QJ14" s="129"/>
      <c r="QK14" s="129"/>
      <c r="QL14" s="205" t="s">
        <v>34</v>
      </c>
      <c r="QM14" s="205"/>
      <c r="QN14" s="205"/>
      <c r="QO14" s="205"/>
      <c r="QP14" s="104"/>
      <c r="QQ14" s="104"/>
      <c r="QR14" s="206" t="s">
        <v>24</v>
      </c>
      <c r="QS14" s="206"/>
      <c r="QT14" s="206"/>
      <c r="QU14" s="206"/>
      <c r="QV14" s="129"/>
      <c r="QW14" s="129"/>
      <c r="QX14" s="205" t="s">
        <v>35</v>
      </c>
      <c r="QY14" s="205"/>
      <c r="QZ14" s="205"/>
      <c r="RA14" s="205"/>
      <c r="RB14" s="104"/>
      <c r="RC14" s="104"/>
      <c r="RD14" s="206" t="s">
        <v>25</v>
      </c>
      <c r="RE14" s="206"/>
      <c r="RF14" s="206"/>
      <c r="RG14" s="206"/>
      <c r="RH14" s="129"/>
      <c r="RI14" s="129"/>
      <c r="RJ14" s="205" t="s">
        <v>36</v>
      </c>
      <c r="RK14" s="205"/>
      <c r="RL14" s="205"/>
      <c r="RM14" s="205"/>
      <c r="RN14" s="104"/>
      <c r="RO14" s="104"/>
      <c r="RP14" s="104"/>
      <c r="RQ14" s="105"/>
      <c r="RR14" s="103"/>
      <c r="RS14" s="104"/>
      <c r="RT14" s="104"/>
      <c r="RU14" s="104"/>
      <c r="RV14" s="205" t="s">
        <v>32</v>
      </c>
      <c r="RW14" s="205"/>
      <c r="RX14" s="205"/>
      <c r="RY14" s="205"/>
      <c r="RZ14" s="104"/>
      <c r="SA14" s="104"/>
      <c r="SB14" s="206" t="s">
        <v>22</v>
      </c>
      <c r="SC14" s="206"/>
      <c r="SD14" s="206"/>
      <c r="SE14" s="206"/>
      <c r="SF14" s="129"/>
      <c r="SG14" s="129"/>
      <c r="SH14" s="205" t="s">
        <v>33</v>
      </c>
      <c r="SI14" s="205"/>
      <c r="SJ14" s="205"/>
      <c r="SK14" s="205"/>
      <c r="SL14" s="104"/>
      <c r="SM14" s="104"/>
      <c r="SN14" s="206" t="s">
        <v>23</v>
      </c>
      <c r="SO14" s="206"/>
      <c r="SP14" s="206"/>
      <c r="SQ14" s="206"/>
      <c r="SR14" s="129"/>
      <c r="SS14" s="129"/>
      <c r="ST14" s="205" t="s">
        <v>34</v>
      </c>
      <c r="SU14" s="205"/>
      <c r="SV14" s="205"/>
      <c r="SW14" s="205"/>
      <c r="SX14" s="104"/>
      <c r="SY14" s="104"/>
      <c r="SZ14" s="206" t="s">
        <v>24</v>
      </c>
      <c r="TA14" s="206"/>
      <c r="TB14" s="206"/>
      <c r="TC14" s="206"/>
      <c r="TD14" s="129"/>
      <c r="TE14" s="129"/>
      <c r="TF14" s="205" t="s">
        <v>35</v>
      </c>
      <c r="TG14" s="205"/>
      <c r="TH14" s="205"/>
      <c r="TI14" s="205"/>
      <c r="TJ14" s="104"/>
      <c r="TK14" s="104"/>
      <c r="TL14" s="206" t="s">
        <v>25</v>
      </c>
      <c r="TM14" s="206"/>
      <c r="TN14" s="206"/>
      <c r="TO14" s="206"/>
      <c r="TP14" s="129"/>
      <c r="TQ14" s="129"/>
      <c r="TR14" s="205" t="s">
        <v>36</v>
      </c>
      <c r="TS14" s="205"/>
      <c r="TT14" s="205"/>
      <c r="TU14" s="205"/>
      <c r="TV14" s="104"/>
      <c r="TW14" s="104"/>
      <c r="TX14" s="104"/>
      <c r="TY14" s="105"/>
      <c r="TZ14" s="103"/>
      <c r="UA14" s="104"/>
      <c r="UB14" s="104"/>
      <c r="UC14" s="104"/>
      <c r="UD14" s="205" t="s">
        <v>32</v>
      </c>
      <c r="UE14" s="205"/>
      <c r="UF14" s="205"/>
      <c r="UG14" s="205"/>
      <c r="UH14" s="104"/>
      <c r="UI14" s="104"/>
      <c r="UJ14" s="206" t="s">
        <v>22</v>
      </c>
      <c r="UK14" s="206"/>
      <c r="UL14" s="206"/>
      <c r="UM14" s="206"/>
      <c r="UN14" s="129"/>
      <c r="UO14" s="129"/>
      <c r="UP14" s="205" t="s">
        <v>33</v>
      </c>
      <c r="UQ14" s="205"/>
      <c r="UR14" s="205"/>
      <c r="US14" s="205"/>
      <c r="UT14" s="104"/>
      <c r="UU14" s="104"/>
      <c r="UV14" s="206" t="s">
        <v>23</v>
      </c>
      <c r="UW14" s="206"/>
      <c r="UX14" s="206"/>
      <c r="UY14" s="206"/>
      <c r="UZ14" s="129"/>
      <c r="VA14" s="129"/>
      <c r="VB14" s="205" t="s">
        <v>34</v>
      </c>
      <c r="VC14" s="205"/>
      <c r="VD14" s="205"/>
      <c r="VE14" s="205"/>
      <c r="VF14" s="104"/>
      <c r="VG14" s="104"/>
      <c r="VH14" s="206" t="s">
        <v>24</v>
      </c>
      <c r="VI14" s="206"/>
      <c r="VJ14" s="206"/>
      <c r="VK14" s="206"/>
      <c r="VL14" s="129"/>
      <c r="VM14" s="129"/>
      <c r="VN14" s="205" t="s">
        <v>35</v>
      </c>
      <c r="VO14" s="205"/>
      <c r="VP14" s="205"/>
      <c r="VQ14" s="205"/>
      <c r="VR14" s="104"/>
      <c r="VS14" s="104"/>
      <c r="VT14" s="206" t="s">
        <v>25</v>
      </c>
      <c r="VU14" s="206"/>
      <c r="VV14" s="206"/>
      <c r="VW14" s="206"/>
      <c r="VX14" s="129"/>
      <c r="VY14" s="129"/>
      <c r="VZ14" s="205" t="s">
        <v>36</v>
      </c>
      <c r="WA14" s="205"/>
      <c r="WB14" s="205"/>
      <c r="WC14" s="205"/>
      <c r="WD14" s="104"/>
      <c r="WE14" s="104"/>
      <c r="WF14" s="104"/>
      <c r="WG14" s="105"/>
      <c r="WH14" s="103"/>
      <c r="WI14" s="104"/>
      <c r="WJ14" s="104"/>
      <c r="WK14" s="104"/>
      <c r="WL14" s="205" t="s">
        <v>32</v>
      </c>
      <c r="WM14" s="205"/>
      <c r="WN14" s="205"/>
      <c r="WO14" s="205"/>
      <c r="WP14" s="104"/>
      <c r="WQ14" s="104"/>
      <c r="WR14" s="206" t="s">
        <v>22</v>
      </c>
      <c r="WS14" s="206"/>
      <c r="WT14" s="206"/>
      <c r="WU14" s="206"/>
      <c r="WV14" s="129"/>
      <c r="WW14" s="129"/>
      <c r="WX14" s="205" t="s">
        <v>33</v>
      </c>
      <c r="WY14" s="205"/>
      <c r="WZ14" s="205"/>
      <c r="XA14" s="205"/>
      <c r="XB14" s="104"/>
      <c r="XC14" s="104"/>
      <c r="XD14" s="206" t="s">
        <v>23</v>
      </c>
      <c r="XE14" s="206"/>
      <c r="XF14" s="206"/>
      <c r="XG14" s="206"/>
      <c r="XH14" s="129"/>
      <c r="XI14" s="129"/>
      <c r="XJ14" s="205" t="s">
        <v>34</v>
      </c>
      <c r="XK14" s="205"/>
      <c r="XL14" s="205"/>
      <c r="XM14" s="205"/>
      <c r="XN14" s="104"/>
      <c r="XO14" s="104"/>
      <c r="XP14" s="206" t="s">
        <v>24</v>
      </c>
      <c r="XQ14" s="206"/>
      <c r="XR14" s="206"/>
      <c r="XS14" s="206"/>
      <c r="XT14" s="129"/>
      <c r="XU14" s="129"/>
      <c r="XV14" s="205" t="s">
        <v>35</v>
      </c>
      <c r="XW14" s="205"/>
      <c r="XX14" s="205"/>
      <c r="XY14" s="205"/>
      <c r="XZ14" s="104"/>
      <c r="YA14" s="104"/>
      <c r="YB14" s="206" t="s">
        <v>25</v>
      </c>
      <c r="YC14" s="206"/>
      <c r="YD14" s="206"/>
      <c r="YE14" s="206"/>
      <c r="YF14" s="129"/>
      <c r="YG14" s="129"/>
      <c r="YH14" s="205" t="s">
        <v>36</v>
      </c>
      <c r="YI14" s="205"/>
      <c r="YJ14" s="205"/>
      <c r="YK14" s="205"/>
      <c r="YL14" s="104"/>
      <c r="YM14" s="104"/>
      <c r="YN14" s="104"/>
      <c r="YO14" s="105"/>
      <c r="YP14" s="103"/>
      <c r="YQ14" s="104"/>
      <c r="YR14" s="104"/>
      <c r="YS14" s="104"/>
      <c r="YT14" s="205" t="s">
        <v>32</v>
      </c>
      <c r="YU14" s="205"/>
      <c r="YV14" s="205"/>
      <c r="YW14" s="205"/>
      <c r="YX14" s="104"/>
      <c r="YY14" s="104"/>
      <c r="YZ14" s="206" t="s">
        <v>22</v>
      </c>
      <c r="ZA14" s="206"/>
      <c r="ZB14" s="206"/>
      <c r="ZC14" s="206"/>
      <c r="ZD14" s="129"/>
      <c r="ZE14" s="129"/>
      <c r="ZF14" s="205" t="s">
        <v>33</v>
      </c>
      <c r="ZG14" s="205"/>
      <c r="ZH14" s="205"/>
      <c r="ZI14" s="205"/>
      <c r="ZJ14" s="104"/>
      <c r="ZK14" s="104"/>
      <c r="ZL14" s="206" t="s">
        <v>23</v>
      </c>
      <c r="ZM14" s="206"/>
      <c r="ZN14" s="206"/>
      <c r="ZO14" s="206"/>
      <c r="ZP14" s="129"/>
      <c r="ZQ14" s="129"/>
      <c r="ZR14" s="205" t="s">
        <v>34</v>
      </c>
      <c r="ZS14" s="205"/>
      <c r="ZT14" s="205"/>
      <c r="ZU14" s="205"/>
      <c r="ZV14" s="104"/>
      <c r="ZW14" s="104"/>
      <c r="ZX14" s="206" t="s">
        <v>24</v>
      </c>
      <c r="ZY14" s="206"/>
      <c r="ZZ14" s="206"/>
      <c r="AAA14" s="206"/>
      <c r="AAB14" s="129"/>
      <c r="AAC14" s="129"/>
      <c r="AAD14" s="205" t="s">
        <v>35</v>
      </c>
      <c r="AAE14" s="205"/>
      <c r="AAF14" s="205"/>
      <c r="AAG14" s="205"/>
      <c r="AAH14" s="104"/>
      <c r="AAI14" s="104"/>
      <c r="AAJ14" s="206" t="s">
        <v>25</v>
      </c>
      <c r="AAK14" s="206"/>
      <c r="AAL14" s="206"/>
      <c r="AAM14" s="206"/>
      <c r="AAN14" s="129"/>
      <c r="AAO14" s="129"/>
      <c r="AAP14" s="205" t="s">
        <v>36</v>
      </c>
      <c r="AAQ14" s="205"/>
      <c r="AAR14" s="205"/>
      <c r="AAS14" s="205"/>
      <c r="AAT14" s="104"/>
      <c r="AAU14" s="104"/>
      <c r="AAV14" s="104"/>
      <c r="AAW14" s="105"/>
      <c r="AAX14" s="103"/>
      <c r="AAY14" s="104"/>
      <c r="AAZ14" s="104"/>
      <c r="ABA14" s="104"/>
      <c r="ABB14" s="205" t="s">
        <v>32</v>
      </c>
      <c r="ABC14" s="205"/>
      <c r="ABD14" s="205"/>
      <c r="ABE14" s="205"/>
      <c r="ABF14" s="104"/>
      <c r="ABG14" s="104"/>
      <c r="ABH14" s="206" t="s">
        <v>22</v>
      </c>
      <c r="ABI14" s="206"/>
      <c r="ABJ14" s="206"/>
      <c r="ABK14" s="206"/>
      <c r="ABL14" s="129"/>
      <c r="ABM14" s="129"/>
      <c r="ABN14" s="205" t="s">
        <v>33</v>
      </c>
      <c r="ABO14" s="205"/>
      <c r="ABP14" s="205"/>
      <c r="ABQ14" s="205"/>
      <c r="ABR14" s="104"/>
      <c r="ABS14" s="104"/>
      <c r="ABT14" s="206" t="s">
        <v>23</v>
      </c>
      <c r="ABU14" s="206"/>
      <c r="ABV14" s="206"/>
      <c r="ABW14" s="206"/>
      <c r="ABX14" s="129"/>
      <c r="ABY14" s="129"/>
      <c r="ABZ14" s="205" t="s">
        <v>34</v>
      </c>
      <c r="ACA14" s="205"/>
      <c r="ACB14" s="205"/>
      <c r="ACC14" s="205"/>
      <c r="ACD14" s="104"/>
      <c r="ACE14" s="104"/>
      <c r="ACF14" s="206" t="s">
        <v>24</v>
      </c>
      <c r="ACG14" s="206"/>
      <c r="ACH14" s="206"/>
      <c r="ACI14" s="206"/>
      <c r="ACJ14" s="129"/>
      <c r="ACK14" s="129"/>
      <c r="ACL14" s="205" t="s">
        <v>35</v>
      </c>
      <c r="ACM14" s="205"/>
      <c r="ACN14" s="205"/>
      <c r="ACO14" s="205"/>
      <c r="ACP14" s="104"/>
      <c r="ACQ14" s="104"/>
      <c r="ACR14" s="206" t="s">
        <v>25</v>
      </c>
      <c r="ACS14" s="206"/>
      <c r="ACT14" s="206"/>
      <c r="ACU14" s="206"/>
      <c r="ACV14" s="129"/>
      <c r="ACW14" s="129"/>
      <c r="ACX14" s="205" t="s">
        <v>36</v>
      </c>
      <c r="ACY14" s="205"/>
      <c r="ACZ14" s="205"/>
      <c r="ADA14" s="205"/>
      <c r="ADB14" s="104"/>
      <c r="ADC14" s="104"/>
      <c r="ADD14" s="104"/>
      <c r="ADE14" s="105"/>
      <c r="ADF14" s="103"/>
      <c r="ADG14" s="104"/>
      <c r="ADH14" s="104"/>
      <c r="ADI14" s="104"/>
      <c r="ADJ14" s="205" t="s">
        <v>32</v>
      </c>
      <c r="ADK14" s="205"/>
      <c r="ADL14" s="205"/>
      <c r="ADM14" s="205"/>
      <c r="ADN14" s="104"/>
      <c r="ADO14" s="104"/>
      <c r="ADP14" s="206" t="s">
        <v>22</v>
      </c>
      <c r="ADQ14" s="206"/>
      <c r="ADR14" s="206"/>
      <c r="ADS14" s="206"/>
      <c r="ADT14" s="129"/>
      <c r="ADU14" s="129"/>
      <c r="ADV14" s="205" t="s">
        <v>33</v>
      </c>
      <c r="ADW14" s="205"/>
      <c r="ADX14" s="205"/>
      <c r="ADY14" s="205"/>
      <c r="ADZ14" s="104"/>
      <c r="AEA14" s="104"/>
      <c r="AEB14" s="206" t="s">
        <v>23</v>
      </c>
      <c r="AEC14" s="206"/>
      <c r="AED14" s="206"/>
      <c r="AEE14" s="206"/>
      <c r="AEF14" s="129"/>
      <c r="AEG14" s="129"/>
      <c r="AEH14" s="205" t="s">
        <v>34</v>
      </c>
      <c r="AEI14" s="205"/>
      <c r="AEJ14" s="205"/>
      <c r="AEK14" s="205"/>
      <c r="AEL14" s="104"/>
      <c r="AEM14" s="104"/>
      <c r="AEN14" s="206" t="s">
        <v>24</v>
      </c>
      <c r="AEO14" s="206"/>
      <c r="AEP14" s="206"/>
      <c r="AEQ14" s="206"/>
      <c r="AER14" s="129"/>
      <c r="AES14" s="129"/>
      <c r="AET14" s="205" t="s">
        <v>35</v>
      </c>
      <c r="AEU14" s="205"/>
      <c r="AEV14" s="205"/>
      <c r="AEW14" s="205"/>
      <c r="AEX14" s="104"/>
      <c r="AEY14" s="104"/>
      <c r="AEZ14" s="206" t="s">
        <v>25</v>
      </c>
      <c r="AFA14" s="206"/>
      <c r="AFB14" s="206"/>
      <c r="AFC14" s="206"/>
      <c r="AFD14" s="129"/>
      <c r="AFE14" s="129"/>
      <c r="AFF14" s="205" t="s">
        <v>36</v>
      </c>
      <c r="AFG14" s="205"/>
      <c r="AFH14" s="205"/>
      <c r="AFI14" s="205"/>
      <c r="AFJ14" s="104"/>
      <c r="AFK14" s="104"/>
      <c r="AFL14" s="104"/>
      <c r="AFM14" s="105"/>
      <c r="AFN14" s="103"/>
      <c r="AFO14" s="104"/>
      <c r="AFP14" s="104"/>
      <c r="AFQ14" s="104"/>
      <c r="AFR14" s="205" t="s">
        <v>32</v>
      </c>
      <c r="AFS14" s="205"/>
      <c r="AFT14" s="205"/>
      <c r="AFU14" s="205"/>
      <c r="AFV14" s="104"/>
      <c r="AFW14" s="104"/>
      <c r="AFX14" s="206" t="s">
        <v>22</v>
      </c>
      <c r="AFY14" s="206"/>
      <c r="AFZ14" s="206"/>
      <c r="AGA14" s="206"/>
      <c r="AGB14" s="129"/>
      <c r="AGC14" s="129"/>
      <c r="AGD14" s="205" t="s">
        <v>33</v>
      </c>
      <c r="AGE14" s="205"/>
      <c r="AGF14" s="205"/>
      <c r="AGG14" s="205"/>
      <c r="AGH14" s="104"/>
      <c r="AGI14" s="104"/>
      <c r="AGJ14" s="206" t="s">
        <v>23</v>
      </c>
      <c r="AGK14" s="206"/>
      <c r="AGL14" s="206"/>
      <c r="AGM14" s="206"/>
      <c r="AGN14" s="129"/>
      <c r="AGO14" s="129"/>
      <c r="AGP14" s="205" t="s">
        <v>34</v>
      </c>
      <c r="AGQ14" s="205"/>
      <c r="AGR14" s="205"/>
      <c r="AGS14" s="205"/>
      <c r="AGT14" s="104"/>
      <c r="AGU14" s="104"/>
      <c r="AGV14" s="206" t="s">
        <v>24</v>
      </c>
      <c r="AGW14" s="206"/>
      <c r="AGX14" s="206"/>
      <c r="AGY14" s="206"/>
      <c r="AGZ14" s="129"/>
      <c r="AHA14" s="129"/>
      <c r="AHB14" s="205" t="s">
        <v>35</v>
      </c>
      <c r="AHC14" s="205"/>
      <c r="AHD14" s="205"/>
      <c r="AHE14" s="205"/>
      <c r="AHF14" s="104"/>
      <c r="AHG14" s="104"/>
      <c r="AHH14" s="206" t="s">
        <v>25</v>
      </c>
      <c r="AHI14" s="206"/>
      <c r="AHJ14" s="206"/>
      <c r="AHK14" s="206"/>
      <c r="AHL14" s="129"/>
      <c r="AHM14" s="129"/>
      <c r="AHN14" s="205" t="s">
        <v>36</v>
      </c>
      <c r="AHO14" s="205"/>
      <c r="AHP14" s="205"/>
      <c r="AHQ14" s="205"/>
      <c r="AHR14" s="104"/>
      <c r="AHS14" s="104"/>
      <c r="AHT14" s="104"/>
      <c r="AHU14" s="105"/>
      <c r="AHV14" s="103"/>
      <c r="AHW14" s="104"/>
      <c r="AHX14" s="104"/>
      <c r="AHY14" s="104"/>
      <c r="AHZ14" s="205" t="s">
        <v>32</v>
      </c>
      <c r="AIA14" s="205"/>
      <c r="AIB14" s="205"/>
      <c r="AIC14" s="205"/>
      <c r="AID14" s="104"/>
      <c r="AIE14" s="104"/>
      <c r="AIF14" s="206" t="s">
        <v>22</v>
      </c>
      <c r="AIG14" s="206"/>
      <c r="AIH14" s="206"/>
      <c r="AII14" s="206"/>
      <c r="AIJ14" s="129"/>
      <c r="AIK14" s="129"/>
      <c r="AIL14" s="205" t="s">
        <v>33</v>
      </c>
      <c r="AIM14" s="205"/>
      <c r="AIN14" s="205"/>
      <c r="AIO14" s="205"/>
      <c r="AIP14" s="104"/>
      <c r="AIQ14" s="104"/>
      <c r="AIR14" s="206" t="s">
        <v>23</v>
      </c>
      <c r="AIS14" s="206"/>
      <c r="AIT14" s="206"/>
      <c r="AIU14" s="206"/>
      <c r="AIV14" s="129"/>
      <c r="AIW14" s="129"/>
      <c r="AIX14" s="205" t="s">
        <v>34</v>
      </c>
      <c r="AIY14" s="205"/>
      <c r="AIZ14" s="205"/>
      <c r="AJA14" s="205"/>
      <c r="AJB14" s="104"/>
      <c r="AJC14" s="104"/>
      <c r="AJD14" s="206" t="s">
        <v>24</v>
      </c>
      <c r="AJE14" s="206"/>
      <c r="AJF14" s="206"/>
      <c r="AJG14" s="206"/>
      <c r="AJH14" s="129"/>
      <c r="AJI14" s="129"/>
      <c r="AJJ14" s="205" t="s">
        <v>35</v>
      </c>
      <c r="AJK14" s="205"/>
      <c r="AJL14" s="205"/>
      <c r="AJM14" s="205"/>
      <c r="AJN14" s="104"/>
      <c r="AJO14" s="104"/>
      <c r="AJP14" s="206" t="s">
        <v>25</v>
      </c>
      <c r="AJQ14" s="206"/>
      <c r="AJR14" s="206"/>
      <c r="AJS14" s="206"/>
      <c r="AJT14" s="129"/>
      <c r="AJU14" s="129"/>
      <c r="AJV14" s="205" t="s">
        <v>36</v>
      </c>
      <c r="AJW14" s="205"/>
      <c r="AJX14" s="205"/>
      <c r="AJY14" s="205"/>
      <c r="AJZ14" s="104"/>
      <c r="AKA14" s="104"/>
      <c r="AKB14" s="104"/>
      <c r="AKC14" s="105"/>
      <c r="AKD14" s="103"/>
      <c r="AKE14" s="104"/>
      <c r="AKF14" s="104"/>
      <c r="AKG14" s="104"/>
      <c r="AKH14" s="205" t="s">
        <v>32</v>
      </c>
      <c r="AKI14" s="205"/>
      <c r="AKJ14" s="205"/>
      <c r="AKK14" s="205"/>
      <c r="AKL14" s="104"/>
      <c r="AKM14" s="104"/>
      <c r="AKN14" s="206" t="s">
        <v>22</v>
      </c>
      <c r="AKO14" s="206"/>
      <c r="AKP14" s="206"/>
      <c r="AKQ14" s="206"/>
      <c r="AKR14" s="129"/>
      <c r="AKS14" s="129"/>
      <c r="AKT14" s="205" t="s">
        <v>33</v>
      </c>
      <c r="AKU14" s="205"/>
      <c r="AKV14" s="205"/>
      <c r="AKW14" s="205"/>
      <c r="AKX14" s="104"/>
      <c r="AKY14" s="104"/>
      <c r="AKZ14" s="206" t="s">
        <v>23</v>
      </c>
      <c r="ALA14" s="206"/>
      <c r="ALB14" s="206"/>
      <c r="ALC14" s="206"/>
      <c r="ALD14" s="129"/>
      <c r="ALE14" s="129"/>
      <c r="ALF14" s="205" t="s">
        <v>34</v>
      </c>
      <c r="ALG14" s="205"/>
      <c r="ALH14" s="205"/>
      <c r="ALI14" s="205"/>
      <c r="ALJ14" s="104"/>
      <c r="ALK14" s="104"/>
      <c r="ALL14" s="206" t="s">
        <v>24</v>
      </c>
      <c r="ALM14" s="206"/>
      <c r="ALN14" s="206"/>
      <c r="ALO14" s="206"/>
      <c r="ALP14" s="129"/>
      <c r="ALQ14" s="129"/>
      <c r="ALR14" s="205" t="s">
        <v>35</v>
      </c>
      <c r="ALS14" s="205"/>
      <c r="ALT14" s="205"/>
      <c r="ALU14" s="205"/>
      <c r="ALV14" s="104"/>
      <c r="ALW14" s="104"/>
      <c r="ALX14" s="206" t="s">
        <v>25</v>
      </c>
      <c r="ALY14" s="206"/>
      <c r="ALZ14" s="206"/>
      <c r="AMA14" s="206"/>
      <c r="AMB14" s="129"/>
      <c r="AMC14" s="129"/>
      <c r="AMD14" s="205" t="s">
        <v>36</v>
      </c>
      <c r="AME14" s="205"/>
      <c r="AMF14" s="205"/>
      <c r="AMG14" s="205"/>
      <c r="AMH14" s="104"/>
      <c r="AMI14" s="104"/>
      <c r="AMJ14" s="104"/>
      <c r="AMK14" s="105"/>
      <c r="AML14" s="103"/>
      <c r="AMM14" s="104"/>
      <c r="AMN14" s="104"/>
      <c r="AMO14" s="104"/>
      <c r="AMP14" s="205" t="s">
        <v>32</v>
      </c>
      <c r="AMQ14" s="205"/>
      <c r="AMR14" s="205"/>
      <c r="AMS14" s="205"/>
      <c r="AMT14" s="104"/>
      <c r="AMU14" s="104"/>
      <c r="AMV14" s="206" t="s">
        <v>22</v>
      </c>
      <c r="AMW14" s="206"/>
      <c r="AMX14" s="206"/>
      <c r="AMY14" s="206"/>
      <c r="AMZ14" s="129"/>
      <c r="ANA14" s="129"/>
      <c r="ANB14" s="205" t="s">
        <v>33</v>
      </c>
      <c r="ANC14" s="205"/>
      <c r="AND14" s="205"/>
      <c r="ANE14" s="205"/>
      <c r="ANF14" s="104"/>
      <c r="ANG14" s="104"/>
      <c r="ANH14" s="206" t="s">
        <v>23</v>
      </c>
      <c r="ANI14" s="206"/>
      <c r="ANJ14" s="206"/>
      <c r="ANK14" s="206"/>
      <c r="ANL14" s="129"/>
      <c r="ANM14" s="129"/>
      <c r="ANN14" s="205" t="s">
        <v>34</v>
      </c>
      <c r="ANO14" s="205"/>
      <c r="ANP14" s="205"/>
      <c r="ANQ14" s="205"/>
      <c r="ANR14" s="104"/>
      <c r="ANS14" s="104"/>
      <c r="ANT14" s="206" t="s">
        <v>24</v>
      </c>
      <c r="ANU14" s="206"/>
      <c r="ANV14" s="206"/>
      <c r="ANW14" s="206"/>
      <c r="ANX14" s="129"/>
      <c r="ANY14" s="129"/>
      <c r="ANZ14" s="205" t="s">
        <v>35</v>
      </c>
      <c r="AOA14" s="205"/>
      <c r="AOB14" s="205"/>
      <c r="AOC14" s="205"/>
      <c r="AOD14" s="104"/>
      <c r="AOE14" s="104"/>
      <c r="AOF14" s="206" t="s">
        <v>25</v>
      </c>
      <c r="AOG14" s="206"/>
      <c r="AOH14" s="206"/>
      <c r="AOI14" s="206"/>
      <c r="AOJ14" s="129"/>
      <c r="AOK14" s="129"/>
      <c r="AOL14" s="205" t="s">
        <v>36</v>
      </c>
      <c r="AOM14" s="205"/>
      <c r="AON14" s="205"/>
      <c r="AOO14" s="205"/>
      <c r="AOP14" s="104"/>
      <c r="AOQ14" s="104"/>
      <c r="AOR14" s="104"/>
      <c r="AOS14" s="105"/>
      <c r="AOT14" s="103"/>
      <c r="AOU14" s="104"/>
      <c r="AOV14" s="104"/>
      <c r="AOW14" s="104"/>
      <c r="AOX14" s="205" t="s">
        <v>32</v>
      </c>
      <c r="AOY14" s="205"/>
      <c r="AOZ14" s="205"/>
      <c r="APA14" s="205"/>
      <c r="APB14" s="104"/>
      <c r="APC14" s="104"/>
      <c r="APD14" s="206" t="s">
        <v>22</v>
      </c>
      <c r="APE14" s="206"/>
      <c r="APF14" s="206"/>
      <c r="APG14" s="206"/>
      <c r="APH14" s="129"/>
      <c r="API14" s="129"/>
      <c r="APJ14" s="205" t="s">
        <v>33</v>
      </c>
      <c r="APK14" s="205"/>
      <c r="APL14" s="205"/>
      <c r="APM14" s="205"/>
      <c r="APN14" s="104"/>
      <c r="APO14" s="104"/>
      <c r="APP14" s="206" t="s">
        <v>23</v>
      </c>
      <c r="APQ14" s="206"/>
      <c r="APR14" s="206"/>
      <c r="APS14" s="206"/>
      <c r="APT14" s="129"/>
      <c r="APU14" s="129"/>
      <c r="APV14" s="205" t="s">
        <v>34</v>
      </c>
      <c r="APW14" s="205"/>
      <c r="APX14" s="205"/>
      <c r="APY14" s="205"/>
      <c r="APZ14" s="104"/>
      <c r="AQA14" s="104"/>
      <c r="AQB14" s="206" t="s">
        <v>24</v>
      </c>
      <c r="AQC14" s="206"/>
      <c r="AQD14" s="206"/>
      <c r="AQE14" s="206"/>
      <c r="AQF14" s="129"/>
      <c r="AQG14" s="129"/>
      <c r="AQH14" s="205" t="s">
        <v>35</v>
      </c>
      <c r="AQI14" s="205"/>
      <c r="AQJ14" s="205"/>
      <c r="AQK14" s="205"/>
      <c r="AQL14" s="104"/>
      <c r="AQM14" s="104"/>
      <c r="AQN14" s="206" t="s">
        <v>25</v>
      </c>
      <c r="AQO14" s="206"/>
      <c r="AQP14" s="206"/>
      <c r="AQQ14" s="206"/>
      <c r="AQR14" s="129"/>
      <c r="AQS14" s="129"/>
      <c r="AQT14" s="205" t="s">
        <v>36</v>
      </c>
      <c r="AQU14" s="205"/>
      <c r="AQV14" s="205"/>
      <c r="AQW14" s="205"/>
      <c r="AQX14" s="104"/>
      <c r="AQY14" s="104"/>
      <c r="AQZ14" s="104"/>
      <c r="ARA14" s="105"/>
      <c r="ARB14" s="103"/>
      <c r="ARC14" s="104"/>
      <c r="ARD14" s="104"/>
      <c r="ARE14" s="104"/>
      <c r="ARF14" s="205" t="s">
        <v>32</v>
      </c>
      <c r="ARG14" s="205"/>
      <c r="ARH14" s="205"/>
      <c r="ARI14" s="205"/>
      <c r="ARJ14" s="104"/>
      <c r="ARK14" s="104"/>
      <c r="ARL14" s="206" t="s">
        <v>22</v>
      </c>
      <c r="ARM14" s="206"/>
      <c r="ARN14" s="206"/>
      <c r="ARO14" s="206"/>
      <c r="ARP14" s="129"/>
      <c r="ARQ14" s="129"/>
      <c r="ARR14" s="205" t="s">
        <v>33</v>
      </c>
      <c r="ARS14" s="205"/>
      <c r="ART14" s="205"/>
      <c r="ARU14" s="205"/>
      <c r="ARV14" s="104"/>
      <c r="ARW14" s="104"/>
      <c r="ARX14" s="206" t="s">
        <v>23</v>
      </c>
      <c r="ARY14" s="206"/>
      <c r="ARZ14" s="206"/>
      <c r="ASA14" s="206"/>
      <c r="ASB14" s="129"/>
      <c r="ASC14" s="129"/>
      <c r="ASD14" s="205" t="s">
        <v>34</v>
      </c>
      <c r="ASE14" s="205"/>
      <c r="ASF14" s="205"/>
      <c r="ASG14" s="205"/>
      <c r="ASH14" s="104"/>
      <c r="ASI14" s="104"/>
      <c r="ASJ14" s="206" t="s">
        <v>24</v>
      </c>
      <c r="ASK14" s="206"/>
      <c r="ASL14" s="206"/>
      <c r="ASM14" s="206"/>
      <c r="ASN14" s="129"/>
      <c r="ASO14" s="129"/>
      <c r="ASP14" s="205" t="s">
        <v>35</v>
      </c>
      <c r="ASQ14" s="205"/>
      <c r="ASR14" s="205"/>
      <c r="ASS14" s="205"/>
      <c r="AST14" s="104"/>
      <c r="ASU14" s="104"/>
      <c r="ASV14" s="206" t="s">
        <v>25</v>
      </c>
      <c r="ASW14" s="206"/>
      <c r="ASX14" s="206"/>
      <c r="ASY14" s="206"/>
      <c r="ASZ14" s="129"/>
      <c r="ATA14" s="129"/>
      <c r="ATB14" s="205" t="s">
        <v>36</v>
      </c>
      <c r="ATC14" s="205"/>
      <c r="ATD14" s="205"/>
      <c r="ATE14" s="205"/>
      <c r="ATF14" s="104"/>
      <c r="ATG14" s="104"/>
      <c r="ATH14" s="104"/>
      <c r="ATI14" s="105"/>
      <c r="ATJ14" s="103"/>
      <c r="ATK14" s="104"/>
      <c r="ATL14" s="104"/>
      <c r="ATM14" s="104"/>
      <c r="ATN14" s="205" t="s">
        <v>32</v>
      </c>
      <c r="ATO14" s="205"/>
      <c r="ATP14" s="205"/>
      <c r="ATQ14" s="205"/>
      <c r="ATR14" s="104"/>
      <c r="ATS14" s="104"/>
      <c r="ATT14" s="206" t="s">
        <v>22</v>
      </c>
      <c r="ATU14" s="206"/>
      <c r="ATV14" s="206"/>
      <c r="ATW14" s="206"/>
      <c r="ATX14" s="129"/>
      <c r="ATY14" s="129"/>
      <c r="ATZ14" s="205" t="s">
        <v>33</v>
      </c>
      <c r="AUA14" s="205"/>
      <c r="AUB14" s="205"/>
      <c r="AUC14" s="205"/>
      <c r="AUD14" s="104"/>
      <c r="AUE14" s="104"/>
      <c r="AUF14" s="206" t="s">
        <v>23</v>
      </c>
      <c r="AUG14" s="206"/>
      <c r="AUH14" s="206"/>
      <c r="AUI14" s="206"/>
      <c r="AUJ14" s="129"/>
      <c r="AUK14" s="129"/>
      <c r="AUL14" s="205" t="s">
        <v>34</v>
      </c>
      <c r="AUM14" s="205"/>
      <c r="AUN14" s="205"/>
      <c r="AUO14" s="205"/>
      <c r="AUP14" s="104"/>
      <c r="AUQ14" s="104"/>
      <c r="AUR14" s="206" t="s">
        <v>24</v>
      </c>
      <c r="AUS14" s="206"/>
      <c r="AUT14" s="206"/>
      <c r="AUU14" s="206"/>
      <c r="AUV14" s="129"/>
      <c r="AUW14" s="129"/>
      <c r="AUX14" s="205" t="s">
        <v>35</v>
      </c>
      <c r="AUY14" s="205"/>
      <c r="AUZ14" s="205"/>
      <c r="AVA14" s="205"/>
      <c r="AVB14" s="104"/>
      <c r="AVC14" s="104"/>
      <c r="AVD14" s="206" t="s">
        <v>25</v>
      </c>
      <c r="AVE14" s="206"/>
      <c r="AVF14" s="206"/>
      <c r="AVG14" s="206"/>
      <c r="AVH14" s="129"/>
      <c r="AVI14" s="129"/>
      <c r="AVJ14" s="205" t="s">
        <v>36</v>
      </c>
      <c r="AVK14" s="205"/>
      <c r="AVL14" s="205"/>
      <c r="AVM14" s="205"/>
      <c r="AVN14" s="104"/>
      <c r="AVO14" s="104"/>
      <c r="AVP14" s="104"/>
      <c r="AVQ14" s="105"/>
      <c r="AVR14" s="103"/>
      <c r="AVS14" s="104"/>
      <c r="AVT14" s="104"/>
      <c r="AVU14" s="104"/>
      <c r="AVV14" s="205" t="s">
        <v>32</v>
      </c>
      <c r="AVW14" s="205"/>
      <c r="AVX14" s="205"/>
      <c r="AVY14" s="205"/>
      <c r="AVZ14" s="104"/>
      <c r="AWA14" s="104"/>
      <c r="AWB14" s="206" t="s">
        <v>22</v>
      </c>
      <c r="AWC14" s="206"/>
      <c r="AWD14" s="206"/>
      <c r="AWE14" s="206"/>
      <c r="AWF14" s="129"/>
      <c r="AWG14" s="129"/>
      <c r="AWH14" s="205" t="s">
        <v>33</v>
      </c>
      <c r="AWI14" s="205"/>
      <c r="AWJ14" s="205"/>
      <c r="AWK14" s="205"/>
      <c r="AWL14" s="104"/>
      <c r="AWM14" s="104"/>
      <c r="AWN14" s="206" t="s">
        <v>23</v>
      </c>
      <c r="AWO14" s="206"/>
      <c r="AWP14" s="206"/>
      <c r="AWQ14" s="206"/>
      <c r="AWR14" s="129"/>
      <c r="AWS14" s="129"/>
      <c r="AWT14" s="205" t="s">
        <v>34</v>
      </c>
      <c r="AWU14" s="205"/>
      <c r="AWV14" s="205"/>
      <c r="AWW14" s="205"/>
      <c r="AWX14" s="104"/>
      <c r="AWY14" s="104"/>
      <c r="AWZ14" s="206" t="s">
        <v>24</v>
      </c>
      <c r="AXA14" s="206"/>
      <c r="AXB14" s="206"/>
      <c r="AXC14" s="206"/>
      <c r="AXD14" s="129"/>
      <c r="AXE14" s="129"/>
      <c r="AXF14" s="205" t="s">
        <v>35</v>
      </c>
      <c r="AXG14" s="205"/>
      <c r="AXH14" s="205"/>
      <c r="AXI14" s="205"/>
      <c r="AXJ14" s="104"/>
      <c r="AXK14" s="104"/>
      <c r="AXL14" s="206" t="s">
        <v>25</v>
      </c>
      <c r="AXM14" s="206"/>
      <c r="AXN14" s="206"/>
      <c r="AXO14" s="206"/>
      <c r="AXP14" s="129"/>
      <c r="AXQ14" s="129"/>
      <c r="AXR14" s="205" t="s">
        <v>36</v>
      </c>
      <c r="AXS14" s="205"/>
      <c r="AXT14" s="205"/>
      <c r="AXU14" s="205"/>
      <c r="AXV14" s="104"/>
      <c r="AXW14" s="104"/>
      <c r="AXX14" s="104"/>
      <c r="AXY14" s="105"/>
      <c r="AXZ14" s="103"/>
      <c r="AYA14" s="104"/>
      <c r="AYB14" s="104"/>
      <c r="AYC14" s="104"/>
      <c r="AYD14" s="205" t="s">
        <v>32</v>
      </c>
      <c r="AYE14" s="205"/>
      <c r="AYF14" s="205"/>
      <c r="AYG14" s="205"/>
      <c r="AYH14" s="104"/>
      <c r="AYI14" s="104"/>
      <c r="AYJ14" s="206" t="s">
        <v>22</v>
      </c>
      <c r="AYK14" s="206"/>
      <c r="AYL14" s="206"/>
      <c r="AYM14" s="206"/>
      <c r="AYN14" s="129"/>
      <c r="AYO14" s="129"/>
      <c r="AYP14" s="205" t="s">
        <v>33</v>
      </c>
      <c r="AYQ14" s="205"/>
      <c r="AYR14" s="205"/>
      <c r="AYS14" s="205"/>
      <c r="AYT14" s="104"/>
      <c r="AYU14" s="104"/>
      <c r="AYV14" s="206" t="s">
        <v>23</v>
      </c>
      <c r="AYW14" s="206"/>
      <c r="AYX14" s="206"/>
      <c r="AYY14" s="206"/>
      <c r="AYZ14" s="129"/>
      <c r="AZA14" s="129"/>
      <c r="AZB14" s="205" t="s">
        <v>34</v>
      </c>
      <c r="AZC14" s="205"/>
      <c r="AZD14" s="205"/>
      <c r="AZE14" s="205"/>
      <c r="AZF14" s="104"/>
      <c r="AZG14" s="104"/>
      <c r="AZH14" s="206" t="s">
        <v>24</v>
      </c>
      <c r="AZI14" s="206"/>
      <c r="AZJ14" s="206"/>
      <c r="AZK14" s="206"/>
      <c r="AZL14" s="129"/>
      <c r="AZM14" s="129"/>
      <c r="AZN14" s="205" t="s">
        <v>35</v>
      </c>
      <c r="AZO14" s="205"/>
      <c r="AZP14" s="205"/>
      <c r="AZQ14" s="205"/>
      <c r="AZR14" s="104"/>
      <c r="AZS14" s="104"/>
      <c r="AZT14" s="206" t="s">
        <v>25</v>
      </c>
      <c r="AZU14" s="206"/>
      <c r="AZV14" s="206"/>
      <c r="AZW14" s="206"/>
      <c r="AZX14" s="129"/>
      <c r="AZY14" s="129"/>
      <c r="AZZ14" s="205" t="s">
        <v>36</v>
      </c>
      <c r="BAA14" s="205"/>
      <c r="BAB14" s="205"/>
      <c r="BAC14" s="205"/>
      <c r="BAD14" s="104"/>
      <c r="BAE14" s="104"/>
      <c r="BAF14" s="104"/>
      <c r="BAG14" s="105"/>
      <c r="BAH14" s="103"/>
      <c r="BAI14" s="104"/>
      <c r="BAJ14" s="104"/>
      <c r="BAK14" s="104"/>
      <c r="BAL14" s="205" t="s">
        <v>32</v>
      </c>
      <c r="BAM14" s="205"/>
      <c r="BAN14" s="205"/>
      <c r="BAO14" s="205"/>
      <c r="BAP14" s="104"/>
      <c r="BAQ14" s="104"/>
      <c r="BAR14" s="206" t="s">
        <v>22</v>
      </c>
      <c r="BAS14" s="206"/>
      <c r="BAT14" s="206"/>
      <c r="BAU14" s="206"/>
      <c r="BAV14" s="129"/>
      <c r="BAW14" s="129"/>
      <c r="BAX14" s="205" t="s">
        <v>33</v>
      </c>
      <c r="BAY14" s="205"/>
      <c r="BAZ14" s="205"/>
      <c r="BBA14" s="205"/>
      <c r="BBB14" s="104"/>
      <c r="BBC14" s="104"/>
      <c r="BBD14" s="206" t="s">
        <v>23</v>
      </c>
      <c r="BBE14" s="206"/>
      <c r="BBF14" s="206"/>
      <c r="BBG14" s="206"/>
      <c r="BBH14" s="129"/>
      <c r="BBI14" s="129"/>
      <c r="BBJ14" s="205" t="s">
        <v>34</v>
      </c>
      <c r="BBK14" s="205"/>
      <c r="BBL14" s="205"/>
      <c r="BBM14" s="205"/>
      <c r="BBN14" s="104"/>
      <c r="BBO14" s="104"/>
      <c r="BBP14" s="206" t="s">
        <v>24</v>
      </c>
      <c r="BBQ14" s="206"/>
      <c r="BBR14" s="206"/>
      <c r="BBS14" s="206"/>
      <c r="BBT14" s="129"/>
      <c r="BBU14" s="129"/>
      <c r="BBV14" s="205" t="s">
        <v>35</v>
      </c>
      <c r="BBW14" s="205"/>
      <c r="BBX14" s="205"/>
      <c r="BBY14" s="205"/>
      <c r="BBZ14" s="104"/>
      <c r="BCA14" s="104"/>
      <c r="BCB14" s="206" t="s">
        <v>25</v>
      </c>
      <c r="BCC14" s="206"/>
      <c r="BCD14" s="206"/>
      <c r="BCE14" s="206"/>
      <c r="BCF14" s="129"/>
      <c r="BCG14" s="129"/>
      <c r="BCH14" s="205" t="s">
        <v>36</v>
      </c>
      <c r="BCI14" s="205"/>
      <c r="BCJ14" s="205"/>
      <c r="BCK14" s="205"/>
      <c r="BCL14" s="104"/>
      <c r="BCM14" s="104"/>
      <c r="BCN14" s="104"/>
      <c r="BCO14" s="105"/>
      <c r="BCP14" s="103"/>
      <c r="BCQ14" s="104"/>
      <c r="BCR14" s="104"/>
      <c r="BCS14" s="104"/>
      <c r="BCT14" s="205" t="s">
        <v>32</v>
      </c>
      <c r="BCU14" s="205"/>
      <c r="BCV14" s="205"/>
      <c r="BCW14" s="205"/>
      <c r="BCX14" s="104"/>
      <c r="BCY14" s="104"/>
      <c r="BCZ14" s="206" t="s">
        <v>22</v>
      </c>
      <c r="BDA14" s="206"/>
      <c r="BDB14" s="206"/>
      <c r="BDC14" s="206"/>
      <c r="BDD14" s="129"/>
      <c r="BDE14" s="129"/>
      <c r="BDF14" s="205" t="s">
        <v>33</v>
      </c>
      <c r="BDG14" s="205"/>
      <c r="BDH14" s="205"/>
      <c r="BDI14" s="205"/>
      <c r="BDJ14" s="104"/>
      <c r="BDK14" s="104"/>
      <c r="BDL14" s="206" t="s">
        <v>23</v>
      </c>
      <c r="BDM14" s="206"/>
      <c r="BDN14" s="206"/>
      <c r="BDO14" s="206"/>
      <c r="BDP14" s="129"/>
      <c r="BDQ14" s="129"/>
      <c r="BDR14" s="205" t="s">
        <v>34</v>
      </c>
      <c r="BDS14" s="205"/>
      <c r="BDT14" s="205"/>
      <c r="BDU14" s="205"/>
      <c r="BDV14" s="104"/>
      <c r="BDW14" s="104"/>
      <c r="BDX14" s="206" t="s">
        <v>24</v>
      </c>
      <c r="BDY14" s="206"/>
      <c r="BDZ14" s="206"/>
      <c r="BEA14" s="206"/>
      <c r="BEB14" s="129"/>
      <c r="BEC14" s="129"/>
      <c r="BED14" s="205" t="s">
        <v>35</v>
      </c>
      <c r="BEE14" s="205"/>
      <c r="BEF14" s="205"/>
      <c r="BEG14" s="205"/>
      <c r="BEH14" s="104"/>
      <c r="BEI14" s="104"/>
      <c r="BEJ14" s="206" t="s">
        <v>25</v>
      </c>
      <c r="BEK14" s="206"/>
      <c r="BEL14" s="206"/>
      <c r="BEM14" s="206"/>
      <c r="BEN14" s="129"/>
      <c r="BEO14" s="129"/>
      <c r="BEP14" s="205" t="s">
        <v>36</v>
      </c>
      <c r="BEQ14" s="205"/>
      <c r="BER14" s="205"/>
      <c r="BES14" s="205"/>
      <c r="BET14" s="104"/>
      <c r="BEU14" s="104"/>
      <c r="BEV14" s="104"/>
      <c r="BEW14" s="105"/>
      <c r="BEX14" s="103"/>
      <c r="BEY14" s="104"/>
      <c r="BEZ14" s="104"/>
      <c r="BFA14" s="104"/>
      <c r="BFB14" s="205" t="s">
        <v>32</v>
      </c>
      <c r="BFC14" s="205"/>
      <c r="BFD14" s="205"/>
      <c r="BFE14" s="205"/>
      <c r="BFF14" s="104"/>
      <c r="BFG14" s="104"/>
      <c r="BFH14" s="206" t="s">
        <v>22</v>
      </c>
      <c r="BFI14" s="206"/>
      <c r="BFJ14" s="206"/>
      <c r="BFK14" s="206"/>
      <c r="BFL14" s="129"/>
      <c r="BFM14" s="129"/>
      <c r="BFN14" s="205" t="s">
        <v>33</v>
      </c>
      <c r="BFO14" s="205"/>
      <c r="BFP14" s="205"/>
      <c r="BFQ14" s="205"/>
      <c r="BFR14" s="104"/>
      <c r="BFS14" s="104"/>
      <c r="BFT14" s="206" t="s">
        <v>23</v>
      </c>
      <c r="BFU14" s="206"/>
      <c r="BFV14" s="206"/>
      <c r="BFW14" s="206"/>
      <c r="BFX14" s="129"/>
      <c r="BFY14" s="129"/>
      <c r="BFZ14" s="205" t="s">
        <v>34</v>
      </c>
      <c r="BGA14" s="205"/>
      <c r="BGB14" s="205"/>
      <c r="BGC14" s="205"/>
      <c r="BGD14" s="104"/>
      <c r="BGE14" s="104"/>
      <c r="BGF14" s="206" t="s">
        <v>24</v>
      </c>
      <c r="BGG14" s="206"/>
      <c r="BGH14" s="206"/>
      <c r="BGI14" s="206"/>
      <c r="BGJ14" s="129"/>
      <c r="BGK14" s="129"/>
      <c r="BGL14" s="205" t="s">
        <v>35</v>
      </c>
      <c r="BGM14" s="205"/>
      <c r="BGN14" s="205"/>
      <c r="BGO14" s="205"/>
      <c r="BGP14" s="104"/>
      <c r="BGQ14" s="104"/>
      <c r="BGR14" s="206" t="s">
        <v>25</v>
      </c>
      <c r="BGS14" s="206"/>
      <c r="BGT14" s="206"/>
      <c r="BGU14" s="206"/>
      <c r="BGV14" s="129"/>
      <c r="BGW14" s="129"/>
      <c r="BGX14" s="205" t="s">
        <v>36</v>
      </c>
      <c r="BGY14" s="205"/>
      <c r="BGZ14" s="205"/>
      <c r="BHA14" s="205"/>
      <c r="BHB14" s="104"/>
      <c r="BHC14" s="104"/>
      <c r="BHD14" s="104"/>
      <c r="BHE14" s="105"/>
      <c r="BHF14" s="103"/>
      <c r="BHG14" s="104"/>
      <c r="BHH14" s="104"/>
      <c r="BHI14" s="104"/>
      <c r="BHJ14" s="205" t="s">
        <v>32</v>
      </c>
      <c r="BHK14" s="205"/>
      <c r="BHL14" s="205"/>
      <c r="BHM14" s="205"/>
      <c r="BHN14" s="104"/>
      <c r="BHO14" s="104"/>
      <c r="BHP14" s="206" t="s">
        <v>22</v>
      </c>
      <c r="BHQ14" s="206"/>
      <c r="BHR14" s="206"/>
      <c r="BHS14" s="206"/>
      <c r="BHT14" s="129"/>
      <c r="BHU14" s="129"/>
      <c r="BHV14" s="205" t="s">
        <v>33</v>
      </c>
      <c r="BHW14" s="205"/>
      <c r="BHX14" s="205"/>
      <c r="BHY14" s="205"/>
      <c r="BHZ14" s="104"/>
      <c r="BIA14" s="104"/>
      <c r="BIB14" s="206" t="s">
        <v>23</v>
      </c>
      <c r="BIC14" s="206"/>
      <c r="BID14" s="206"/>
      <c r="BIE14" s="206"/>
      <c r="BIF14" s="129"/>
      <c r="BIG14" s="129"/>
      <c r="BIH14" s="205" t="s">
        <v>34</v>
      </c>
      <c r="BII14" s="205"/>
      <c r="BIJ14" s="205"/>
      <c r="BIK14" s="205"/>
      <c r="BIL14" s="104"/>
      <c r="BIM14" s="104"/>
      <c r="BIN14" s="206" t="s">
        <v>24</v>
      </c>
      <c r="BIO14" s="206"/>
      <c r="BIP14" s="206"/>
      <c r="BIQ14" s="206"/>
      <c r="BIR14" s="129"/>
      <c r="BIS14" s="129"/>
      <c r="BIT14" s="205" t="s">
        <v>35</v>
      </c>
      <c r="BIU14" s="205"/>
      <c r="BIV14" s="205"/>
      <c r="BIW14" s="205"/>
      <c r="BIX14" s="104"/>
      <c r="BIY14" s="104"/>
      <c r="BIZ14" s="206" t="s">
        <v>25</v>
      </c>
      <c r="BJA14" s="206"/>
      <c r="BJB14" s="206"/>
      <c r="BJC14" s="206"/>
      <c r="BJD14" s="129"/>
      <c r="BJE14" s="129"/>
      <c r="BJF14" s="205" t="s">
        <v>36</v>
      </c>
      <c r="BJG14" s="205"/>
      <c r="BJH14" s="205"/>
      <c r="BJI14" s="205"/>
      <c r="BJJ14" s="104"/>
      <c r="BJK14" s="104"/>
      <c r="BJL14" s="104"/>
      <c r="BJM14" s="105"/>
      <c r="BJN14" s="103"/>
      <c r="BJO14" s="104"/>
      <c r="BJP14" s="104"/>
      <c r="BJQ14" s="104"/>
      <c r="BJR14" s="205" t="s">
        <v>32</v>
      </c>
      <c r="BJS14" s="205"/>
      <c r="BJT14" s="205"/>
      <c r="BJU14" s="205"/>
      <c r="BJV14" s="104"/>
      <c r="BJW14" s="104"/>
      <c r="BJX14" s="206" t="s">
        <v>22</v>
      </c>
      <c r="BJY14" s="206"/>
      <c r="BJZ14" s="206"/>
      <c r="BKA14" s="206"/>
      <c r="BKB14" s="129"/>
      <c r="BKC14" s="129"/>
      <c r="BKD14" s="205" t="s">
        <v>33</v>
      </c>
      <c r="BKE14" s="205"/>
      <c r="BKF14" s="205"/>
      <c r="BKG14" s="205"/>
      <c r="BKH14" s="104"/>
      <c r="BKI14" s="104"/>
      <c r="BKJ14" s="206" t="s">
        <v>23</v>
      </c>
      <c r="BKK14" s="206"/>
      <c r="BKL14" s="206"/>
      <c r="BKM14" s="206"/>
      <c r="BKN14" s="129"/>
      <c r="BKO14" s="129"/>
      <c r="BKP14" s="205" t="s">
        <v>34</v>
      </c>
      <c r="BKQ14" s="205"/>
      <c r="BKR14" s="205"/>
      <c r="BKS14" s="205"/>
      <c r="BKT14" s="104"/>
      <c r="BKU14" s="104"/>
      <c r="BKV14" s="206" t="s">
        <v>24</v>
      </c>
      <c r="BKW14" s="206"/>
      <c r="BKX14" s="206"/>
      <c r="BKY14" s="206"/>
      <c r="BKZ14" s="129"/>
      <c r="BLA14" s="129"/>
      <c r="BLB14" s="205" t="s">
        <v>35</v>
      </c>
      <c r="BLC14" s="205"/>
      <c r="BLD14" s="205"/>
      <c r="BLE14" s="205"/>
      <c r="BLF14" s="104"/>
      <c r="BLG14" s="104"/>
      <c r="BLH14" s="206" t="s">
        <v>25</v>
      </c>
      <c r="BLI14" s="206"/>
      <c r="BLJ14" s="206"/>
      <c r="BLK14" s="206"/>
      <c r="BLL14" s="129"/>
      <c r="BLM14" s="129"/>
      <c r="BLN14" s="205" t="s">
        <v>36</v>
      </c>
      <c r="BLO14" s="205"/>
      <c r="BLP14" s="205"/>
      <c r="BLQ14" s="205"/>
      <c r="BLR14" s="104"/>
      <c r="BLS14" s="104"/>
      <c r="BLT14" s="104"/>
      <c r="BLU14" s="105"/>
      <c r="BLV14" s="103"/>
      <c r="BLW14" s="104"/>
      <c r="BLX14" s="104"/>
      <c r="BLY14" s="104"/>
      <c r="BLZ14" s="205" t="s">
        <v>32</v>
      </c>
      <c r="BMA14" s="205"/>
      <c r="BMB14" s="205"/>
      <c r="BMC14" s="205"/>
      <c r="BMD14" s="104"/>
      <c r="BME14" s="104"/>
      <c r="BMF14" s="206" t="s">
        <v>22</v>
      </c>
      <c r="BMG14" s="206"/>
      <c r="BMH14" s="206"/>
      <c r="BMI14" s="206"/>
      <c r="BMJ14" s="129"/>
      <c r="BMK14" s="129"/>
      <c r="BML14" s="205" t="s">
        <v>33</v>
      </c>
      <c r="BMM14" s="205"/>
      <c r="BMN14" s="205"/>
      <c r="BMO14" s="205"/>
      <c r="BMP14" s="104"/>
      <c r="BMQ14" s="104"/>
      <c r="BMR14" s="206" t="s">
        <v>23</v>
      </c>
      <c r="BMS14" s="206"/>
      <c r="BMT14" s="206"/>
      <c r="BMU14" s="206"/>
      <c r="BMV14" s="129"/>
      <c r="BMW14" s="129"/>
      <c r="BMX14" s="205" t="s">
        <v>34</v>
      </c>
      <c r="BMY14" s="205"/>
      <c r="BMZ14" s="205"/>
      <c r="BNA14" s="205"/>
      <c r="BNB14" s="104"/>
      <c r="BNC14" s="104"/>
      <c r="BND14" s="206" t="s">
        <v>24</v>
      </c>
      <c r="BNE14" s="206"/>
      <c r="BNF14" s="206"/>
      <c r="BNG14" s="206"/>
      <c r="BNH14" s="129"/>
      <c r="BNI14" s="129"/>
      <c r="BNJ14" s="205" t="s">
        <v>35</v>
      </c>
      <c r="BNK14" s="205"/>
      <c r="BNL14" s="205"/>
      <c r="BNM14" s="205"/>
      <c r="BNN14" s="104"/>
      <c r="BNO14" s="104"/>
      <c r="BNP14" s="206" t="s">
        <v>25</v>
      </c>
      <c r="BNQ14" s="206"/>
      <c r="BNR14" s="206"/>
      <c r="BNS14" s="206"/>
      <c r="BNT14" s="129"/>
      <c r="BNU14" s="129"/>
      <c r="BNV14" s="205" t="s">
        <v>36</v>
      </c>
      <c r="BNW14" s="205"/>
      <c r="BNX14" s="205"/>
      <c r="BNY14" s="205"/>
      <c r="BNZ14" s="104"/>
      <c r="BOA14" s="104"/>
      <c r="BOB14" s="104"/>
      <c r="BOC14" s="105"/>
      <c r="BOD14" s="103"/>
      <c r="BOE14" s="104"/>
      <c r="BOF14" s="104"/>
      <c r="BOG14" s="104"/>
      <c r="BOH14" s="205" t="s">
        <v>32</v>
      </c>
      <c r="BOI14" s="205"/>
      <c r="BOJ14" s="205"/>
      <c r="BOK14" s="205"/>
      <c r="BOL14" s="104"/>
      <c r="BOM14" s="104"/>
      <c r="BON14" s="206" t="s">
        <v>22</v>
      </c>
      <c r="BOO14" s="206"/>
      <c r="BOP14" s="206"/>
      <c r="BOQ14" s="206"/>
      <c r="BOR14" s="129"/>
      <c r="BOS14" s="129"/>
      <c r="BOT14" s="205" t="s">
        <v>33</v>
      </c>
      <c r="BOU14" s="205"/>
      <c r="BOV14" s="205"/>
      <c r="BOW14" s="205"/>
      <c r="BOX14" s="104"/>
      <c r="BOY14" s="104"/>
      <c r="BOZ14" s="206" t="s">
        <v>23</v>
      </c>
      <c r="BPA14" s="206"/>
      <c r="BPB14" s="206"/>
      <c r="BPC14" s="206"/>
      <c r="BPD14" s="129"/>
      <c r="BPE14" s="129"/>
      <c r="BPF14" s="205" t="s">
        <v>34</v>
      </c>
      <c r="BPG14" s="205"/>
      <c r="BPH14" s="205"/>
      <c r="BPI14" s="205"/>
      <c r="BPJ14" s="104"/>
      <c r="BPK14" s="104"/>
      <c r="BPL14" s="206" t="s">
        <v>24</v>
      </c>
      <c r="BPM14" s="206"/>
      <c r="BPN14" s="206"/>
      <c r="BPO14" s="206"/>
      <c r="BPP14" s="129"/>
      <c r="BPQ14" s="129"/>
      <c r="BPR14" s="205" t="s">
        <v>35</v>
      </c>
      <c r="BPS14" s="205"/>
      <c r="BPT14" s="205"/>
      <c r="BPU14" s="205"/>
      <c r="BPV14" s="104"/>
      <c r="BPW14" s="104"/>
      <c r="BPX14" s="206" t="s">
        <v>25</v>
      </c>
      <c r="BPY14" s="206"/>
      <c r="BPZ14" s="206"/>
      <c r="BQA14" s="206"/>
      <c r="BQB14" s="129"/>
      <c r="BQC14" s="129"/>
      <c r="BQD14" s="205" t="s">
        <v>36</v>
      </c>
      <c r="BQE14" s="205"/>
      <c r="BQF14" s="205"/>
      <c r="BQG14" s="205"/>
      <c r="BQH14" s="104"/>
      <c r="BQI14" s="104"/>
      <c r="BQJ14" s="104"/>
      <c r="BQK14" s="105"/>
      <c r="BQL14" s="103"/>
      <c r="BQM14" s="104"/>
      <c r="BQN14" s="104"/>
      <c r="BQO14" s="104"/>
      <c r="BQP14" s="205" t="s">
        <v>32</v>
      </c>
      <c r="BQQ14" s="205"/>
      <c r="BQR14" s="205"/>
      <c r="BQS14" s="205"/>
      <c r="BQT14" s="104"/>
      <c r="BQU14" s="104"/>
      <c r="BQV14" s="206" t="s">
        <v>22</v>
      </c>
      <c r="BQW14" s="206"/>
      <c r="BQX14" s="206"/>
      <c r="BQY14" s="206"/>
      <c r="BQZ14" s="129"/>
      <c r="BRA14" s="129"/>
      <c r="BRB14" s="205" t="s">
        <v>33</v>
      </c>
      <c r="BRC14" s="205"/>
      <c r="BRD14" s="205"/>
      <c r="BRE14" s="205"/>
      <c r="BRF14" s="104"/>
      <c r="BRG14" s="104"/>
      <c r="BRH14" s="206" t="s">
        <v>23</v>
      </c>
      <c r="BRI14" s="206"/>
      <c r="BRJ14" s="206"/>
      <c r="BRK14" s="206"/>
      <c r="BRL14" s="129"/>
      <c r="BRM14" s="129"/>
      <c r="BRN14" s="205" t="s">
        <v>34</v>
      </c>
      <c r="BRO14" s="205"/>
      <c r="BRP14" s="205"/>
      <c r="BRQ14" s="205"/>
      <c r="BRR14" s="104"/>
      <c r="BRS14" s="104"/>
      <c r="BRT14" s="206" t="s">
        <v>24</v>
      </c>
      <c r="BRU14" s="206"/>
      <c r="BRV14" s="206"/>
      <c r="BRW14" s="206"/>
      <c r="BRX14" s="129"/>
      <c r="BRY14" s="129"/>
      <c r="BRZ14" s="205" t="s">
        <v>35</v>
      </c>
      <c r="BSA14" s="205"/>
      <c r="BSB14" s="205"/>
      <c r="BSC14" s="205"/>
      <c r="BSD14" s="104"/>
      <c r="BSE14" s="104"/>
      <c r="BSF14" s="206" t="s">
        <v>25</v>
      </c>
      <c r="BSG14" s="206"/>
      <c r="BSH14" s="206"/>
      <c r="BSI14" s="206"/>
      <c r="BSJ14" s="129"/>
      <c r="BSK14" s="129"/>
      <c r="BSL14" s="205" t="s">
        <v>36</v>
      </c>
      <c r="BSM14" s="205"/>
      <c r="BSN14" s="205"/>
      <c r="BSO14" s="205"/>
      <c r="BSP14" s="104"/>
      <c r="BSQ14" s="104"/>
      <c r="BSR14" s="104"/>
      <c r="BSS14" s="105"/>
      <c r="BST14" s="103"/>
      <c r="BSU14" s="104"/>
      <c r="BSV14" s="104"/>
      <c r="BSW14" s="104"/>
      <c r="BSX14" s="205" t="s">
        <v>32</v>
      </c>
      <c r="BSY14" s="205"/>
      <c r="BSZ14" s="205"/>
      <c r="BTA14" s="205"/>
      <c r="BTB14" s="104"/>
      <c r="BTC14" s="104"/>
      <c r="BTD14" s="206" t="s">
        <v>22</v>
      </c>
      <c r="BTE14" s="206"/>
      <c r="BTF14" s="206"/>
      <c r="BTG14" s="206"/>
      <c r="BTH14" s="129"/>
      <c r="BTI14" s="129"/>
      <c r="BTJ14" s="205" t="s">
        <v>33</v>
      </c>
      <c r="BTK14" s="205"/>
      <c r="BTL14" s="205"/>
      <c r="BTM14" s="205"/>
      <c r="BTN14" s="104"/>
      <c r="BTO14" s="104"/>
      <c r="BTP14" s="206" t="s">
        <v>23</v>
      </c>
      <c r="BTQ14" s="206"/>
      <c r="BTR14" s="206"/>
      <c r="BTS14" s="206"/>
      <c r="BTT14" s="129"/>
      <c r="BTU14" s="129"/>
      <c r="BTV14" s="205" t="s">
        <v>34</v>
      </c>
      <c r="BTW14" s="205"/>
      <c r="BTX14" s="205"/>
      <c r="BTY14" s="205"/>
      <c r="BTZ14" s="104"/>
      <c r="BUA14" s="104"/>
      <c r="BUB14" s="206" t="s">
        <v>24</v>
      </c>
      <c r="BUC14" s="206"/>
      <c r="BUD14" s="206"/>
      <c r="BUE14" s="206"/>
      <c r="BUF14" s="129"/>
      <c r="BUG14" s="129"/>
      <c r="BUH14" s="205" t="s">
        <v>35</v>
      </c>
      <c r="BUI14" s="205"/>
      <c r="BUJ14" s="205"/>
      <c r="BUK14" s="205"/>
      <c r="BUL14" s="104"/>
      <c r="BUM14" s="104"/>
      <c r="BUN14" s="206" t="s">
        <v>25</v>
      </c>
      <c r="BUO14" s="206"/>
      <c r="BUP14" s="206"/>
      <c r="BUQ14" s="206"/>
      <c r="BUR14" s="129"/>
      <c r="BUS14" s="129"/>
      <c r="BUT14" s="205" t="s">
        <v>36</v>
      </c>
      <c r="BUU14" s="205"/>
      <c r="BUV14" s="205"/>
      <c r="BUW14" s="205"/>
      <c r="BUX14" s="104"/>
      <c r="BUY14" s="104"/>
      <c r="BUZ14" s="104"/>
      <c r="BVA14" s="105"/>
      <c r="BVB14" s="103"/>
      <c r="BVC14" s="104"/>
      <c r="BVD14" s="104"/>
      <c r="BVE14" s="104"/>
      <c r="BVF14" s="205" t="s">
        <v>32</v>
      </c>
      <c r="BVG14" s="205"/>
      <c r="BVH14" s="205"/>
      <c r="BVI14" s="205"/>
      <c r="BVJ14" s="104"/>
      <c r="BVK14" s="104"/>
      <c r="BVL14" s="206" t="s">
        <v>22</v>
      </c>
      <c r="BVM14" s="206"/>
      <c r="BVN14" s="206"/>
      <c r="BVO14" s="206"/>
      <c r="BVP14" s="129"/>
      <c r="BVQ14" s="129"/>
      <c r="BVR14" s="205" t="s">
        <v>33</v>
      </c>
      <c r="BVS14" s="205"/>
      <c r="BVT14" s="205"/>
      <c r="BVU14" s="205"/>
      <c r="BVV14" s="104"/>
      <c r="BVW14" s="104"/>
      <c r="BVX14" s="206" t="s">
        <v>23</v>
      </c>
      <c r="BVY14" s="206"/>
      <c r="BVZ14" s="206"/>
      <c r="BWA14" s="206"/>
      <c r="BWB14" s="129"/>
      <c r="BWC14" s="129"/>
      <c r="BWD14" s="205" t="s">
        <v>34</v>
      </c>
      <c r="BWE14" s="205"/>
      <c r="BWF14" s="205"/>
      <c r="BWG14" s="205"/>
      <c r="BWH14" s="104"/>
      <c r="BWI14" s="104"/>
      <c r="BWJ14" s="206" t="s">
        <v>24</v>
      </c>
      <c r="BWK14" s="206"/>
      <c r="BWL14" s="206"/>
      <c r="BWM14" s="206"/>
      <c r="BWN14" s="129"/>
      <c r="BWO14" s="129"/>
      <c r="BWP14" s="205" t="s">
        <v>35</v>
      </c>
      <c r="BWQ14" s="205"/>
      <c r="BWR14" s="205"/>
      <c r="BWS14" s="205"/>
      <c r="BWT14" s="104"/>
      <c r="BWU14" s="104"/>
      <c r="BWV14" s="206" t="s">
        <v>25</v>
      </c>
      <c r="BWW14" s="206"/>
      <c r="BWX14" s="206"/>
      <c r="BWY14" s="206"/>
      <c r="BWZ14" s="129"/>
      <c r="BXA14" s="129"/>
      <c r="BXB14" s="205" t="s">
        <v>36</v>
      </c>
      <c r="BXC14" s="205"/>
      <c r="BXD14" s="205"/>
      <c r="BXE14" s="205"/>
      <c r="BXF14" s="104"/>
      <c r="BXG14" s="104"/>
      <c r="BXH14" s="104"/>
      <c r="BXI14" s="105"/>
      <c r="BXJ14" s="103"/>
      <c r="BXK14" s="104"/>
      <c r="BXL14" s="104"/>
      <c r="BXM14" s="104"/>
      <c r="BXN14" s="205" t="s">
        <v>32</v>
      </c>
      <c r="BXO14" s="205"/>
      <c r="BXP14" s="205"/>
      <c r="BXQ14" s="205"/>
      <c r="BXR14" s="104"/>
      <c r="BXS14" s="104"/>
      <c r="BXT14" s="206" t="s">
        <v>22</v>
      </c>
      <c r="BXU14" s="206"/>
      <c r="BXV14" s="206"/>
      <c r="BXW14" s="206"/>
      <c r="BXX14" s="129"/>
      <c r="BXY14" s="129"/>
      <c r="BXZ14" s="205" t="s">
        <v>33</v>
      </c>
      <c r="BYA14" s="205"/>
      <c r="BYB14" s="205"/>
      <c r="BYC14" s="205"/>
      <c r="BYD14" s="104"/>
      <c r="BYE14" s="104"/>
      <c r="BYF14" s="206" t="s">
        <v>23</v>
      </c>
      <c r="BYG14" s="206"/>
      <c r="BYH14" s="206"/>
      <c r="BYI14" s="206"/>
      <c r="BYJ14" s="129"/>
      <c r="BYK14" s="129"/>
      <c r="BYL14" s="205" t="s">
        <v>34</v>
      </c>
      <c r="BYM14" s="205"/>
      <c r="BYN14" s="205"/>
      <c r="BYO14" s="205"/>
      <c r="BYP14" s="104"/>
      <c r="BYQ14" s="104"/>
      <c r="BYR14" s="206" t="s">
        <v>24</v>
      </c>
      <c r="BYS14" s="206"/>
      <c r="BYT14" s="206"/>
      <c r="BYU14" s="206"/>
      <c r="BYV14" s="129"/>
      <c r="BYW14" s="129"/>
      <c r="BYX14" s="205" t="s">
        <v>35</v>
      </c>
      <c r="BYY14" s="205"/>
      <c r="BYZ14" s="205"/>
      <c r="BZA14" s="205"/>
      <c r="BZB14" s="104"/>
      <c r="BZC14" s="104"/>
      <c r="BZD14" s="206" t="s">
        <v>25</v>
      </c>
      <c r="BZE14" s="206"/>
      <c r="BZF14" s="206"/>
      <c r="BZG14" s="206"/>
      <c r="BZH14" s="129"/>
      <c r="BZI14" s="129"/>
      <c r="BZJ14" s="205" t="s">
        <v>36</v>
      </c>
      <c r="BZK14" s="205"/>
      <c r="BZL14" s="205"/>
      <c r="BZM14" s="205"/>
      <c r="BZN14" s="104"/>
      <c r="BZO14" s="104"/>
      <c r="BZP14" s="104"/>
      <c r="BZQ14" s="105"/>
      <c r="BZR14" s="103"/>
      <c r="BZS14" s="104"/>
      <c r="BZT14" s="104"/>
      <c r="BZU14" s="104"/>
      <c r="BZV14" s="205" t="s">
        <v>32</v>
      </c>
      <c r="BZW14" s="205"/>
      <c r="BZX14" s="205"/>
      <c r="BZY14" s="205"/>
      <c r="BZZ14" s="104"/>
      <c r="CAA14" s="104"/>
      <c r="CAB14" s="206" t="s">
        <v>22</v>
      </c>
      <c r="CAC14" s="206"/>
      <c r="CAD14" s="206"/>
      <c r="CAE14" s="206"/>
      <c r="CAF14" s="129"/>
      <c r="CAG14" s="129"/>
      <c r="CAH14" s="205" t="s">
        <v>33</v>
      </c>
      <c r="CAI14" s="205"/>
      <c r="CAJ14" s="205"/>
      <c r="CAK14" s="205"/>
      <c r="CAL14" s="104"/>
      <c r="CAM14" s="104"/>
      <c r="CAN14" s="206" t="s">
        <v>23</v>
      </c>
      <c r="CAO14" s="206"/>
      <c r="CAP14" s="206"/>
      <c r="CAQ14" s="206"/>
      <c r="CAR14" s="129"/>
      <c r="CAS14" s="129"/>
      <c r="CAT14" s="205" t="s">
        <v>34</v>
      </c>
      <c r="CAU14" s="205"/>
      <c r="CAV14" s="205"/>
      <c r="CAW14" s="205"/>
      <c r="CAX14" s="104"/>
      <c r="CAY14" s="104"/>
      <c r="CAZ14" s="206" t="s">
        <v>24</v>
      </c>
      <c r="CBA14" s="206"/>
      <c r="CBB14" s="206"/>
      <c r="CBC14" s="206"/>
      <c r="CBD14" s="129"/>
      <c r="CBE14" s="129"/>
      <c r="CBF14" s="205" t="s">
        <v>35</v>
      </c>
      <c r="CBG14" s="205"/>
      <c r="CBH14" s="205"/>
      <c r="CBI14" s="205"/>
      <c r="CBJ14" s="104"/>
      <c r="CBK14" s="104"/>
      <c r="CBL14" s="206" t="s">
        <v>25</v>
      </c>
      <c r="CBM14" s="206"/>
      <c r="CBN14" s="206"/>
      <c r="CBO14" s="206"/>
      <c r="CBP14" s="129"/>
      <c r="CBQ14" s="129"/>
      <c r="CBR14" s="205" t="s">
        <v>36</v>
      </c>
      <c r="CBS14" s="205"/>
      <c r="CBT14" s="205"/>
      <c r="CBU14" s="205"/>
      <c r="CBV14" s="104"/>
      <c r="CBW14" s="104"/>
      <c r="CBX14" s="104"/>
      <c r="CBY14" s="105"/>
      <c r="CBZ14" s="103"/>
      <c r="CCA14" s="104"/>
      <c r="CCB14" s="104"/>
      <c r="CCC14" s="104"/>
      <c r="CCD14" s="205" t="s">
        <v>32</v>
      </c>
      <c r="CCE14" s="205"/>
      <c r="CCF14" s="205"/>
      <c r="CCG14" s="205"/>
      <c r="CCH14" s="104"/>
      <c r="CCI14" s="104"/>
      <c r="CCJ14" s="206" t="s">
        <v>22</v>
      </c>
      <c r="CCK14" s="206"/>
      <c r="CCL14" s="206"/>
      <c r="CCM14" s="206"/>
      <c r="CCN14" s="129"/>
      <c r="CCO14" s="129"/>
      <c r="CCP14" s="205" t="s">
        <v>33</v>
      </c>
      <c r="CCQ14" s="205"/>
      <c r="CCR14" s="205"/>
      <c r="CCS14" s="205"/>
      <c r="CCT14" s="104"/>
      <c r="CCU14" s="104"/>
      <c r="CCV14" s="206" t="s">
        <v>23</v>
      </c>
      <c r="CCW14" s="206"/>
      <c r="CCX14" s="206"/>
      <c r="CCY14" s="206"/>
      <c r="CCZ14" s="129"/>
      <c r="CDA14" s="129"/>
      <c r="CDB14" s="205" t="s">
        <v>34</v>
      </c>
      <c r="CDC14" s="205"/>
      <c r="CDD14" s="205"/>
      <c r="CDE14" s="205"/>
      <c r="CDF14" s="104"/>
      <c r="CDG14" s="104"/>
      <c r="CDH14" s="206" t="s">
        <v>24</v>
      </c>
      <c r="CDI14" s="206"/>
      <c r="CDJ14" s="206"/>
      <c r="CDK14" s="206"/>
      <c r="CDL14" s="129"/>
      <c r="CDM14" s="129"/>
      <c r="CDN14" s="205" t="s">
        <v>35</v>
      </c>
      <c r="CDO14" s="205"/>
      <c r="CDP14" s="205"/>
      <c r="CDQ14" s="205"/>
      <c r="CDR14" s="104"/>
      <c r="CDS14" s="104"/>
      <c r="CDT14" s="206" t="s">
        <v>25</v>
      </c>
      <c r="CDU14" s="206"/>
      <c r="CDV14" s="206"/>
      <c r="CDW14" s="206"/>
      <c r="CDX14" s="129"/>
      <c r="CDY14" s="129"/>
      <c r="CDZ14" s="205" t="s">
        <v>36</v>
      </c>
      <c r="CEA14" s="205"/>
      <c r="CEB14" s="205"/>
      <c r="CEC14" s="205"/>
      <c r="CED14" s="104"/>
      <c r="CEE14" s="104"/>
      <c r="CEF14" s="104"/>
      <c r="CEG14" s="105"/>
      <c r="CEH14" s="103"/>
      <c r="CEI14" s="104"/>
      <c r="CEJ14" s="104"/>
      <c r="CEK14" s="104"/>
      <c r="CEL14" s="205" t="s">
        <v>32</v>
      </c>
      <c r="CEM14" s="205"/>
      <c r="CEN14" s="205"/>
      <c r="CEO14" s="205"/>
      <c r="CEP14" s="104"/>
      <c r="CEQ14" s="104"/>
      <c r="CER14" s="206" t="s">
        <v>22</v>
      </c>
      <c r="CES14" s="206"/>
      <c r="CET14" s="206"/>
      <c r="CEU14" s="206"/>
      <c r="CEV14" s="129"/>
      <c r="CEW14" s="129"/>
      <c r="CEX14" s="205" t="s">
        <v>33</v>
      </c>
      <c r="CEY14" s="205"/>
      <c r="CEZ14" s="205"/>
      <c r="CFA14" s="205"/>
      <c r="CFB14" s="104"/>
      <c r="CFC14" s="104"/>
      <c r="CFD14" s="206" t="s">
        <v>23</v>
      </c>
      <c r="CFE14" s="206"/>
      <c r="CFF14" s="206"/>
      <c r="CFG14" s="206"/>
      <c r="CFH14" s="129"/>
      <c r="CFI14" s="129"/>
      <c r="CFJ14" s="205" t="s">
        <v>34</v>
      </c>
      <c r="CFK14" s="205"/>
      <c r="CFL14" s="205"/>
      <c r="CFM14" s="205"/>
      <c r="CFN14" s="104"/>
      <c r="CFO14" s="104"/>
      <c r="CFP14" s="206" t="s">
        <v>24</v>
      </c>
      <c r="CFQ14" s="206"/>
      <c r="CFR14" s="206"/>
      <c r="CFS14" s="206"/>
      <c r="CFT14" s="129"/>
      <c r="CFU14" s="129"/>
      <c r="CFV14" s="205" t="s">
        <v>35</v>
      </c>
      <c r="CFW14" s="205"/>
      <c r="CFX14" s="205"/>
      <c r="CFY14" s="205"/>
      <c r="CFZ14" s="104"/>
      <c r="CGA14" s="104"/>
      <c r="CGB14" s="206" t="s">
        <v>25</v>
      </c>
      <c r="CGC14" s="206"/>
      <c r="CGD14" s="206"/>
      <c r="CGE14" s="206"/>
      <c r="CGF14" s="129"/>
      <c r="CGG14" s="129"/>
      <c r="CGH14" s="205" t="s">
        <v>36</v>
      </c>
      <c r="CGI14" s="205"/>
      <c r="CGJ14" s="205"/>
      <c r="CGK14" s="205"/>
      <c r="CGL14" s="104"/>
      <c r="CGM14" s="104"/>
      <c r="CGN14" s="104"/>
      <c r="CGO14" s="105"/>
      <c r="CGP14" s="103"/>
      <c r="CGQ14" s="104"/>
      <c r="CGR14" s="104"/>
      <c r="CGS14" s="104"/>
      <c r="CGT14" s="205" t="s">
        <v>32</v>
      </c>
      <c r="CGU14" s="205"/>
      <c r="CGV14" s="205"/>
      <c r="CGW14" s="205"/>
      <c r="CGX14" s="104"/>
      <c r="CGY14" s="104"/>
      <c r="CGZ14" s="206" t="s">
        <v>22</v>
      </c>
      <c r="CHA14" s="206"/>
      <c r="CHB14" s="206"/>
      <c r="CHC14" s="206"/>
      <c r="CHD14" s="129"/>
      <c r="CHE14" s="129"/>
      <c r="CHF14" s="205" t="s">
        <v>33</v>
      </c>
      <c r="CHG14" s="205"/>
      <c r="CHH14" s="205"/>
      <c r="CHI14" s="205"/>
      <c r="CHJ14" s="104"/>
      <c r="CHK14" s="104"/>
      <c r="CHL14" s="206" t="s">
        <v>23</v>
      </c>
      <c r="CHM14" s="206"/>
      <c r="CHN14" s="206"/>
      <c r="CHO14" s="206"/>
      <c r="CHP14" s="129"/>
      <c r="CHQ14" s="129"/>
      <c r="CHR14" s="205" t="s">
        <v>34</v>
      </c>
      <c r="CHS14" s="205"/>
      <c r="CHT14" s="205"/>
      <c r="CHU14" s="205"/>
      <c r="CHV14" s="104"/>
      <c r="CHW14" s="104"/>
      <c r="CHX14" s="206" t="s">
        <v>24</v>
      </c>
      <c r="CHY14" s="206"/>
      <c r="CHZ14" s="206"/>
      <c r="CIA14" s="206"/>
      <c r="CIB14" s="129"/>
      <c r="CIC14" s="129"/>
      <c r="CID14" s="205" t="s">
        <v>35</v>
      </c>
      <c r="CIE14" s="205"/>
      <c r="CIF14" s="205"/>
      <c r="CIG14" s="205"/>
      <c r="CIH14" s="104"/>
      <c r="CII14" s="104"/>
      <c r="CIJ14" s="206" t="s">
        <v>25</v>
      </c>
      <c r="CIK14" s="206"/>
      <c r="CIL14" s="206"/>
      <c r="CIM14" s="206"/>
      <c r="CIN14" s="129"/>
      <c r="CIO14" s="129"/>
      <c r="CIP14" s="205" t="s">
        <v>36</v>
      </c>
      <c r="CIQ14" s="205"/>
      <c r="CIR14" s="205"/>
      <c r="CIS14" s="205"/>
      <c r="CIT14" s="104"/>
      <c r="CIU14" s="104"/>
      <c r="CIV14" s="104"/>
      <c r="CIW14" s="105"/>
      <c r="CIX14" s="103"/>
      <c r="CIY14" s="104"/>
      <c r="CIZ14" s="104"/>
      <c r="CJA14" s="104"/>
      <c r="CJB14" s="205" t="s">
        <v>32</v>
      </c>
      <c r="CJC14" s="205"/>
      <c r="CJD14" s="205"/>
      <c r="CJE14" s="205"/>
      <c r="CJF14" s="104"/>
      <c r="CJG14" s="104"/>
      <c r="CJH14" s="206" t="s">
        <v>22</v>
      </c>
      <c r="CJI14" s="206"/>
      <c r="CJJ14" s="206"/>
      <c r="CJK14" s="206"/>
      <c r="CJL14" s="129"/>
      <c r="CJM14" s="129"/>
      <c r="CJN14" s="205" t="s">
        <v>33</v>
      </c>
      <c r="CJO14" s="205"/>
      <c r="CJP14" s="205"/>
      <c r="CJQ14" s="205"/>
      <c r="CJR14" s="104"/>
      <c r="CJS14" s="104"/>
      <c r="CJT14" s="206" t="s">
        <v>23</v>
      </c>
      <c r="CJU14" s="206"/>
      <c r="CJV14" s="206"/>
      <c r="CJW14" s="206"/>
      <c r="CJX14" s="129"/>
      <c r="CJY14" s="129"/>
      <c r="CJZ14" s="205" t="s">
        <v>34</v>
      </c>
      <c r="CKA14" s="205"/>
      <c r="CKB14" s="205"/>
      <c r="CKC14" s="205"/>
      <c r="CKD14" s="104"/>
      <c r="CKE14" s="104"/>
      <c r="CKF14" s="206" t="s">
        <v>24</v>
      </c>
      <c r="CKG14" s="206"/>
      <c r="CKH14" s="206"/>
      <c r="CKI14" s="206"/>
      <c r="CKJ14" s="129"/>
      <c r="CKK14" s="129"/>
      <c r="CKL14" s="205" t="s">
        <v>35</v>
      </c>
      <c r="CKM14" s="205"/>
      <c r="CKN14" s="205"/>
      <c r="CKO14" s="205"/>
      <c r="CKP14" s="104"/>
      <c r="CKQ14" s="104"/>
      <c r="CKR14" s="206" t="s">
        <v>25</v>
      </c>
      <c r="CKS14" s="206"/>
      <c r="CKT14" s="206"/>
      <c r="CKU14" s="206"/>
      <c r="CKV14" s="129"/>
      <c r="CKW14" s="129"/>
      <c r="CKX14" s="205" t="s">
        <v>36</v>
      </c>
      <c r="CKY14" s="205"/>
      <c r="CKZ14" s="205"/>
      <c r="CLA14" s="205"/>
      <c r="CLB14" s="104"/>
      <c r="CLC14" s="104"/>
      <c r="CLD14" s="104"/>
      <c r="CLE14" s="105"/>
      <c r="CLF14" s="103"/>
      <c r="CLG14" s="104"/>
      <c r="CLH14" s="104"/>
      <c r="CLI14" s="104"/>
      <c r="CLJ14" s="205" t="s">
        <v>32</v>
      </c>
      <c r="CLK14" s="205"/>
      <c r="CLL14" s="205"/>
      <c r="CLM14" s="205"/>
      <c r="CLN14" s="104"/>
      <c r="CLO14" s="104"/>
      <c r="CLP14" s="206" t="s">
        <v>22</v>
      </c>
      <c r="CLQ14" s="206"/>
      <c r="CLR14" s="206"/>
      <c r="CLS14" s="206"/>
      <c r="CLT14" s="129"/>
      <c r="CLU14" s="129"/>
      <c r="CLV14" s="205" t="s">
        <v>33</v>
      </c>
      <c r="CLW14" s="205"/>
      <c r="CLX14" s="205"/>
      <c r="CLY14" s="205"/>
      <c r="CLZ14" s="104"/>
      <c r="CMA14" s="104"/>
      <c r="CMB14" s="206" t="s">
        <v>23</v>
      </c>
      <c r="CMC14" s="206"/>
      <c r="CMD14" s="206"/>
      <c r="CME14" s="206"/>
      <c r="CMF14" s="129"/>
      <c r="CMG14" s="129"/>
      <c r="CMH14" s="205" t="s">
        <v>34</v>
      </c>
      <c r="CMI14" s="205"/>
      <c r="CMJ14" s="205"/>
      <c r="CMK14" s="205"/>
      <c r="CML14" s="104"/>
      <c r="CMM14" s="104"/>
      <c r="CMN14" s="206" t="s">
        <v>24</v>
      </c>
      <c r="CMO14" s="206"/>
      <c r="CMP14" s="206"/>
      <c r="CMQ14" s="206"/>
      <c r="CMR14" s="129"/>
      <c r="CMS14" s="129"/>
      <c r="CMT14" s="205" t="s">
        <v>35</v>
      </c>
      <c r="CMU14" s="205"/>
      <c r="CMV14" s="205"/>
      <c r="CMW14" s="205"/>
      <c r="CMX14" s="104"/>
      <c r="CMY14" s="104"/>
      <c r="CMZ14" s="206" t="s">
        <v>25</v>
      </c>
      <c r="CNA14" s="206"/>
      <c r="CNB14" s="206"/>
      <c r="CNC14" s="206"/>
      <c r="CND14" s="129"/>
      <c r="CNE14" s="129"/>
      <c r="CNF14" s="205" t="s">
        <v>36</v>
      </c>
      <c r="CNG14" s="205"/>
      <c r="CNH14" s="205"/>
      <c r="CNI14" s="205"/>
      <c r="CNJ14" s="104"/>
      <c r="CNK14" s="104"/>
      <c r="CNL14" s="104"/>
      <c r="CNM14" s="105"/>
      <c r="CNN14" s="103"/>
      <c r="CNO14" s="104"/>
      <c r="CNP14" s="104"/>
      <c r="CNQ14" s="104"/>
      <c r="CNR14" s="205" t="s">
        <v>32</v>
      </c>
      <c r="CNS14" s="205"/>
      <c r="CNT14" s="205"/>
      <c r="CNU14" s="205"/>
      <c r="CNV14" s="104"/>
      <c r="CNW14" s="104"/>
      <c r="CNX14" s="206" t="s">
        <v>22</v>
      </c>
      <c r="CNY14" s="206"/>
      <c r="CNZ14" s="206"/>
      <c r="COA14" s="206"/>
      <c r="COB14" s="129"/>
      <c r="COC14" s="129"/>
      <c r="COD14" s="205" t="s">
        <v>33</v>
      </c>
      <c r="COE14" s="205"/>
      <c r="COF14" s="205"/>
      <c r="COG14" s="205"/>
      <c r="COH14" s="104"/>
      <c r="COI14" s="104"/>
      <c r="COJ14" s="206" t="s">
        <v>23</v>
      </c>
      <c r="COK14" s="206"/>
      <c r="COL14" s="206"/>
      <c r="COM14" s="206"/>
      <c r="CON14" s="129"/>
      <c r="COO14" s="129"/>
      <c r="COP14" s="205" t="s">
        <v>34</v>
      </c>
      <c r="COQ14" s="205"/>
      <c r="COR14" s="205"/>
      <c r="COS14" s="205"/>
      <c r="COT14" s="104"/>
      <c r="COU14" s="104"/>
      <c r="COV14" s="206" t="s">
        <v>24</v>
      </c>
      <c r="COW14" s="206"/>
      <c r="COX14" s="206"/>
      <c r="COY14" s="206"/>
      <c r="COZ14" s="129"/>
      <c r="CPA14" s="129"/>
      <c r="CPB14" s="205" t="s">
        <v>35</v>
      </c>
      <c r="CPC14" s="205"/>
      <c r="CPD14" s="205"/>
      <c r="CPE14" s="205"/>
      <c r="CPF14" s="104"/>
      <c r="CPG14" s="104"/>
      <c r="CPH14" s="206" t="s">
        <v>25</v>
      </c>
      <c r="CPI14" s="206"/>
      <c r="CPJ14" s="206"/>
      <c r="CPK14" s="206"/>
      <c r="CPL14" s="129"/>
      <c r="CPM14" s="129"/>
      <c r="CPN14" s="205" t="s">
        <v>36</v>
      </c>
      <c r="CPO14" s="205"/>
      <c r="CPP14" s="205"/>
      <c r="CPQ14" s="205"/>
      <c r="CPR14" s="104"/>
      <c r="CPS14" s="104"/>
      <c r="CPT14" s="104"/>
      <c r="CPU14" s="105"/>
      <c r="CPV14" s="103"/>
      <c r="CPW14" s="104"/>
      <c r="CPX14" s="104"/>
      <c r="CPY14" s="104"/>
      <c r="CPZ14" s="205" t="s">
        <v>32</v>
      </c>
      <c r="CQA14" s="205"/>
      <c r="CQB14" s="205"/>
      <c r="CQC14" s="205"/>
      <c r="CQD14" s="104"/>
      <c r="CQE14" s="104"/>
      <c r="CQF14" s="206" t="s">
        <v>22</v>
      </c>
      <c r="CQG14" s="206"/>
      <c r="CQH14" s="206"/>
      <c r="CQI14" s="206"/>
      <c r="CQJ14" s="129"/>
      <c r="CQK14" s="129"/>
      <c r="CQL14" s="205" t="s">
        <v>33</v>
      </c>
      <c r="CQM14" s="205"/>
      <c r="CQN14" s="205"/>
      <c r="CQO14" s="205"/>
      <c r="CQP14" s="104"/>
      <c r="CQQ14" s="104"/>
      <c r="CQR14" s="206" t="s">
        <v>23</v>
      </c>
      <c r="CQS14" s="206"/>
      <c r="CQT14" s="206"/>
      <c r="CQU14" s="206"/>
      <c r="CQV14" s="129"/>
      <c r="CQW14" s="129"/>
      <c r="CQX14" s="205" t="s">
        <v>34</v>
      </c>
      <c r="CQY14" s="205"/>
      <c r="CQZ14" s="205"/>
      <c r="CRA14" s="205"/>
      <c r="CRB14" s="104"/>
      <c r="CRC14" s="104"/>
      <c r="CRD14" s="206" t="s">
        <v>24</v>
      </c>
      <c r="CRE14" s="206"/>
      <c r="CRF14" s="206"/>
      <c r="CRG14" s="206"/>
      <c r="CRH14" s="129"/>
      <c r="CRI14" s="129"/>
      <c r="CRJ14" s="205" t="s">
        <v>35</v>
      </c>
      <c r="CRK14" s="205"/>
      <c r="CRL14" s="205"/>
      <c r="CRM14" s="205"/>
      <c r="CRN14" s="104"/>
      <c r="CRO14" s="104"/>
      <c r="CRP14" s="206" t="s">
        <v>25</v>
      </c>
      <c r="CRQ14" s="206"/>
      <c r="CRR14" s="206"/>
      <c r="CRS14" s="206"/>
      <c r="CRT14" s="129"/>
      <c r="CRU14" s="129"/>
      <c r="CRV14" s="205" t="s">
        <v>36</v>
      </c>
      <c r="CRW14" s="205"/>
      <c r="CRX14" s="205"/>
      <c r="CRY14" s="205"/>
      <c r="CRZ14" s="104"/>
      <c r="CSA14" s="104"/>
      <c r="CSB14" s="104"/>
      <c r="CSC14" s="105"/>
      <c r="CSD14" s="90"/>
    </row>
    <row r="15" spans="1:2526" ht="20.100000000000001" customHeight="1" x14ac:dyDescent="0.25">
      <c r="A15" s="100" t="s">
        <v>18</v>
      </c>
      <c r="B15" s="63" t="str">
        <f>IF(LEN(C15)=0,"",C15)</f>
        <v xml:space="preserve">Absences - imprévus </v>
      </c>
      <c r="C15" s="207" t="s">
        <v>4</v>
      </c>
      <c r="D15" s="149" t="str">
        <f>setValueToTime(E15)</f>
        <v>3h45min</v>
      </c>
      <c r="E15" s="31">
        <v>45</v>
      </c>
      <c r="F15" s="177"/>
      <c r="G15" s="178"/>
      <c r="H15" s="178"/>
      <c r="I15" s="178"/>
      <c r="J15" s="179"/>
      <c r="K15" s="180"/>
      <c r="L15" s="179"/>
      <c r="M15" s="179"/>
      <c r="N15" s="179"/>
      <c r="O15" s="179"/>
      <c r="P15" s="179"/>
      <c r="Q15" s="181"/>
      <c r="R15" s="179"/>
      <c r="S15" s="179"/>
      <c r="T15" s="179"/>
      <c r="U15" s="179"/>
      <c r="V15" s="179"/>
      <c r="W15" s="182"/>
      <c r="X15" s="179"/>
      <c r="Y15" s="179"/>
      <c r="Z15" s="179"/>
      <c r="AA15" s="179"/>
      <c r="AB15" s="179"/>
      <c r="AC15" s="181"/>
      <c r="AD15" s="179"/>
      <c r="AE15" s="179"/>
      <c r="AF15" s="179"/>
      <c r="AG15" s="179"/>
      <c r="AH15" s="179"/>
      <c r="AI15" s="182"/>
      <c r="AJ15" s="178"/>
      <c r="AK15" s="178"/>
      <c r="AL15" s="178"/>
      <c r="AM15" s="178"/>
      <c r="AN15" s="179"/>
      <c r="AO15" s="181"/>
      <c r="AP15" s="179"/>
      <c r="AQ15" s="179"/>
      <c r="AR15" s="179"/>
      <c r="AS15" s="179"/>
      <c r="AT15" s="179"/>
      <c r="AU15" s="182"/>
      <c r="AV15" s="179"/>
      <c r="AW15" s="179"/>
      <c r="AX15" s="179"/>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09"/>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07" t="s">
        <v>42</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73"/>
      <c r="CG17" s="173"/>
      <c r="CH17" s="173"/>
      <c r="CI17" s="173"/>
      <c r="CJ17" s="173"/>
      <c r="CK17" s="175"/>
      <c r="CL17" s="173"/>
      <c r="CM17" s="173"/>
      <c r="CN17" s="17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71"/>
      <c r="DW17" s="172"/>
      <c r="DX17" s="172"/>
      <c r="DY17" s="172"/>
      <c r="DZ17" s="173"/>
      <c r="EA17" s="174"/>
      <c r="EB17" s="173"/>
      <c r="EC17" s="173"/>
      <c r="ED17" s="17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09"/>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07"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67"/>
      <c r="EF19" s="167"/>
      <c r="EG19" s="169"/>
      <c r="EH19" s="167"/>
      <c r="EI19" s="167"/>
      <c r="EJ19" s="167"/>
      <c r="EK19" s="167"/>
      <c r="EL19" s="167"/>
      <c r="EM19" s="170"/>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08"/>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07" t="s">
        <v>46</v>
      </c>
      <c r="D21" s="146" t="str">
        <f t="shared" si="0"/>
        <v>15h</v>
      </c>
      <c r="E21" s="31">
        <v>180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71"/>
      <c r="NC21" s="172"/>
      <c r="ND21" s="172"/>
      <c r="NE21" s="172"/>
      <c r="NF21" s="173"/>
      <c r="NG21" s="174"/>
      <c r="NH21" s="173"/>
      <c r="NI21" s="173"/>
      <c r="NJ21" s="173"/>
      <c r="NK21" s="173"/>
      <c r="NL21" s="173"/>
      <c r="NM21" s="175"/>
      <c r="NN21" s="173"/>
      <c r="NO21" s="173"/>
      <c r="NP21" s="173"/>
      <c r="NQ21" s="173"/>
      <c r="NR21" s="173"/>
      <c r="NS21" s="176"/>
      <c r="NT21" s="173"/>
      <c r="NU21" s="173"/>
      <c r="NV21" s="173"/>
      <c r="NW21" s="173"/>
      <c r="NX21" s="173"/>
      <c r="NY21" s="175"/>
      <c r="NZ21" s="173"/>
      <c r="OA21" s="173"/>
      <c r="OB21" s="173"/>
      <c r="OC21" s="173"/>
      <c r="OD21" s="173"/>
      <c r="OE21" s="176"/>
      <c r="OF21" s="172"/>
      <c r="OG21" s="172"/>
      <c r="OH21" s="172"/>
      <c r="OI21" s="172"/>
      <c r="OJ21" s="173"/>
      <c r="OK21" s="175"/>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71"/>
      <c r="PK21" s="172"/>
      <c r="PL21" s="172"/>
      <c r="PM21" s="172"/>
      <c r="PN21" s="173"/>
      <c r="PO21" s="174"/>
      <c r="PP21" s="173"/>
      <c r="PQ21" s="173"/>
      <c r="PR21" s="173"/>
      <c r="PS21" s="173"/>
      <c r="PT21" s="173"/>
      <c r="PU21" s="175"/>
      <c r="PV21" s="173"/>
      <c r="PW21" s="173"/>
      <c r="PX21" s="173"/>
      <c r="PY21" s="173"/>
      <c r="PZ21" s="173"/>
      <c r="QA21" s="176"/>
      <c r="QB21" s="173"/>
      <c r="QC21" s="173"/>
      <c r="QD21" s="173"/>
      <c r="QE21" s="173"/>
      <c r="QF21" s="173"/>
      <c r="QG21" s="175"/>
      <c r="QH21" s="173"/>
      <c r="QI21" s="173"/>
      <c r="QJ21" s="173"/>
      <c r="QK21" s="173"/>
      <c r="QL21" s="173"/>
      <c r="QM21" s="176"/>
      <c r="QN21" s="172"/>
      <c r="QO21" s="172"/>
      <c r="QP21" s="172"/>
      <c r="QQ21" s="172"/>
      <c r="QR21" s="173"/>
      <c r="QS21" s="175"/>
      <c r="QT21" s="173"/>
      <c r="QU21" s="173"/>
      <c r="QV21" s="173"/>
      <c r="QW21" s="173"/>
      <c r="QX21" s="173"/>
      <c r="QY21" s="176"/>
      <c r="QZ21" s="173"/>
      <c r="RA21" s="173"/>
      <c r="RB21" s="173"/>
      <c r="RC21" s="33"/>
      <c r="RD21" s="33"/>
      <c r="RE21" s="137"/>
      <c r="RF21" s="33"/>
      <c r="RG21" s="33"/>
      <c r="RH21" s="33"/>
      <c r="RI21" s="33"/>
      <c r="RJ21" s="33"/>
      <c r="RK21" s="74"/>
      <c r="RL21" s="33"/>
      <c r="RM21" s="33"/>
      <c r="RN21" s="33"/>
      <c r="RO21" s="33"/>
      <c r="RP21" s="33"/>
      <c r="RQ21" s="34"/>
      <c r="RR21" s="171"/>
      <c r="RS21" s="172"/>
      <c r="RT21" s="172"/>
      <c r="RU21" s="172"/>
      <c r="RV21" s="173"/>
      <c r="RW21" s="174"/>
      <c r="RX21" s="173"/>
      <c r="RY21" s="173"/>
      <c r="RZ21" s="173"/>
      <c r="SA21" s="173"/>
      <c r="SB21" s="173"/>
      <c r="SC21" s="175"/>
      <c r="SD21" s="173"/>
      <c r="SE21" s="173"/>
      <c r="SF21" s="173"/>
      <c r="SG21" s="173"/>
      <c r="SH21" s="173"/>
      <c r="SI21" s="176"/>
      <c r="SJ21" s="173"/>
      <c r="SK21" s="173"/>
      <c r="SL21" s="173"/>
      <c r="SM21" s="173"/>
      <c r="SN21" s="173"/>
      <c r="SO21" s="175"/>
      <c r="SP21" s="173"/>
      <c r="SQ21" s="173"/>
      <c r="SR21" s="17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1"/>
      <c r="UA21" s="172"/>
      <c r="UB21" s="172"/>
      <c r="UC21" s="172"/>
      <c r="UD21" s="173"/>
      <c r="UE21" s="174"/>
      <c r="UF21" s="173"/>
      <c r="UG21" s="173"/>
      <c r="UH21" s="173"/>
      <c r="UI21" s="173"/>
      <c r="UJ21" s="173"/>
      <c r="UK21" s="175"/>
      <c r="UL21" s="173"/>
      <c r="UM21" s="173"/>
      <c r="UN21" s="173"/>
      <c r="UO21" s="173"/>
      <c r="UP21" s="173"/>
      <c r="UQ21" s="176"/>
      <c r="UR21" s="173"/>
      <c r="US21" s="173"/>
      <c r="UT21" s="173"/>
      <c r="UU21" s="173"/>
      <c r="UV21" s="173"/>
      <c r="UW21" s="175"/>
      <c r="UX21" s="173"/>
      <c r="UY21" s="173"/>
      <c r="UZ21" s="173"/>
      <c r="VA21" s="173"/>
      <c r="VB21" s="173"/>
      <c r="VC21" s="176"/>
      <c r="VD21" s="172"/>
      <c r="VE21" s="172"/>
      <c r="VF21" s="172"/>
      <c r="VG21" s="172"/>
      <c r="VH21" s="173"/>
      <c r="VI21" s="175"/>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71"/>
      <c r="WI21" s="172"/>
      <c r="WJ21" s="172"/>
      <c r="WK21" s="172"/>
      <c r="WL21" s="173"/>
      <c r="WM21" s="174"/>
      <c r="WN21" s="173"/>
      <c r="WO21" s="173"/>
      <c r="WP21" s="173"/>
      <c r="WQ21" s="173"/>
      <c r="WR21" s="173"/>
      <c r="WS21" s="175"/>
      <c r="WT21" s="173"/>
      <c r="WU21" s="173"/>
      <c r="WV21" s="173"/>
      <c r="WW21" s="173"/>
      <c r="WX21" s="173"/>
      <c r="WY21" s="176"/>
      <c r="WZ21" s="173"/>
      <c r="XA21" s="173"/>
      <c r="XB21" s="173"/>
      <c r="XC21" s="173"/>
      <c r="XD21" s="173"/>
      <c r="XE21" s="175"/>
      <c r="XF21" s="173"/>
      <c r="XG21" s="173"/>
      <c r="XH21" s="173"/>
      <c r="XI21" s="173"/>
      <c r="XJ21" s="173"/>
      <c r="XK21" s="176"/>
      <c r="XL21" s="172"/>
      <c r="XM21" s="172"/>
      <c r="XN21" s="172"/>
      <c r="XO21" s="172"/>
      <c r="XP21" s="173"/>
      <c r="XQ21" s="175"/>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08"/>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07"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67"/>
      <c r="EO23" s="167"/>
      <c r="EP23" s="167"/>
      <c r="EQ23" s="167"/>
      <c r="ER23" s="167"/>
      <c r="ES23" s="169"/>
      <c r="ET23" s="167"/>
      <c r="EU23" s="167"/>
      <c r="EV23" s="167"/>
      <c r="EW23" s="167"/>
      <c r="EX23" s="167"/>
      <c r="EY23" s="170"/>
      <c r="EZ23" s="166"/>
      <c r="FA23" s="166"/>
      <c r="FB23" s="166"/>
      <c r="FC23" s="166"/>
      <c r="FD23" s="167"/>
      <c r="FE23" s="16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08"/>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07"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71"/>
      <c r="GE25" s="172"/>
      <c r="GF25" s="172"/>
      <c r="GG25" s="172"/>
      <c r="GH25" s="173"/>
      <c r="GI25" s="174"/>
      <c r="GJ25" s="173"/>
      <c r="GK25" s="173"/>
      <c r="GL25" s="173"/>
      <c r="GM25" s="173"/>
      <c r="GN25" s="173"/>
      <c r="GO25" s="175"/>
      <c r="GP25" s="173"/>
      <c r="GQ25" s="173"/>
      <c r="GR25" s="173"/>
      <c r="GS25" s="173"/>
      <c r="GT25" s="173"/>
      <c r="GU25" s="176"/>
      <c r="GV25" s="173"/>
      <c r="GW25" s="173"/>
      <c r="GX25" s="173"/>
      <c r="GY25" s="173"/>
      <c r="GZ25" s="173"/>
      <c r="HA25" s="175"/>
      <c r="HB25" s="173"/>
      <c r="HC25" s="173"/>
      <c r="HD25" s="173"/>
      <c r="HE25" s="173"/>
      <c r="HF25" s="173"/>
      <c r="HG25" s="176"/>
      <c r="HH25" s="172"/>
      <c r="HI25" s="172"/>
      <c r="HJ25" s="172"/>
      <c r="HK25" s="172"/>
      <c r="HL25" s="173"/>
      <c r="HM25" s="175"/>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71"/>
      <c r="IM25" s="172"/>
      <c r="IN25" s="172"/>
      <c r="IO25" s="172"/>
      <c r="IP25" s="173"/>
      <c r="IQ25" s="174"/>
      <c r="IR25" s="173"/>
      <c r="IS25" s="173"/>
      <c r="IT25" s="173"/>
      <c r="IU25" s="173"/>
      <c r="IV25" s="173"/>
      <c r="IW25" s="175"/>
      <c r="IX25" s="173"/>
      <c r="IY25" s="173"/>
      <c r="IZ25" s="173"/>
      <c r="JA25" s="173"/>
      <c r="JB25" s="173"/>
      <c r="JC25" s="176"/>
      <c r="JD25" s="173"/>
      <c r="JE25" s="173"/>
      <c r="JF25" s="173"/>
      <c r="JG25" s="173"/>
      <c r="JH25" s="173"/>
      <c r="JI25" s="175"/>
      <c r="JJ25" s="173"/>
      <c r="JK25" s="173"/>
      <c r="JL25" s="173"/>
      <c r="JM25" s="173"/>
      <c r="JN25" s="173"/>
      <c r="JO25" s="176"/>
      <c r="JP25" s="172"/>
      <c r="JQ25" s="172"/>
      <c r="JR25" s="172"/>
      <c r="JS25" s="172"/>
      <c r="JT25" s="173"/>
      <c r="JU25" s="175"/>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71"/>
      <c r="KU25" s="172"/>
      <c r="KV25" s="172"/>
      <c r="KW25" s="172"/>
      <c r="KX25" s="173"/>
      <c r="KY25" s="174"/>
      <c r="KZ25" s="173"/>
      <c r="LA25" s="173"/>
      <c r="LB25" s="173"/>
      <c r="LC25" s="173"/>
      <c r="LD25" s="173"/>
      <c r="LE25" s="175"/>
      <c r="LF25" s="173"/>
      <c r="LG25" s="173"/>
      <c r="LH25" s="173"/>
      <c r="LI25" s="173"/>
      <c r="LJ25" s="173"/>
      <c r="LK25" s="176"/>
      <c r="LL25" s="173"/>
      <c r="LM25" s="173"/>
      <c r="LN25" s="173"/>
      <c r="LO25" s="173"/>
      <c r="LP25" s="173"/>
      <c r="LQ25" s="175"/>
      <c r="LR25" s="173"/>
      <c r="LS25" s="173"/>
      <c r="LT25" s="173"/>
      <c r="LU25" s="173"/>
      <c r="LV25" s="173"/>
      <c r="LW25" s="176"/>
      <c r="LX25" s="172"/>
      <c r="LY25" s="172"/>
      <c r="LZ25" s="172"/>
      <c r="MA25" s="172"/>
      <c r="MB25" s="173"/>
      <c r="MC25" s="175"/>
      <c r="MD25" s="173"/>
      <c r="ME25" s="173"/>
      <c r="MF25" s="173"/>
      <c r="MG25" s="173"/>
      <c r="MH25" s="173"/>
      <c r="MI25" s="176"/>
      <c r="MJ25" s="173"/>
      <c r="MK25" s="173"/>
      <c r="ML25" s="17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08"/>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207"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65"/>
      <c r="YQ27" s="166"/>
      <c r="YR27" s="166"/>
      <c r="YS27" s="166"/>
      <c r="YT27" s="167"/>
      <c r="YU27" s="168"/>
      <c r="YV27" s="167"/>
      <c r="YW27" s="167"/>
      <c r="YX27" s="167"/>
      <c r="YY27" s="167"/>
      <c r="YZ27" s="167"/>
      <c r="ZA27" s="169"/>
      <c r="ZB27" s="167"/>
      <c r="ZC27" s="167"/>
      <c r="ZD27" s="167"/>
      <c r="ZE27" s="167"/>
      <c r="ZF27" s="167"/>
      <c r="ZG27" s="170"/>
      <c r="ZH27" s="167"/>
      <c r="ZI27" s="167"/>
      <c r="ZJ27" s="167"/>
      <c r="ZK27" s="167"/>
      <c r="ZL27" s="167"/>
      <c r="ZM27" s="169"/>
      <c r="ZN27" s="167"/>
      <c r="ZO27" s="167"/>
      <c r="ZP27" s="167"/>
      <c r="ZQ27" s="167"/>
      <c r="ZR27" s="167"/>
      <c r="ZS27" s="170"/>
      <c r="ZT27" s="166"/>
      <c r="ZU27" s="166"/>
      <c r="ZV27" s="166"/>
      <c r="ZW27" s="166"/>
      <c r="ZX27" s="167"/>
      <c r="ZY27" s="16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08"/>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07"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09"/>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07" t="s">
        <v>49</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65"/>
      <c r="AFO31" s="166"/>
      <c r="AFP31" s="166"/>
      <c r="AFQ31" s="166"/>
      <c r="AFR31" s="167"/>
      <c r="AFS31" s="168"/>
      <c r="AFT31" s="167"/>
      <c r="AFU31" s="167"/>
      <c r="AFV31" s="167"/>
      <c r="AFW31" s="167"/>
      <c r="AFX31" s="167"/>
      <c r="AFY31" s="169"/>
      <c r="AFZ31" s="167"/>
      <c r="AGA31" s="167"/>
      <c r="AGB31" s="167"/>
      <c r="AGC31" s="167"/>
      <c r="AGD31" s="167"/>
      <c r="AGE31" s="170"/>
      <c r="AGF31" s="167"/>
      <c r="AGG31" s="167"/>
      <c r="AGH31" s="167"/>
      <c r="AGI31" s="167"/>
      <c r="AGJ31" s="167"/>
      <c r="AGK31" s="169"/>
      <c r="AGL31" s="167"/>
      <c r="AGM31" s="167"/>
      <c r="AGN31" s="167"/>
      <c r="AGO31" s="167"/>
      <c r="AGP31" s="167"/>
      <c r="AGQ31" s="170"/>
      <c r="AGR31" s="166"/>
      <c r="AGS31" s="166"/>
      <c r="AGT31" s="166"/>
      <c r="AGU31" s="166"/>
      <c r="AGV31" s="167"/>
      <c r="AGW31" s="169"/>
      <c r="AGX31" s="167"/>
      <c r="AGY31" s="167"/>
      <c r="AGZ31" s="167"/>
      <c r="AHA31" s="167"/>
      <c r="AHB31" s="167"/>
      <c r="AHC31" s="170"/>
      <c r="AHD31" s="167"/>
      <c r="AHE31" s="167"/>
      <c r="AHF31" s="167"/>
      <c r="AHG31" s="41"/>
      <c r="AHH31" s="41"/>
      <c r="AHI31" s="139"/>
      <c r="AHJ31" s="41"/>
      <c r="AHK31" s="41"/>
      <c r="AHL31" s="41"/>
      <c r="AHM31" s="41"/>
      <c r="AHN31" s="41"/>
      <c r="AHO31" s="76"/>
      <c r="AHP31" s="41"/>
      <c r="AHQ31" s="41"/>
      <c r="AHR31" s="41"/>
      <c r="AHS31" s="41"/>
      <c r="AHT31" s="41"/>
      <c r="AHU31" s="42"/>
      <c r="AHV31" s="165"/>
      <c r="AHW31" s="166"/>
      <c r="AHX31" s="166"/>
      <c r="AHY31" s="166"/>
      <c r="AHZ31" s="167"/>
      <c r="AIA31" s="168"/>
      <c r="AIB31" s="167"/>
      <c r="AIC31" s="167"/>
      <c r="AID31" s="167"/>
      <c r="AIE31" s="167"/>
      <c r="AIF31" s="167"/>
      <c r="AIG31" s="169"/>
      <c r="AIH31" s="167"/>
      <c r="AII31" s="167"/>
      <c r="AIJ31" s="167"/>
      <c r="AIK31" s="167"/>
      <c r="AIL31" s="167"/>
      <c r="AIM31" s="170"/>
      <c r="AIN31" s="167"/>
      <c r="AIO31" s="167"/>
      <c r="AIP31" s="167"/>
      <c r="AIQ31" s="167"/>
      <c r="AIR31" s="167"/>
      <c r="AIS31" s="169"/>
      <c r="AIT31" s="167"/>
      <c r="AIU31" s="167"/>
      <c r="AIV31" s="167"/>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09"/>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07"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09"/>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07"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165"/>
      <c r="AKE35" s="166"/>
      <c r="AKF35" s="166"/>
      <c r="AKG35" s="166"/>
      <c r="AKH35" s="167"/>
      <c r="AKI35" s="168"/>
      <c r="AKJ35" s="167"/>
      <c r="AKK35" s="167"/>
      <c r="AKL35" s="167"/>
      <c r="AKM35" s="167"/>
      <c r="AKN35" s="167"/>
      <c r="AKO35" s="169"/>
      <c r="AKP35" s="167"/>
      <c r="AKQ35" s="167"/>
      <c r="AKR35" s="167"/>
      <c r="AKS35" s="167"/>
      <c r="AKT35" s="167"/>
      <c r="AKU35" s="170"/>
      <c r="AKV35" s="167"/>
      <c r="AKW35" s="167"/>
      <c r="AKX35" s="167"/>
      <c r="AKY35" s="167"/>
      <c r="AKZ35" s="167"/>
      <c r="ALA35" s="169"/>
      <c r="ALB35" s="167"/>
      <c r="ALC35" s="167"/>
      <c r="ALD35" s="167"/>
      <c r="ALE35" s="167"/>
      <c r="ALF35" s="167"/>
      <c r="ALG35" s="170"/>
      <c r="ALH35" s="166"/>
      <c r="ALI35" s="166"/>
      <c r="ALJ35" s="166"/>
      <c r="ALK35" s="166"/>
      <c r="ALL35" s="167"/>
      <c r="ALM35" s="16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165"/>
      <c r="AMM35" s="166"/>
      <c r="AMN35" s="166"/>
      <c r="AMO35" s="166"/>
      <c r="AMP35" s="167"/>
      <c r="AMQ35" s="168"/>
      <c r="AMR35" s="167"/>
      <c r="AMS35" s="167"/>
      <c r="AMT35" s="167"/>
      <c r="AMU35" s="167"/>
      <c r="AMV35" s="167"/>
      <c r="AMW35" s="169"/>
      <c r="AMX35" s="167"/>
      <c r="AMY35" s="167"/>
      <c r="AMZ35" s="167"/>
      <c r="ANA35" s="167"/>
      <c r="ANB35" s="167"/>
      <c r="ANC35" s="170"/>
      <c r="AND35" s="167"/>
      <c r="ANE35" s="167"/>
      <c r="ANF35" s="167"/>
      <c r="ANG35" s="167"/>
      <c r="ANH35" s="167"/>
      <c r="ANI35" s="169"/>
      <c r="ANJ35" s="167"/>
      <c r="ANK35" s="167"/>
      <c r="ANL35" s="167"/>
      <c r="ANM35" s="167"/>
      <c r="ANN35" s="167"/>
      <c r="ANO35" s="170"/>
      <c r="ANP35" s="166"/>
      <c r="ANQ35" s="166"/>
      <c r="ANR35" s="166"/>
      <c r="ANS35" s="166"/>
      <c r="ANT35" s="167"/>
      <c r="ANU35" s="16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08"/>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07"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08"/>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07" t="s">
        <v>143</v>
      </c>
      <c r="D39" s="146" t="str">
        <f t="shared" si="0"/>
        <v>15h45min</v>
      </c>
      <c r="E39" s="39">
        <v>189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165"/>
      <c r="AOU39" s="166"/>
      <c r="AOV39" s="166"/>
      <c r="AOW39" s="166"/>
      <c r="AOX39" s="167"/>
      <c r="AOY39" s="168"/>
      <c r="AOZ39" s="167"/>
      <c r="APA39" s="167"/>
      <c r="APB39" s="167"/>
      <c r="APC39" s="167"/>
      <c r="APD39" s="167"/>
      <c r="APE39" s="169"/>
      <c r="APF39" s="167"/>
      <c r="APG39" s="167"/>
      <c r="APH39" s="167"/>
      <c r="API39" s="167"/>
      <c r="APJ39" s="167"/>
      <c r="APK39" s="170"/>
      <c r="APL39" s="167"/>
      <c r="APM39" s="167"/>
      <c r="APN39" s="167"/>
      <c r="APO39" s="167"/>
      <c r="APP39" s="167"/>
      <c r="APQ39" s="169"/>
      <c r="APR39" s="167"/>
      <c r="APS39" s="167"/>
      <c r="APT39" s="167"/>
      <c r="APU39" s="167"/>
      <c r="APV39" s="167"/>
      <c r="APW39" s="170"/>
      <c r="APX39" s="166"/>
      <c r="APY39" s="166"/>
      <c r="APZ39" s="166"/>
      <c r="AQA39" s="166"/>
      <c r="AQB39" s="167"/>
      <c r="AQC39" s="16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65"/>
      <c r="ARC39" s="166"/>
      <c r="ARD39" s="166"/>
      <c r="ARE39" s="166"/>
      <c r="ARF39" s="167"/>
      <c r="ARG39" s="168"/>
      <c r="ARH39" s="167"/>
      <c r="ARI39" s="167"/>
      <c r="ARJ39" s="167"/>
      <c r="ARK39" s="167"/>
      <c r="ARL39" s="167"/>
      <c r="ARM39" s="169"/>
      <c r="ARN39" s="167"/>
      <c r="ARO39" s="167"/>
      <c r="ARP39" s="167"/>
      <c r="ARQ39" s="167"/>
      <c r="ARR39" s="167"/>
      <c r="ARS39" s="170"/>
      <c r="ART39" s="167"/>
      <c r="ARU39" s="167"/>
      <c r="ARV39" s="167"/>
      <c r="ARW39" s="167"/>
      <c r="ARX39" s="167"/>
      <c r="ARY39" s="169"/>
      <c r="ARZ39" s="167"/>
      <c r="ASA39" s="167"/>
      <c r="ASB39" s="167"/>
      <c r="ASC39" s="167"/>
      <c r="ASD39" s="167"/>
      <c r="ASE39" s="170"/>
      <c r="ASF39" s="166"/>
      <c r="ASG39" s="166"/>
      <c r="ASH39" s="166"/>
      <c r="ASI39" s="166"/>
      <c r="ASJ39" s="167"/>
      <c r="ASK39" s="169"/>
      <c r="ASL39" s="167"/>
      <c r="ASM39" s="167"/>
      <c r="ASN39" s="167"/>
      <c r="ASO39" s="167"/>
      <c r="ASP39" s="167"/>
      <c r="ASQ39" s="170"/>
      <c r="ASR39" s="167"/>
      <c r="ASS39" s="167"/>
      <c r="AST39" s="167"/>
      <c r="ASU39" s="41"/>
      <c r="ASV39" s="41"/>
      <c r="ASW39" s="139"/>
      <c r="ASX39" s="41"/>
      <c r="ASY39" s="41"/>
      <c r="ASZ39" s="41"/>
      <c r="ATA39" s="41"/>
      <c r="ATB39" s="41"/>
      <c r="ATC39" s="76"/>
      <c r="ATD39" s="41"/>
      <c r="ATE39" s="41"/>
      <c r="ATF39" s="41"/>
      <c r="ATG39" s="41"/>
      <c r="ATH39" s="41"/>
      <c r="ATI39" s="42"/>
      <c r="ATJ39" s="165"/>
      <c r="ATK39" s="166"/>
      <c r="ATL39" s="166"/>
      <c r="ATM39" s="166"/>
      <c r="ATN39" s="167"/>
      <c r="ATO39" s="168"/>
      <c r="ATP39" s="167"/>
      <c r="ATQ39" s="167"/>
      <c r="ATR39" s="167"/>
      <c r="ATS39" s="167"/>
      <c r="ATT39" s="167"/>
      <c r="ATU39" s="169"/>
      <c r="ATV39" s="167"/>
      <c r="ATW39" s="167"/>
      <c r="ATX39" s="167"/>
      <c r="ATY39" s="167"/>
      <c r="ATZ39" s="167"/>
      <c r="AUA39" s="170"/>
      <c r="AUB39" s="167"/>
      <c r="AUC39" s="167"/>
      <c r="AUD39" s="167"/>
      <c r="AUE39" s="167"/>
      <c r="AUF39" s="167"/>
      <c r="AUG39" s="169"/>
      <c r="AUH39" s="167"/>
      <c r="AUI39" s="167"/>
      <c r="AUJ39" s="167"/>
      <c r="AUK39" s="167"/>
      <c r="AUL39" s="167"/>
      <c r="AUM39" s="170"/>
      <c r="AUN39" s="166"/>
      <c r="AUO39" s="166"/>
      <c r="AUP39" s="166"/>
      <c r="AUQ39" s="166"/>
      <c r="AUR39" s="167"/>
      <c r="AUS39" s="16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65"/>
      <c r="AVS39" s="166"/>
      <c r="AVT39" s="166"/>
      <c r="AVU39" s="166"/>
      <c r="AVV39" s="167"/>
      <c r="AVW39" s="168"/>
      <c r="AVX39" s="167"/>
      <c r="AVY39" s="167"/>
      <c r="AVZ39" s="167"/>
      <c r="AWA39" s="167"/>
      <c r="AWB39" s="167"/>
      <c r="AWC39" s="169"/>
      <c r="AWD39" s="167"/>
      <c r="AWE39" s="167"/>
      <c r="AWF39" s="167"/>
      <c r="AWG39" s="167"/>
      <c r="AWH39" s="167"/>
      <c r="AWI39" s="170"/>
      <c r="AWJ39" s="167"/>
      <c r="AWK39" s="167"/>
      <c r="AWL39" s="167"/>
      <c r="AWM39" s="167"/>
      <c r="AWN39" s="167"/>
      <c r="AWO39" s="169"/>
      <c r="AWP39" s="167"/>
      <c r="AWQ39" s="167"/>
      <c r="AWR39" s="167"/>
      <c r="AWS39" s="167"/>
      <c r="AWT39" s="167"/>
      <c r="AWU39" s="170"/>
      <c r="AWV39" s="166"/>
      <c r="AWW39" s="166"/>
      <c r="AWX39" s="166"/>
      <c r="AWY39" s="166"/>
      <c r="AWZ39" s="167"/>
      <c r="AXA39" s="169"/>
      <c r="AXB39" s="167"/>
      <c r="AXC39" s="167"/>
      <c r="AXD39" s="167"/>
      <c r="AXE39" s="167"/>
      <c r="AXF39" s="167"/>
      <c r="AXG39" s="170"/>
      <c r="AXH39" s="167"/>
      <c r="AXI39" s="167"/>
      <c r="AXJ39" s="167"/>
      <c r="AXK39" s="41"/>
      <c r="AXL39" s="41"/>
      <c r="AXM39" s="139"/>
      <c r="AXN39" s="41"/>
      <c r="AXO39" s="41"/>
      <c r="AXP39" s="41"/>
      <c r="AXQ39" s="41"/>
      <c r="AXR39" s="41"/>
      <c r="AXS39" s="76"/>
      <c r="AXT39" s="41"/>
      <c r="AXU39" s="41"/>
      <c r="AXV39" s="41"/>
      <c r="AXW39" s="41"/>
      <c r="AXX39" s="41"/>
      <c r="AXY39" s="42"/>
      <c r="AXZ39" s="165"/>
      <c r="AYA39" s="166"/>
      <c r="AYB39" s="166"/>
      <c r="AYC39" s="166"/>
      <c r="AYD39" s="167"/>
      <c r="AYE39" s="168"/>
      <c r="AYF39" s="167"/>
      <c r="AYG39" s="167"/>
      <c r="AYH39" s="167"/>
      <c r="AYI39" s="167"/>
      <c r="AYJ39" s="167"/>
      <c r="AYK39" s="169"/>
      <c r="AYL39" s="167"/>
      <c r="AYM39" s="167"/>
      <c r="AYN39" s="167"/>
      <c r="AYO39" s="167"/>
      <c r="AYP39" s="167"/>
      <c r="AYQ39" s="170"/>
      <c r="AYR39" s="167"/>
      <c r="AYS39" s="167"/>
      <c r="AYT39" s="167"/>
      <c r="AYU39" s="167"/>
      <c r="AYV39" s="167"/>
      <c r="AYW39" s="169"/>
      <c r="AYX39" s="167"/>
      <c r="AYY39" s="167"/>
      <c r="AYZ39" s="167"/>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08"/>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07"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171"/>
      <c r="BAI41" s="172"/>
      <c r="BAJ41" s="172"/>
      <c r="BAK41" s="172"/>
      <c r="BAL41" s="173"/>
      <c r="BAM41" s="174"/>
      <c r="BAN41" s="173"/>
      <c r="BAO41" s="173"/>
      <c r="BAP41" s="173"/>
      <c r="BAQ41" s="173"/>
      <c r="BAR41" s="173"/>
      <c r="BAS41" s="175"/>
      <c r="BAT41" s="173"/>
      <c r="BAU41" s="173"/>
      <c r="BAV41" s="173"/>
      <c r="BAW41" s="173"/>
      <c r="BAX41" s="173"/>
      <c r="BAY41" s="176"/>
      <c r="BAZ41" s="173"/>
      <c r="BBA41" s="173"/>
      <c r="BBB41" s="173"/>
      <c r="BBC41" s="173"/>
      <c r="BBD41" s="173"/>
      <c r="BBE41" s="175"/>
      <c r="BBF41" s="173"/>
      <c r="BBG41" s="173"/>
      <c r="BBH41" s="173"/>
      <c r="BBI41" s="173"/>
      <c r="BBJ41" s="173"/>
      <c r="BBK41" s="176"/>
      <c r="BBL41" s="172"/>
      <c r="BBM41" s="172"/>
      <c r="BBN41" s="172"/>
      <c r="BBO41" s="172"/>
      <c r="BBP41" s="173"/>
      <c r="BBQ41" s="175"/>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171"/>
      <c r="BCQ41" s="172"/>
      <c r="BCR41" s="172"/>
      <c r="BCS41" s="172"/>
      <c r="BCT41" s="173"/>
      <c r="BCU41" s="174"/>
      <c r="BCV41" s="173"/>
      <c r="BCW41" s="173"/>
      <c r="BCX41" s="173"/>
      <c r="BCY41" s="173"/>
      <c r="BCZ41" s="173"/>
      <c r="BDA41" s="175"/>
      <c r="BDB41" s="173"/>
      <c r="BDC41" s="173"/>
      <c r="BDD41" s="173"/>
      <c r="BDE41" s="173"/>
      <c r="BDF41" s="173"/>
      <c r="BDG41" s="176"/>
      <c r="BDH41" s="173"/>
      <c r="BDI41" s="173"/>
      <c r="BDJ41" s="173"/>
      <c r="BDK41" s="173"/>
      <c r="BDL41" s="173"/>
      <c r="BDM41" s="175"/>
      <c r="BDN41" s="173"/>
      <c r="BDO41" s="173"/>
      <c r="BDP41" s="173"/>
      <c r="BDQ41" s="173"/>
      <c r="BDR41" s="173"/>
      <c r="BDS41" s="176"/>
      <c r="BDT41" s="172"/>
      <c r="BDU41" s="172"/>
      <c r="BDV41" s="172"/>
      <c r="BDW41" s="172"/>
      <c r="BDX41" s="173"/>
      <c r="BDY41" s="175"/>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171"/>
      <c r="BEY41" s="172"/>
      <c r="BEZ41" s="172"/>
      <c r="BFA41" s="172"/>
      <c r="BFB41" s="173"/>
      <c r="BFC41" s="174"/>
      <c r="BFD41" s="173"/>
      <c r="BFE41" s="173"/>
      <c r="BFF41" s="173"/>
      <c r="BFG41" s="173"/>
      <c r="BFH41" s="173"/>
      <c r="BFI41" s="175"/>
      <c r="BFJ41" s="173"/>
      <c r="BFK41" s="173"/>
      <c r="BFL41" s="173"/>
      <c r="BFM41" s="173"/>
      <c r="BFN41" s="173"/>
      <c r="BFO41" s="176"/>
      <c r="BFP41" s="173"/>
      <c r="BFQ41" s="173"/>
      <c r="BFR41" s="173"/>
      <c r="BFS41" s="173"/>
      <c r="BFT41" s="173"/>
      <c r="BFU41" s="175"/>
      <c r="BFV41" s="173"/>
      <c r="BFW41" s="173"/>
      <c r="BFX41" s="173"/>
      <c r="BFY41" s="173"/>
      <c r="BFZ41" s="173"/>
      <c r="BGA41" s="176"/>
      <c r="BGB41" s="172"/>
      <c r="BGC41" s="172"/>
      <c r="BGD41" s="172"/>
      <c r="BGE41" s="172"/>
      <c r="BGF41" s="173"/>
      <c r="BGG41" s="175"/>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08"/>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07" t="s">
        <v>53</v>
      </c>
      <c r="D43" s="146" t="str">
        <f t="shared" si="0"/>
        <v>13h</v>
      </c>
      <c r="E43" s="31">
        <v>156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71"/>
      <c r="BLW43" s="172"/>
      <c r="BLX43" s="172"/>
      <c r="BLY43" s="172"/>
      <c r="BLZ43" s="173"/>
      <c r="BMA43" s="174"/>
      <c r="BMB43" s="173"/>
      <c r="BMC43" s="173"/>
      <c r="BMD43" s="173"/>
      <c r="BME43" s="173"/>
      <c r="BMF43" s="173"/>
      <c r="BMG43" s="175"/>
      <c r="BMH43" s="173"/>
      <c r="BMI43" s="173"/>
      <c r="BMJ43" s="173"/>
      <c r="BMK43" s="173"/>
      <c r="BML43" s="173"/>
      <c r="BMM43" s="176"/>
      <c r="BMN43" s="173"/>
      <c r="BMO43" s="173"/>
      <c r="BMP43" s="173"/>
      <c r="BMQ43" s="173"/>
      <c r="BMR43" s="173"/>
      <c r="BMS43" s="175"/>
      <c r="BMT43" s="173"/>
      <c r="BMU43" s="173"/>
      <c r="BMV43" s="173"/>
      <c r="BMW43" s="173"/>
      <c r="BMX43" s="173"/>
      <c r="BMY43" s="176"/>
      <c r="BMZ43" s="172"/>
      <c r="BNA43" s="172"/>
      <c r="BNB43" s="172"/>
      <c r="BNC43" s="172"/>
      <c r="BND43" s="173"/>
      <c r="BNE43" s="175"/>
      <c r="BNF43" s="173"/>
      <c r="BNG43" s="173"/>
      <c r="BNH43" s="173"/>
      <c r="BNI43" s="173"/>
      <c r="BNJ43" s="173"/>
      <c r="BNK43" s="176"/>
      <c r="BNL43" s="173"/>
      <c r="BNM43" s="173"/>
      <c r="BNN43" s="173"/>
      <c r="BNO43" s="33"/>
      <c r="BNP43" s="33"/>
      <c r="BNQ43" s="137"/>
      <c r="BNR43" s="33"/>
      <c r="BNS43" s="33"/>
      <c r="BNT43" s="33"/>
      <c r="BNU43" s="33"/>
      <c r="BNV43" s="33"/>
      <c r="BNW43" s="74"/>
      <c r="BNX43" s="33"/>
      <c r="BNY43" s="33"/>
      <c r="BNZ43" s="33"/>
      <c r="BOA43" s="33"/>
      <c r="BOB43" s="33"/>
      <c r="BOC43" s="34"/>
      <c r="BOD43" s="171"/>
      <c r="BOE43" s="172"/>
      <c r="BOF43" s="172"/>
      <c r="BOG43" s="172"/>
      <c r="BOH43" s="173"/>
      <c r="BOI43" s="174"/>
      <c r="BOJ43" s="173"/>
      <c r="BOK43" s="173"/>
      <c r="BOL43" s="173"/>
      <c r="BOM43" s="173"/>
      <c r="BON43" s="173"/>
      <c r="BOO43" s="175"/>
      <c r="BOP43" s="173"/>
      <c r="BOQ43" s="173"/>
      <c r="BOR43" s="173"/>
      <c r="BOS43" s="173"/>
      <c r="BOT43" s="173"/>
      <c r="BOU43" s="176"/>
      <c r="BOV43" s="173"/>
      <c r="BOW43" s="173"/>
      <c r="BOX43" s="173"/>
      <c r="BOY43" s="173"/>
      <c r="BOZ43" s="173"/>
      <c r="BPA43" s="175"/>
      <c r="BPB43" s="173"/>
      <c r="BPC43" s="173"/>
      <c r="BPD43" s="17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71"/>
      <c r="BQM43" s="172"/>
      <c r="BQN43" s="172"/>
      <c r="BQO43" s="172"/>
      <c r="BQP43" s="173"/>
      <c r="BQQ43" s="174"/>
      <c r="BQR43" s="173"/>
      <c r="BQS43" s="173"/>
      <c r="BQT43" s="173"/>
      <c r="BQU43" s="173"/>
      <c r="BQV43" s="173"/>
      <c r="BQW43" s="175"/>
      <c r="BQX43" s="173"/>
      <c r="BQY43" s="173"/>
      <c r="BQZ43" s="173"/>
      <c r="BRA43" s="173"/>
      <c r="BRB43" s="173"/>
      <c r="BRC43" s="176"/>
      <c r="BRD43" s="173"/>
      <c r="BRE43" s="173"/>
      <c r="BRF43" s="173"/>
      <c r="BRG43" s="173"/>
      <c r="BRH43" s="173"/>
      <c r="BRI43" s="175"/>
      <c r="BRJ43" s="173"/>
      <c r="BRK43" s="173"/>
      <c r="BRL43" s="173"/>
      <c r="BRM43" s="173"/>
      <c r="BRN43" s="173"/>
      <c r="BRO43" s="176"/>
      <c r="BRP43" s="172"/>
      <c r="BRQ43" s="172"/>
      <c r="BRR43" s="172"/>
      <c r="BRS43" s="172"/>
      <c r="BRT43" s="173"/>
      <c r="BRU43" s="175"/>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171"/>
      <c r="BSU43" s="172"/>
      <c r="BSV43" s="172"/>
      <c r="BSW43" s="172"/>
      <c r="BSX43" s="173"/>
      <c r="BSY43" s="174"/>
      <c r="BSZ43" s="173"/>
      <c r="BTA43" s="173"/>
      <c r="BTB43" s="173"/>
      <c r="BTC43" s="173"/>
      <c r="BTD43" s="173"/>
      <c r="BTE43" s="175"/>
      <c r="BTF43" s="173"/>
      <c r="BTG43" s="173"/>
      <c r="BTH43" s="173"/>
      <c r="BTI43" s="173"/>
      <c r="BTJ43" s="173"/>
      <c r="BTK43" s="176"/>
      <c r="BTL43" s="173"/>
      <c r="BTM43" s="173"/>
      <c r="BTN43" s="173"/>
      <c r="BTO43" s="173"/>
      <c r="BTP43" s="173"/>
      <c r="BTQ43" s="175"/>
      <c r="BTR43" s="173"/>
      <c r="BTS43" s="173"/>
      <c r="BTT43" s="173"/>
      <c r="BTU43" s="173"/>
      <c r="BTV43" s="173"/>
      <c r="BTW43" s="176"/>
      <c r="BTX43" s="172"/>
      <c r="BTY43" s="172"/>
      <c r="BTZ43" s="172"/>
      <c r="BUA43" s="172"/>
      <c r="BUB43" s="173"/>
      <c r="BUC43" s="175"/>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171"/>
      <c r="BVC43" s="172"/>
      <c r="BVD43" s="172"/>
      <c r="BVE43" s="172"/>
      <c r="BVF43" s="173"/>
      <c r="BVG43" s="174"/>
      <c r="BVH43" s="173"/>
      <c r="BVI43" s="173"/>
      <c r="BVJ43" s="173"/>
      <c r="BVK43" s="173"/>
      <c r="BVL43" s="173"/>
      <c r="BVM43" s="175"/>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09"/>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07"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07" t="s">
        <v>165</v>
      </c>
      <c r="D47" s="146" t="str">
        <f t="shared" si="0"/>
        <v>2h</v>
      </c>
      <c r="E47" s="39">
        <v>24</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167"/>
      <c r="BVO47" s="167"/>
      <c r="BVP47" s="167"/>
      <c r="BVQ47" s="167"/>
      <c r="BVR47" s="167"/>
      <c r="BVS47" s="170"/>
      <c r="BVT47" s="167"/>
      <c r="BVU47" s="167"/>
      <c r="BVV47" s="167"/>
      <c r="BVW47" s="167"/>
      <c r="BVX47" s="167"/>
      <c r="BVY47" s="169"/>
      <c r="BVZ47" s="167"/>
      <c r="BWA47" s="167"/>
      <c r="BWB47" s="167"/>
      <c r="BWC47" s="167"/>
      <c r="BWD47" s="167"/>
      <c r="BWE47" s="170"/>
      <c r="BWF47" s="166"/>
      <c r="BWG47" s="166"/>
      <c r="BWH47" s="166"/>
      <c r="BWI47" s="166"/>
      <c r="BWJ47" s="167"/>
      <c r="BWK47" s="16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07"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71"/>
      <c r="BXK49" s="172"/>
      <c r="BXL49" s="172"/>
      <c r="BXM49" s="172"/>
      <c r="BXN49" s="173"/>
      <c r="BXO49" s="174"/>
      <c r="BXP49" s="173"/>
      <c r="BXQ49" s="173"/>
      <c r="BXR49" s="173"/>
      <c r="BXS49" s="173"/>
      <c r="BXT49" s="173"/>
      <c r="BXU49" s="175"/>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0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07"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67"/>
      <c r="BXW51" s="167"/>
      <c r="BXX51" s="167"/>
      <c r="BXY51" s="167"/>
      <c r="BXZ51" s="167"/>
      <c r="BYA51" s="170"/>
      <c r="BYB51" s="167"/>
      <c r="BYC51" s="167"/>
      <c r="BYD51" s="167"/>
      <c r="BYE51" s="167"/>
      <c r="BYF51" s="167"/>
      <c r="BYG51" s="169"/>
      <c r="BYH51" s="167"/>
      <c r="BYI51" s="167"/>
      <c r="BYJ51" s="167"/>
      <c r="BYK51" s="167"/>
      <c r="BYL51" s="167"/>
      <c r="BYM51" s="170"/>
      <c r="BYN51" s="166"/>
      <c r="BYO51" s="166"/>
      <c r="BYP51" s="166"/>
      <c r="BYQ51" s="166"/>
      <c r="BYR51" s="167"/>
      <c r="BYS51" s="169"/>
      <c r="BYT51" s="167"/>
      <c r="BYU51" s="167"/>
      <c r="BYV51" s="167"/>
      <c r="BYW51" s="167"/>
      <c r="BYX51" s="167"/>
      <c r="BYY51" s="170"/>
      <c r="BYZ51" s="167"/>
      <c r="BZA51" s="167"/>
      <c r="BZB51" s="167"/>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09"/>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07"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71"/>
      <c r="CCA53" s="172"/>
      <c r="CCB53" s="172"/>
      <c r="CCC53" s="172"/>
      <c r="CCD53" s="173"/>
      <c r="CCE53" s="174"/>
      <c r="CCF53" s="173"/>
      <c r="CCG53" s="173"/>
      <c r="CCH53" s="173"/>
      <c r="CCI53" s="173"/>
      <c r="CCJ53" s="173"/>
      <c r="CCK53" s="175"/>
      <c r="CCL53" s="173"/>
      <c r="CCM53" s="173"/>
      <c r="CCN53" s="173"/>
      <c r="CCO53" s="173"/>
      <c r="CCP53" s="173"/>
      <c r="CCQ53" s="176"/>
      <c r="CCR53" s="173"/>
      <c r="CCS53" s="173"/>
      <c r="CCT53" s="173"/>
      <c r="CCU53" s="173"/>
      <c r="CCV53" s="173"/>
      <c r="CCW53" s="175"/>
      <c r="CCX53" s="173"/>
      <c r="CCY53" s="173"/>
      <c r="CCZ53" s="173"/>
      <c r="CDA53" s="173"/>
      <c r="CDB53" s="173"/>
      <c r="CDC53" s="176"/>
      <c r="CDD53" s="172"/>
      <c r="CDE53" s="172"/>
      <c r="CDF53" s="172"/>
      <c r="CDG53" s="172"/>
      <c r="CDH53" s="173"/>
      <c r="CDI53" s="175"/>
      <c r="CDJ53" s="173"/>
      <c r="CDK53" s="173"/>
      <c r="CDL53" s="173"/>
      <c r="CDM53" s="173"/>
      <c r="CDN53" s="173"/>
      <c r="CDO53" s="176"/>
      <c r="CDP53" s="173"/>
      <c r="CDQ53" s="173"/>
      <c r="CDR53" s="173"/>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09"/>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07" t="s">
        <v>58</v>
      </c>
      <c r="D55" s="146" t="str">
        <f t="shared" si="0"/>
        <v>27h45min</v>
      </c>
      <c r="E55" s="39">
        <v>333</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165"/>
      <c r="AAY55" s="166"/>
      <c r="AAZ55" s="166"/>
      <c r="ABA55" s="166"/>
      <c r="ABB55" s="167"/>
      <c r="ABC55" s="168"/>
      <c r="ABD55" s="167"/>
      <c r="ABE55" s="167"/>
      <c r="ABF55" s="167"/>
      <c r="ABG55" s="167"/>
      <c r="ABH55" s="167"/>
      <c r="ABI55" s="169"/>
      <c r="ABJ55" s="167"/>
      <c r="ABK55" s="167"/>
      <c r="ABL55" s="167"/>
      <c r="ABM55" s="167"/>
      <c r="ABN55" s="167"/>
      <c r="ABO55" s="170"/>
      <c r="ABP55" s="167"/>
      <c r="ABQ55" s="167"/>
      <c r="ABR55" s="167"/>
      <c r="ABS55" s="167"/>
      <c r="ABT55" s="167"/>
      <c r="ABU55" s="169"/>
      <c r="ABV55" s="167"/>
      <c r="ABW55" s="167"/>
      <c r="ABX55" s="167"/>
      <c r="ABY55" s="167"/>
      <c r="ABZ55" s="167"/>
      <c r="ACA55" s="170"/>
      <c r="ACB55" s="166"/>
      <c r="ACC55" s="166"/>
      <c r="ACD55" s="166"/>
      <c r="ACE55" s="166"/>
      <c r="ACF55" s="167"/>
      <c r="ACG55" s="169"/>
      <c r="ACH55" s="167"/>
      <c r="ACI55" s="167"/>
      <c r="ACJ55" s="167"/>
      <c r="ACK55" s="167"/>
      <c r="ACL55" s="167"/>
      <c r="ACM55" s="170"/>
      <c r="ACN55" s="167"/>
      <c r="ACO55" s="167"/>
      <c r="ACP55" s="167"/>
      <c r="ACQ55" s="41"/>
      <c r="ACR55" s="41"/>
      <c r="ACS55" s="139"/>
      <c r="ACT55" s="41"/>
      <c r="ACU55" s="41"/>
      <c r="ACV55" s="41"/>
      <c r="ACW55" s="41"/>
      <c r="ACX55" s="41"/>
      <c r="ACY55" s="76"/>
      <c r="ACZ55" s="41"/>
      <c r="ADA55" s="41"/>
      <c r="ADB55" s="41"/>
      <c r="ADC55" s="41"/>
      <c r="ADD55" s="41"/>
      <c r="ADE55" s="42"/>
      <c r="ADF55" s="165"/>
      <c r="ADG55" s="166"/>
      <c r="ADH55" s="166"/>
      <c r="ADI55" s="166"/>
      <c r="ADJ55" s="167"/>
      <c r="ADK55" s="168"/>
      <c r="ADL55" s="167"/>
      <c r="ADM55" s="167"/>
      <c r="ADN55" s="167"/>
      <c r="ADO55" s="167"/>
      <c r="ADP55" s="167"/>
      <c r="ADQ55" s="169"/>
      <c r="ADR55" s="167"/>
      <c r="ADS55" s="167"/>
      <c r="ADT55" s="167"/>
      <c r="ADU55" s="167"/>
      <c r="ADV55" s="167"/>
      <c r="ADW55" s="170"/>
      <c r="ADX55" s="167"/>
      <c r="ADY55" s="167"/>
      <c r="ADZ55" s="167"/>
      <c r="AEA55" s="167"/>
      <c r="AEB55" s="167"/>
      <c r="AEC55" s="169"/>
      <c r="AED55" s="167"/>
      <c r="AEE55" s="167"/>
      <c r="AEF55" s="167"/>
      <c r="AEG55" s="167"/>
      <c r="AEH55" s="167"/>
      <c r="AEI55" s="170"/>
      <c r="AEJ55" s="166"/>
      <c r="AEK55" s="166"/>
      <c r="AEL55" s="166"/>
      <c r="AEM55" s="166"/>
      <c r="AEN55" s="167"/>
      <c r="AEO55" s="16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7"/>
      <c r="BHK55" s="168"/>
      <c r="BHL55" s="167"/>
      <c r="BHM55" s="167"/>
      <c r="BHN55" s="167"/>
      <c r="BHO55" s="167"/>
      <c r="BHP55" s="167"/>
      <c r="BHQ55" s="169"/>
      <c r="BHR55" s="167"/>
      <c r="BHS55" s="167"/>
      <c r="BHT55" s="167"/>
      <c r="BHU55" s="167"/>
      <c r="BHV55" s="167"/>
      <c r="BHW55" s="170"/>
      <c r="BHX55" s="167"/>
      <c r="BHY55" s="167"/>
      <c r="BHZ55" s="167"/>
      <c r="BIA55" s="167"/>
      <c r="BIB55" s="167"/>
      <c r="BIC55" s="169"/>
      <c r="BID55" s="167"/>
      <c r="BIE55" s="167"/>
      <c r="BIF55" s="167"/>
      <c r="BIG55" s="167"/>
      <c r="BIH55" s="167"/>
      <c r="BII55" s="170"/>
      <c r="BIJ55" s="166"/>
      <c r="BIK55" s="166"/>
      <c r="BIL55" s="166"/>
      <c r="BIM55" s="166"/>
      <c r="BIN55" s="167"/>
      <c r="BIO55" s="169"/>
      <c r="BIP55" s="167"/>
      <c r="BIQ55" s="167"/>
      <c r="BIR55" s="167"/>
      <c r="BIS55" s="167"/>
      <c r="BIT55" s="167"/>
      <c r="BIU55" s="170"/>
      <c r="BIV55" s="167"/>
      <c r="BIW55" s="167"/>
      <c r="BIX55" s="167"/>
      <c r="BIY55" s="41"/>
      <c r="BIZ55" s="41"/>
      <c r="BJA55" s="139"/>
      <c r="BJB55" s="41"/>
      <c r="BJC55" s="41"/>
      <c r="BJD55" s="41"/>
      <c r="BJE55" s="41"/>
      <c r="BJF55" s="41"/>
      <c r="BJG55" s="76"/>
      <c r="BJH55" s="41"/>
      <c r="BJI55" s="41"/>
      <c r="BJJ55" s="41"/>
      <c r="BJK55" s="41"/>
      <c r="BJL55" s="41"/>
      <c r="BJM55" s="42"/>
      <c r="BJN55" s="165"/>
      <c r="BJO55" s="166"/>
      <c r="BJP55" s="166"/>
      <c r="BJQ55" s="166"/>
      <c r="BJR55" s="167"/>
      <c r="BJS55" s="168"/>
      <c r="BJT55" s="167"/>
      <c r="BJU55" s="167"/>
      <c r="BJV55" s="167"/>
      <c r="BJW55" s="167"/>
      <c r="BJX55" s="167"/>
      <c r="BJY55" s="169"/>
      <c r="BJZ55" s="167"/>
      <c r="BKA55" s="167"/>
      <c r="BKB55" s="167"/>
      <c r="BKC55" s="167"/>
      <c r="BKD55" s="167"/>
      <c r="BKE55" s="170"/>
      <c r="BKF55" s="167"/>
      <c r="BKG55" s="167"/>
      <c r="BKH55" s="167"/>
      <c r="BKI55" s="167"/>
      <c r="BKJ55" s="167"/>
      <c r="BKK55" s="169"/>
      <c r="BKL55" s="167"/>
      <c r="BKM55" s="167"/>
      <c r="BKN55" s="167"/>
      <c r="BKO55" s="167"/>
      <c r="BKP55" s="167"/>
      <c r="BKQ55" s="170"/>
      <c r="BKR55" s="166"/>
      <c r="BKS55" s="166"/>
      <c r="BKT55" s="166"/>
      <c r="BKU55" s="166"/>
      <c r="BKV55" s="167"/>
      <c r="BKW55" s="16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65"/>
      <c r="BZS55" s="166"/>
      <c r="BZT55" s="166"/>
      <c r="BZU55" s="166"/>
      <c r="BZV55" s="167"/>
      <c r="BZW55" s="168"/>
      <c r="BZX55" s="167"/>
      <c r="BZY55" s="167"/>
      <c r="BZZ55" s="167"/>
      <c r="CAA55" s="167"/>
      <c r="CAB55" s="167"/>
      <c r="CAC55" s="169"/>
      <c r="CAD55" s="167"/>
      <c r="CAE55" s="167"/>
      <c r="CAF55" s="167"/>
      <c r="CAG55" s="167"/>
      <c r="CAH55" s="167"/>
      <c r="CAI55" s="170"/>
      <c r="CAJ55" s="167"/>
      <c r="CAK55" s="167"/>
      <c r="CAL55" s="167"/>
      <c r="CAM55" s="167"/>
      <c r="CAN55" s="167"/>
      <c r="CAO55" s="169"/>
      <c r="CAP55" s="167"/>
      <c r="CAQ55" s="167"/>
      <c r="CAR55" s="167"/>
      <c r="CAS55" s="167"/>
      <c r="CAT55" s="167"/>
      <c r="CAU55" s="170"/>
      <c r="CAV55" s="166"/>
      <c r="CAW55" s="166"/>
      <c r="CAX55" s="166"/>
      <c r="CAY55" s="166"/>
      <c r="CAZ55" s="167"/>
      <c r="CBA55" s="16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65"/>
      <c r="CEI55" s="166"/>
      <c r="CEJ55" s="166"/>
      <c r="CEK55" s="166"/>
      <c r="CEL55" s="167"/>
      <c r="CEM55" s="168"/>
      <c r="CEN55" s="167"/>
      <c r="CEO55" s="167"/>
      <c r="CEP55" s="167"/>
      <c r="CEQ55" s="167"/>
      <c r="CER55" s="167"/>
      <c r="CES55" s="169"/>
      <c r="CET55" s="167"/>
      <c r="CEU55" s="167"/>
      <c r="CEV55" s="167"/>
      <c r="CEW55" s="167"/>
      <c r="CEX55" s="167"/>
      <c r="CEY55" s="170"/>
      <c r="CEZ55" s="167"/>
      <c r="CFA55" s="167"/>
      <c r="CFB55" s="167"/>
      <c r="CFC55" s="167"/>
      <c r="CFD55" s="167"/>
      <c r="CFE55" s="169"/>
      <c r="CFF55" s="167"/>
      <c r="CFG55" s="167"/>
      <c r="CFH55" s="167"/>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65"/>
      <c r="CGQ55" s="166"/>
      <c r="CGR55" s="166"/>
      <c r="CGS55" s="166"/>
      <c r="CGT55" s="167"/>
      <c r="CGU55" s="168"/>
      <c r="CGV55" s="167"/>
      <c r="CGW55" s="167"/>
      <c r="CGX55" s="167"/>
      <c r="CGY55" s="167"/>
      <c r="CGZ55" s="167"/>
      <c r="CHA55" s="169"/>
      <c r="CHB55" s="167"/>
      <c r="CHC55" s="167"/>
      <c r="CHD55" s="167"/>
      <c r="CHE55" s="167"/>
      <c r="CHF55" s="167"/>
      <c r="CHG55" s="170"/>
      <c r="CHH55" s="167"/>
      <c r="CHI55" s="167"/>
      <c r="CHJ55" s="167"/>
      <c r="CHK55" s="167"/>
      <c r="CHL55" s="167"/>
      <c r="CHM55" s="169"/>
      <c r="CHN55" s="167"/>
      <c r="CHO55" s="167"/>
      <c r="CHP55" s="167"/>
      <c r="CHQ55" s="167"/>
      <c r="CHR55" s="167"/>
      <c r="CHS55" s="170"/>
      <c r="CHT55" s="166"/>
      <c r="CHU55" s="166"/>
      <c r="CHV55" s="166"/>
      <c r="CHW55" s="166"/>
      <c r="CHX55" s="167"/>
      <c r="CHY55" s="16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65"/>
      <c r="CIY55" s="166"/>
      <c r="CIZ55" s="166"/>
      <c r="CJA55" s="166"/>
      <c r="CJB55" s="167"/>
      <c r="CJC55" s="168"/>
      <c r="CJD55" s="167"/>
      <c r="CJE55" s="167"/>
      <c r="CJF55" s="167"/>
      <c r="CJG55" s="167"/>
      <c r="CJH55" s="167"/>
      <c r="CJI55" s="169"/>
      <c r="CJJ55" s="167"/>
      <c r="CJK55" s="167"/>
      <c r="CJL55" s="167"/>
      <c r="CJM55" s="167"/>
      <c r="CJN55" s="167"/>
      <c r="CJO55" s="170"/>
      <c r="CJP55" s="167"/>
      <c r="CJQ55" s="167"/>
      <c r="CJR55" s="167"/>
      <c r="CJS55" s="167"/>
      <c r="CJT55" s="167"/>
      <c r="CJU55" s="169"/>
      <c r="CJV55" s="167"/>
      <c r="CJW55" s="167"/>
      <c r="CJX55" s="167"/>
      <c r="CJY55" s="167"/>
      <c r="CJZ55" s="167"/>
      <c r="CKA55" s="170"/>
      <c r="CKB55" s="166"/>
      <c r="CKC55" s="166"/>
      <c r="CKD55" s="166"/>
      <c r="CKE55" s="166"/>
      <c r="CKF55" s="167"/>
      <c r="CKG55" s="16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65"/>
      <c r="CLG55" s="166"/>
      <c r="CLH55" s="166"/>
      <c r="CLI55" s="166"/>
      <c r="CLJ55" s="167"/>
      <c r="CLK55" s="168"/>
      <c r="CLL55" s="167"/>
      <c r="CLM55" s="167"/>
      <c r="CLN55" s="167"/>
      <c r="CLO55" s="167"/>
      <c r="CLP55" s="167"/>
      <c r="CLQ55" s="169"/>
      <c r="CLR55" s="167"/>
      <c r="CLS55" s="167"/>
      <c r="CLT55" s="167"/>
      <c r="CLU55" s="167"/>
      <c r="CLV55" s="167"/>
      <c r="CLW55" s="170"/>
      <c r="CLX55" s="167"/>
      <c r="CLY55" s="167"/>
      <c r="CLZ55" s="167"/>
      <c r="CMA55" s="167"/>
      <c r="CMB55" s="167"/>
      <c r="CMC55" s="169"/>
      <c r="CMD55" s="167"/>
      <c r="CME55" s="167"/>
      <c r="CMF55" s="167"/>
      <c r="CMG55" s="167"/>
      <c r="CMH55" s="167"/>
      <c r="CMI55" s="170"/>
      <c r="CMJ55" s="166"/>
      <c r="CMK55" s="166"/>
      <c r="CML55" s="166"/>
      <c r="CMM55" s="166"/>
      <c r="CMN55" s="167"/>
      <c r="CMO55" s="16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08"/>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07" t="s">
        <v>70</v>
      </c>
      <c r="D57" s="146" t="str">
        <f t="shared" si="0"/>
        <v>1h30min</v>
      </c>
      <c r="E57" s="31">
        <v>18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171"/>
      <c r="BO57" s="172"/>
      <c r="BP57" s="172"/>
      <c r="BQ57" s="172"/>
      <c r="BR57" s="173"/>
      <c r="BS57" s="174"/>
      <c r="BT57" s="173"/>
      <c r="BU57" s="173"/>
      <c r="BV57" s="173"/>
      <c r="BW57" s="173"/>
      <c r="BX57" s="173"/>
      <c r="BY57" s="175"/>
      <c r="BZ57" s="173"/>
      <c r="CA57" s="173"/>
      <c r="CB57" s="173"/>
      <c r="CC57" s="173"/>
      <c r="CD57" s="173"/>
      <c r="CE57" s="176"/>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08"/>
      <c r="D58" s="148" t="str">
        <f t="shared" si="0"/>
        <v>1h30min</v>
      </c>
      <c r="E58" s="35">
        <v>18</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184"/>
      <c r="BO58" s="185"/>
      <c r="BP58" s="185"/>
      <c r="BQ58" s="185"/>
      <c r="BR58" s="186"/>
      <c r="BS58" s="187"/>
      <c r="BT58" s="186"/>
      <c r="BU58" s="186"/>
      <c r="BV58" s="186"/>
      <c r="BW58" s="186"/>
      <c r="BX58" s="186"/>
      <c r="BY58" s="188"/>
      <c r="BZ58" s="186"/>
      <c r="CA58" s="186"/>
      <c r="CB58" s="186"/>
      <c r="CC58" s="186"/>
      <c r="CD58" s="186"/>
      <c r="CE58" s="189"/>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07" t="s">
        <v>156</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65"/>
      <c r="CNO59" s="166"/>
      <c r="CNP59" s="166"/>
      <c r="CNQ59" s="166"/>
      <c r="CNR59" s="167"/>
      <c r="CNS59" s="168"/>
      <c r="CNT59" s="167"/>
      <c r="CNU59" s="167"/>
      <c r="CNV59" s="167"/>
      <c r="CNW59" s="167"/>
      <c r="CNX59" s="167"/>
      <c r="CNY59" s="169"/>
      <c r="CNZ59" s="167"/>
      <c r="COA59" s="167"/>
      <c r="COB59" s="167"/>
      <c r="COC59" s="167"/>
      <c r="COD59" s="167"/>
      <c r="COE59" s="170"/>
      <c r="COF59" s="167"/>
      <c r="COG59" s="167"/>
      <c r="COH59" s="167"/>
      <c r="COI59" s="167"/>
      <c r="COJ59" s="167"/>
      <c r="COK59" s="169"/>
      <c r="COL59" s="167"/>
      <c r="COM59" s="167"/>
      <c r="CON59" s="167"/>
      <c r="COO59" s="167"/>
      <c r="COP59" s="167"/>
      <c r="COQ59" s="170"/>
      <c r="COR59" s="166"/>
      <c r="COS59" s="166"/>
      <c r="COT59" s="166"/>
      <c r="COU59" s="166"/>
      <c r="COV59" s="167"/>
      <c r="COW59" s="169"/>
      <c r="COX59" s="167"/>
      <c r="COY59" s="167"/>
      <c r="COZ59" s="167"/>
      <c r="CPA59" s="167"/>
      <c r="CPB59" s="167"/>
      <c r="CPC59" s="170"/>
      <c r="CPD59" s="167"/>
      <c r="CPE59" s="167"/>
      <c r="CPF59" s="167"/>
      <c r="CPG59" s="41"/>
      <c r="CPH59" s="41"/>
      <c r="CPI59" s="139"/>
      <c r="CPJ59" s="41"/>
      <c r="CPK59" s="41"/>
      <c r="CPL59" s="41"/>
      <c r="CPM59" s="41"/>
      <c r="CPN59" s="41"/>
      <c r="CPO59" s="76"/>
      <c r="CPP59" s="41"/>
      <c r="CPQ59" s="41"/>
      <c r="CPR59" s="41"/>
      <c r="CPS59" s="41"/>
      <c r="CPT59" s="41"/>
      <c r="CPU59" s="42"/>
      <c r="CPV59" s="165"/>
      <c r="CPW59" s="166"/>
      <c r="CPX59" s="166"/>
      <c r="CPY59" s="166"/>
      <c r="CPZ59" s="167"/>
      <c r="CQA59" s="168"/>
      <c r="CQB59" s="167"/>
      <c r="CQC59" s="167"/>
      <c r="CQD59" s="167"/>
      <c r="CQE59" s="167"/>
      <c r="CQF59" s="167"/>
      <c r="CQG59" s="169"/>
      <c r="CQH59" s="167"/>
      <c r="CQI59" s="167"/>
      <c r="CQJ59" s="167"/>
      <c r="CQK59" s="167"/>
      <c r="CQL59" s="167"/>
      <c r="CQM59" s="170"/>
      <c r="CQN59" s="167"/>
      <c r="CQO59" s="167"/>
      <c r="CQP59" s="167"/>
      <c r="CQQ59" s="167"/>
      <c r="CQR59" s="167"/>
      <c r="CQS59" s="169"/>
      <c r="CQT59" s="167"/>
      <c r="CQU59" s="167"/>
      <c r="CQV59" s="167"/>
      <c r="CQW59" s="167"/>
      <c r="CQX59" s="167"/>
      <c r="CQY59" s="170"/>
      <c r="CQZ59" s="166"/>
      <c r="CRA59" s="166"/>
      <c r="CRB59" s="166"/>
      <c r="CRC59" s="166"/>
      <c r="CRD59" s="167"/>
      <c r="CRE59" s="16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09"/>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07"/>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08"/>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07"/>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09"/>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07"/>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09"/>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07"/>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08"/>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07"/>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09"/>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07"/>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08"/>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07"/>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0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07"/>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0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07"/>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07"/>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07"/>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0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07"/>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07"/>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0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07"/>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08"/>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07"/>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09"/>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07"/>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0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07"/>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08"/>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19" t="s">
        <v>9</v>
      </c>
      <c r="D95" s="220"/>
      <c r="E95" s="117">
        <f>SUM(E15,E17,E19,E21,E23,E25,E27,E29,E31,E33,E35,E37,E39,E41,E43,E45,E47,E49,E51,E53,E55,E57,E59,E61,E63,E65,E67,E69,E71,E73,E75,E77,E79,E81,E83,E85,E87,E89,E91,E93)</f>
        <v>1566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21"/>
      <c r="D96" s="222"/>
      <c r="E96" s="123" t="str">
        <f xml:space="preserve"> setValueToTime(E95)</f>
        <v>130h30min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23" t="s">
        <v>10</v>
      </c>
      <c r="D97" s="224"/>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25"/>
      <c r="D98" s="226"/>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tabSelected="1"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156</v>
      </c>
      <c r="B4" s="49">
        <v>36</v>
      </c>
      <c r="C4" s="152" t="str">
        <f xml:space="preserve"> IF(B4="","",setValueToTime(B4))</f>
        <v>3h</v>
      </c>
      <c r="D4" s="50" t="s">
        <v>157</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156</v>
      </c>
      <c r="B16" s="49">
        <v>45</v>
      </c>
      <c r="C16" s="152" t="str">
        <f xml:space="preserve"> IF(B16="","",setValueToTime(B16))</f>
        <v>3h45min</v>
      </c>
      <c r="D16" s="50" t="s">
        <v>157</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49">
        <v>36</v>
      </c>
      <c r="C28" s="152" t="str">
        <f xml:space="preserve"> IF(B28="","",setValueToTime(B28))</f>
        <v>3h</v>
      </c>
      <c r="D28" s="50" t="s">
        <v>154</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49">
        <v>36</v>
      </c>
      <c r="C40" s="152" t="str">
        <f xml:space="preserve"> IF(B40="","",setValueToTime(B40))</f>
        <v>3h</v>
      </c>
      <c r="D40" s="50" t="s">
        <v>154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49">
        <v>36</v>
      </c>
      <c r="C52" s="152" t="str">
        <f xml:space="preserve"> IF(B52="","",setValueToTime(B52))</f>
        <v>3h</v>
      </c>
      <c r="D52" s="50" t="s">
        <v>154</v>
      </c>
      <c r="E52" s="239"/>
      <c r="F52" s="24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49">
        <v>27</v>
      </c>
      <c r="C64" s="152" t="str">
        <f xml:space="preserve"> IF(B64="","",setValueToTime(B64))</f>
        <v>2h15min</v>
      </c>
      <c r="D64" s="50" t="s">
        <v>154</v>
      </c>
      <c r="E64" s="239"/>
      <c r="F64" s="24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27</v>
      </c>
      <c r="B72" s="84">
        <f>SUM(B64:B71)</f>
        <v>27</v>
      </c>
      <c r="C72" s="111" t="str">
        <f xml:space="preserve"> setValueToTime(B72)</f>
        <v>2h15min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49">
        <v>45</v>
      </c>
      <c r="C76" s="152" t="str">
        <f xml:space="preserve"> IF(B76="","",setValueToTime(B76))</f>
        <v>3h45min</v>
      </c>
      <c r="D76" s="50" t="s">
        <v>155</v>
      </c>
      <c r="E76" s="239"/>
      <c r="F76" s="24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49">
        <v>36</v>
      </c>
      <c r="C88" s="152" t="str">
        <f xml:space="preserve"> IF(B88="","",setValueToTime(B88))</f>
        <v>3h</v>
      </c>
      <c r="D88" s="50" t="s">
        <v>153</v>
      </c>
      <c r="E88" s="239"/>
      <c r="F88" s="24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49">
        <v>12</v>
      </c>
      <c r="C100" s="152" t="str">
        <f xml:space="preserve"> IF(B100="","",setValueToTime(B100))</f>
        <v>1h</v>
      </c>
      <c r="D100" s="50" t="s">
        <v>163</v>
      </c>
      <c r="E100" s="239"/>
      <c r="F100" s="240"/>
      <c r="G100" s="51"/>
    </row>
    <row r="101" spans="1:7" s="52" customFormat="1" ht="27" x14ac:dyDescent="0.3">
      <c r="A101" s="53" t="s">
        <v>56</v>
      </c>
      <c r="B101" s="54">
        <v>33</v>
      </c>
      <c r="C101" s="153" t="str">
        <f t="shared" ref="C101:C107" si="8" xml:space="preserve"> IF(B101="","",setValueToTime(B101))</f>
        <v>2h45min</v>
      </c>
      <c r="D101" s="55" t="s">
        <v>161</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37" t="s">
        <v>14</v>
      </c>
      <c r="F111" s="238"/>
      <c r="G111" s="46"/>
    </row>
    <row r="112" spans="1:7" s="52" customFormat="1" ht="40.5" x14ac:dyDescent="0.3">
      <c r="A112" s="48" t="s">
        <v>53</v>
      </c>
      <c r="B112" s="49">
        <v>12</v>
      </c>
      <c r="C112" s="152" t="str">
        <f xml:space="preserve"> IF(B112="","",setValueToTime(B112))</f>
        <v>1h</v>
      </c>
      <c r="D112" s="50" t="s">
        <v>162</v>
      </c>
      <c r="E112" s="239"/>
      <c r="F112" s="240"/>
      <c r="G112" s="51"/>
    </row>
    <row r="113" spans="1:7" s="52" customFormat="1" ht="27" x14ac:dyDescent="0.3">
      <c r="A113" s="53" t="s">
        <v>165</v>
      </c>
      <c r="B113" s="54">
        <v>24</v>
      </c>
      <c r="C113" s="153" t="str">
        <f t="shared" ref="C113:C119" si="9" xml:space="preserve"> IF(B113="","",setValueToTime(B113))</f>
        <v>2h</v>
      </c>
      <c r="D113" s="55" t="s">
        <v>164</v>
      </c>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37" t="s">
        <v>14</v>
      </c>
      <c r="F123" s="238"/>
      <c r="G123" s="46"/>
    </row>
    <row r="124" spans="1:7" s="52" customFormat="1" ht="40.5" x14ac:dyDescent="0.3">
      <c r="A124" s="48" t="s">
        <v>53</v>
      </c>
      <c r="B124" s="49">
        <v>36</v>
      </c>
      <c r="C124" s="152" t="str">
        <f xml:space="preserve"> IF(B124="","",setValueToTime(B124))</f>
        <v>3h</v>
      </c>
      <c r="D124" s="50" t="s">
        <v>152</v>
      </c>
      <c r="E124" s="239"/>
      <c r="F124" s="24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37" t="s">
        <v>14</v>
      </c>
      <c r="F135" s="238"/>
      <c r="G135" s="46"/>
    </row>
    <row r="136" spans="1:7" s="52" customFormat="1" ht="40.5" x14ac:dyDescent="0.3">
      <c r="A136" s="48" t="s">
        <v>53</v>
      </c>
      <c r="B136" s="49">
        <v>36</v>
      </c>
      <c r="C136" s="152" t="str">
        <f xml:space="preserve"> IF(B136="","",setValueToTime(B136))</f>
        <v>3h</v>
      </c>
      <c r="D136" s="50" t="s">
        <v>152</v>
      </c>
      <c r="E136" s="239"/>
      <c r="F136" s="24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37" t="s">
        <v>14</v>
      </c>
      <c r="F147" s="238"/>
      <c r="G147" s="46"/>
    </row>
    <row r="148" spans="1:7" s="52" customFormat="1" ht="40.5" x14ac:dyDescent="0.3">
      <c r="A148" s="48" t="s">
        <v>53</v>
      </c>
      <c r="B148" s="49">
        <v>27</v>
      </c>
      <c r="C148" s="152" t="str">
        <f xml:space="preserve"> IF(B148="","",setValueToTime(B148))</f>
        <v>2h15min</v>
      </c>
      <c r="D148" s="50" t="s">
        <v>150</v>
      </c>
      <c r="E148" s="239"/>
      <c r="F148" s="24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27</v>
      </c>
      <c r="B156" s="84">
        <f>SUM(B148:B155)</f>
        <v>27</v>
      </c>
      <c r="C156" s="111" t="str">
        <f xml:space="preserve"> setValueToTime(B156)</f>
        <v>2h15min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37" t="s">
        <v>14</v>
      </c>
      <c r="F159" s="238"/>
      <c r="G159" s="46"/>
    </row>
    <row r="160" spans="1:7" s="52" customFormat="1" ht="40.5" x14ac:dyDescent="0.3">
      <c r="A160" s="48" t="s">
        <v>53</v>
      </c>
      <c r="B160" s="49">
        <v>45</v>
      </c>
      <c r="C160" s="152" t="str">
        <f xml:space="preserve"> IF(B160="","",setValueToTime(B160))</f>
        <v>3h45min</v>
      </c>
      <c r="D160" s="50" t="s">
        <v>151</v>
      </c>
      <c r="E160" s="239"/>
      <c r="F160" s="24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37" t="s">
        <v>14</v>
      </c>
      <c r="F171" s="238"/>
      <c r="G171" s="46"/>
    </row>
    <row r="172" spans="1:7" s="52" customFormat="1" x14ac:dyDescent="0.3">
      <c r="A172" s="48" t="s">
        <v>58</v>
      </c>
      <c r="B172" s="49">
        <v>36</v>
      </c>
      <c r="C172" s="152" t="str">
        <f xml:space="preserve"> IF(B172="","",setValueToTime(B172))</f>
        <v>3h</v>
      </c>
      <c r="D172" s="50" t="s">
        <v>149</v>
      </c>
      <c r="E172" s="239"/>
      <c r="F172" s="24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37" t="s">
        <v>14</v>
      </c>
      <c r="F183" s="238"/>
      <c r="G183" s="46"/>
    </row>
    <row r="184" spans="1:7" s="52" customFormat="1" x14ac:dyDescent="0.3">
      <c r="A184" s="48" t="s">
        <v>58</v>
      </c>
      <c r="B184" s="49">
        <v>45</v>
      </c>
      <c r="C184" s="152" t="str">
        <f xml:space="preserve"> IF(B184="","",setValueToTime(B184))</f>
        <v>3h45min</v>
      </c>
      <c r="D184" s="50" t="s">
        <v>149</v>
      </c>
      <c r="E184" s="239"/>
      <c r="F184" s="24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37" t="s">
        <v>14</v>
      </c>
      <c r="F195" s="238"/>
      <c r="G195" s="46"/>
    </row>
    <row r="196" spans="1:7" s="52" customFormat="1" ht="40.5" x14ac:dyDescent="0.3">
      <c r="A196" s="48" t="s">
        <v>52</v>
      </c>
      <c r="B196" s="49">
        <v>36</v>
      </c>
      <c r="C196" s="152" t="str">
        <f xml:space="preserve"> IF(B196="","",setValueToTime(B196))</f>
        <v>3h</v>
      </c>
      <c r="D196" s="50" t="s">
        <v>148</v>
      </c>
      <c r="E196" s="239"/>
      <c r="F196" s="24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37" t="s">
        <v>14</v>
      </c>
      <c r="F207" s="238"/>
      <c r="G207" s="46"/>
    </row>
    <row r="208" spans="1:7" s="52" customFormat="1" ht="40.5" x14ac:dyDescent="0.3">
      <c r="A208" s="48" t="s">
        <v>52</v>
      </c>
      <c r="B208" s="49">
        <v>36</v>
      </c>
      <c r="C208" s="152" t="str">
        <f xml:space="preserve"> IF(B208="","",setValueToTime(B208))</f>
        <v>3h</v>
      </c>
      <c r="D208" s="50" t="s">
        <v>147</v>
      </c>
      <c r="E208" s="239"/>
      <c r="F208" s="24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37" t="s">
        <v>14</v>
      </c>
      <c r="F219" s="238"/>
      <c r="G219" s="46"/>
    </row>
    <row r="220" spans="1:7" s="52" customFormat="1" ht="40.5" x14ac:dyDescent="0.3">
      <c r="A220" s="48" t="s">
        <v>52</v>
      </c>
      <c r="B220" s="49">
        <v>36</v>
      </c>
      <c r="C220" s="152" t="str">
        <f xml:space="preserve"> IF(B220="","",setValueToTime(B220))</f>
        <v>3h</v>
      </c>
      <c r="D220" s="50" t="s">
        <v>147</v>
      </c>
      <c r="E220" s="239"/>
      <c r="F220" s="240"/>
      <c r="G220" s="51"/>
    </row>
    <row r="221" spans="1:7" s="52" customFormat="1" x14ac:dyDescent="0.3">
      <c r="A221" s="53"/>
      <c r="B221" s="54"/>
      <c r="C221" s="153" t="str">
        <f t="shared" ref="C221:C227" si="18" xml:space="preserve"> IF(B221="","",setValueToTime(B221))</f>
        <v/>
      </c>
      <c r="D221" s="55"/>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37" t="s">
        <v>14</v>
      </c>
      <c r="F231" s="238"/>
      <c r="G231" s="46"/>
    </row>
    <row r="232" spans="1:7" s="52" customFormat="1" ht="27" x14ac:dyDescent="0.3">
      <c r="A232" s="48" t="s">
        <v>143</v>
      </c>
      <c r="B232" s="49">
        <v>27</v>
      </c>
      <c r="C232" s="152" t="str">
        <f xml:space="preserve"> IF(B232="","",setValueToTime(B232))</f>
        <v>2h15min</v>
      </c>
      <c r="D232" s="50" t="s">
        <v>146</v>
      </c>
      <c r="E232" s="239"/>
      <c r="F232" s="240"/>
      <c r="G232" s="51"/>
    </row>
    <row r="233" spans="1:7" s="52" customFormat="1" x14ac:dyDescent="0.3">
      <c r="A233" s="53"/>
      <c r="B233" s="54"/>
      <c r="C233" s="153" t="str">
        <f t="shared" ref="C233:C239" si="19" xml:space="preserve"> IF(B233="","",setValueToTime(B233))</f>
        <v/>
      </c>
      <c r="D233" s="55"/>
      <c r="E233" s="231"/>
      <c r="F233" s="232"/>
      <c r="G233" s="51"/>
    </row>
    <row r="234" spans="1:7" s="52" customFormat="1" x14ac:dyDescent="0.3">
      <c r="A234" s="53"/>
      <c r="B234" s="54"/>
      <c r="C234" s="153" t="str">
        <f t="shared" si="19"/>
        <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27</v>
      </c>
      <c r="B240" s="84">
        <f>SUM(B232:B239)</f>
        <v>27</v>
      </c>
      <c r="C240" s="111" t="str">
        <f xml:space="preserve"> setValueToTime(B240)</f>
        <v>2h15min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37" t="s">
        <v>14</v>
      </c>
      <c r="F243" s="238"/>
      <c r="G243" s="46"/>
    </row>
    <row r="244" spans="1:7" s="52" customFormat="1" ht="27" x14ac:dyDescent="0.3">
      <c r="A244" s="48" t="s">
        <v>143</v>
      </c>
      <c r="B244" s="49">
        <v>45</v>
      </c>
      <c r="C244" s="152" t="str">
        <f xml:space="preserve"> IF(B244="","",setValueToTime(B244))</f>
        <v>3h45min</v>
      </c>
      <c r="D244" s="50" t="s">
        <v>146</v>
      </c>
      <c r="E244" s="239"/>
      <c r="F244" s="240"/>
      <c r="G244" s="51"/>
    </row>
    <row r="245" spans="1:7" s="52" customFormat="1" x14ac:dyDescent="0.3">
      <c r="A245" s="53"/>
      <c r="B245" s="54"/>
      <c r="C245" s="153" t="str">
        <f t="shared" ref="C245:C251" si="20" xml:space="preserve"> IF(B245="","",setValueToTime(B245))</f>
        <v/>
      </c>
      <c r="D245" s="55"/>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37" t="s">
        <v>14</v>
      </c>
      <c r="F255" s="238"/>
      <c r="G255" s="46"/>
    </row>
    <row r="256" spans="1:7" s="52" customFormat="1" ht="27" x14ac:dyDescent="0.3">
      <c r="A256" s="48" t="s">
        <v>143</v>
      </c>
      <c r="B256" s="49">
        <v>36</v>
      </c>
      <c r="C256" s="152" t="str">
        <f xml:space="preserve"> IF(B256="","",setValueToTime(B256))</f>
        <v>3h</v>
      </c>
      <c r="D256" s="50" t="s">
        <v>146</v>
      </c>
      <c r="E256" s="239"/>
      <c r="F256" s="240"/>
      <c r="G256" s="51"/>
    </row>
    <row r="257" spans="1:7" s="52" customFormat="1" x14ac:dyDescent="0.3">
      <c r="A257" s="53"/>
      <c r="B257" s="54"/>
      <c r="C257" s="153" t="str">
        <f t="shared" ref="C257:C263" si="21" xml:space="preserve"> IF(B257="","",setValueToTime(B257))</f>
        <v/>
      </c>
      <c r="D257" s="55"/>
      <c r="E257" s="231"/>
      <c r="F257" s="232"/>
      <c r="G257" s="51"/>
    </row>
    <row r="258" spans="1:7" s="52" customFormat="1" x14ac:dyDescent="0.3">
      <c r="A258" s="53"/>
      <c r="B258" s="54"/>
      <c r="C258" s="153" t="str">
        <f t="shared" si="21"/>
        <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37" t="s">
        <v>14</v>
      </c>
      <c r="F267" s="238"/>
      <c r="G267" s="46"/>
    </row>
    <row r="268" spans="1:7" s="52" customFormat="1" ht="27" x14ac:dyDescent="0.3">
      <c r="A268" s="48" t="s">
        <v>143</v>
      </c>
      <c r="B268" s="49">
        <v>45</v>
      </c>
      <c r="C268" s="152" t="str">
        <f xml:space="preserve"> IF(B268="","",setValueToTime(B268))</f>
        <v>3h45min</v>
      </c>
      <c r="D268" s="50" t="s">
        <v>145</v>
      </c>
      <c r="E268" s="239"/>
      <c r="F268" s="240"/>
      <c r="G268" s="51"/>
    </row>
    <row r="269" spans="1:7" s="52" customFormat="1" x14ac:dyDescent="0.3">
      <c r="A269" s="53"/>
      <c r="B269" s="54"/>
      <c r="C269" s="153" t="str">
        <f t="shared" ref="C269:C275" si="22" xml:space="preserve"> IF(B269="","",setValueToTime(B269))</f>
        <v/>
      </c>
      <c r="D269" s="55"/>
      <c r="E269" s="231"/>
      <c r="F269" s="232"/>
      <c r="G269" s="51"/>
    </row>
    <row r="270" spans="1:7" s="52" customFormat="1" x14ac:dyDescent="0.3">
      <c r="A270" s="53"/>
      <c r="B270" s="54"/>
      <c r="C270" s="153" t="str">
        <f t="shared" si="22"/>
        <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37" t="s">
        <v>14</v>
      </c>
      <c r="F279" s="238"/>
      <c r="G279" s="46"/>
    </row>
    <row r="280" spans="1:7" s="52" customFormat="1" ht="27" x14ac:dyDescent="0.3">
      <c r="A280" s="48" t="s">
        <v>143</v>
      </c>
      <c r="B280" s="49">
        <v>36</v>
      </c>
      <c r="C280" s="152" t="str">
        <f xml:space="preserve"> IF(B280="","",setValueToTime(B280))</f>
        <v>3h</v>
      </c>
      <c r="D280" s="50" t="s">
        <v>144</v>
      </c>
      <c r="E280" s="239"/>
      <c r="F280" s="240"/>
      <c r="G280" s="51"/>
    </row>
    <row r="281" spans="1:7" s="52" customFormat="1" x14ac:dyDescent="0.3">
      <c r="A281" s="53"/>
      <c r="B281" s="54"/>
      <c r="C281" s="153" t="str">
        <f t="shared" ref="C281:C287" si="23" xml:space="preserve"> IF(B281="","",setValueToTime(B281))</f>
        <v/>
      </c>
      <c r="D281" s="55"/>
      <c r="E281" s="231"/>
      <c r="F281" s="232"/>
      <c r="G281" s="51"/>
    </row>
    <row r="282" spans="1:7" s="52" customFormat="1" x14ac:dyDescent="0.3">
      <c r="A282" s="53"/>
      <c r="B282" s="54"/>
      <c r="C282" s="153" t="str">
        <f t="shared" si="23"/>
        <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59</v>
      </c>
      <c r="B292" s="49">
        <v>36</v>
      </c>
      <c r="C292" s="152" t="str">
        <f xml:space="preserve"> IF(B292="","",setValueToTime(B292))</f>
        <v>3h</v>
      </c>
      <c r="D292" s="50" t="s">
        <v>142</v>
      </c>
      <c r="E292" s="239"/>
      <c r="F292" s="240"/>
      <c r="G292" s="51"/>
    </row>
    <row r="293" spans="1:7" s="52" customFormat="1" x14ac:dyDescent="0.3">
      <c r="A293" s="53"/>
      <c r="B293" s="54"/>
      <c r="C293" s="153" t="str">
        <f t="shared" ref="C293:C299" si="24" xml:space="preserve"> IF(B293="","",setValueToTime(B293))</f>
        <v/>
      </c>
      <c r="D293" s="55"/>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37" t="s">
        <v>14</v>
      </c>
      <c r="F303" s="238"/>
      <c r="G303" s="46"/>
    </row>
    <row r="304" spans="1:7" s="52" customFormat="1" ht="40.5" x14ac:dyDescent="0.3">
      <c r="A304" s="48" t="s">
        <v>59</v>
      </c>
      <c r="B304" s="49">
        <v>36</v>
      </c>
      <c r="C304" s="152" t="str">
        <f xml:space="preserve"> IF(B304="","",setValueToTime(B304))</f>
        <v>3h</v>
      </c>
      <c r="D304" s="50" t="s">
        <v>142</v>
      </c>
      <c r="E304" s="239"/>
      <c r="F304" s="240"/>
      <c r="G304" s="51"/>
    </row>
    <row r="305" spans="1:7" s="52" customFormat="1" x14ac:dyDescent="0.3">
      <c r="A305" s="53"/>
      <c r="B305" s="54"/>
      <c r="C305" s="153" t="str">
        <f t="shared" ref="C305:C311" si="25" xml:space="preserve"> IF(B305="","",setValueToTime(B305))</f>
        <v/>
      </c>
      <c r="D305" s="55"/>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49</v>
      </c>
      <c r="B316" s="49">
        <v>27</v>
      </c>
      <c r="C316" s="152" t="str">
        <f xml:space="preserve"> IF(B316="","",setValueToTime(B316))</f>
        <v>2h15min</v>
      </c>
      <c r="D316" s="50" t="s">
        <v>78</v>
      </c>
      <c r="E316" s="239"/>
      <c r="F316" s="240"/>
      <c r="G316" s="51"/>
    </row>
    <row r="317" spans="1:7" s="52" customFormat="1" x14ac:dyDescent="0.3">
      <c r="A317" s="53"/>
      <c r="B317" s="54"/>
      <c r="C317" s="153" t="str">
        <f t="shared" ref="C317:C323" si="26" xml:space="preserve"> IF(B317="","",setValueToTime(B317))</f>
        <v/>
      </c>
      <c r="D317" s="55"/>
      <c r="E317" s="231"/>
      <c r="F317" s="232"/>
      <c r="G317" s="51"/>
    </row>
    <row r="318" spans="1:7" s="52" customFormat="1" x14ac:dyDescent="0.3">
      <c r="A318" s="53"/>
      <c r="B318" s="54"/>
      <c r="C318" s="153" t="str">
        <f t="shared" si="26"/>
        <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27</v>
      </c>
      <c r="B324" s="84">
        <f>SUM(B316:B323)</f>
        <v>27</v>
      </c>
      <c r="C324" s="111" t="str">
        <f xml:space="preserve"> setValueToTime(B324)</f>
        <v>2h15min</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49</v>
      </c>
      <c r="B328" s="49">
        <v>45</v>
      </c>
      <c r="C328" s="152" t="str">
        <f xml:space="preserve"> IF(B328="","",setValueToTime(B328))</f>
        <v>3h45min</v>
      </c>
      <c r="D328" s="50" t="s">
        <v>78</v>
      </c>
      <c r="E328" s="239"/>
      <c r="F328" s="240"/>
      <c r="G328" s="51"/>
    </row>
    <row r="329" spans="1:7" s="52" customFormat="1" x14ac:dyDescent="0.3">
      <c r="A329" s="53"/>
      <c r="B329" s="54"/>
      <c r="C329" s="153" t="str">
        <f t="shared" ref="C329:C335" si="27" xml:space="preserve"> IF(B329="","",setValueToTime(B329))</f>
        <v/>
      </c>
      <c r="D329" s="55"/>
      <c r="E329" s="231"/>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37" t="s">
        <v>14</v>
      </c>
      <c r="F339" s="238"/>
      <c r="G339" s="46"/>
    </row>
    <row r="340" spans="1:7" s="52" customFormat="1" x14ac:dyDescent="0.3">
      <c r="A340" s="48" t="s">
        <v>58</v>
      </c>
      <c r="B340" s="49">
        <v>36</v>
      </c>
      <c r="C340" s="152" t="str">
        <f xml:space="preserve"> IF(B340="","",setValueToTime(B340))</f>
        <v>3h</v>
      </c>
      <c r="D340" s="50" t="s">
        <v>76</v>
      </c>
      <c r="E340" s="239"/>
      <c r="F340" s="240"/>
      <c r="G340" s="51"/>
    </row>
    <row r="341" spans="1:7" s="52" customFormat="1" x14ac:dyDescent="0.3">
      <c r="A341" s="53"/>
      <c r="B341" s="54"/>
      <c r="C341" s="153" t="str">
        <f t="shared" ref="C341:C347" si="28" xml:space="preserve"> IF(B341="","",setValueToTime(B341))</f>
        <v/>
      </c>
      <c r="D341" s="55"/>
      <c r="E341" s="231"/>
      <c r="F341" s="232"/>
      <c r="G341" s="51"/>
    </row>
    <row r="342" spans="1:7" s="52" customFormat="1" x14ac:dyDescent="0.3">
      <c r="A342" s="53"/>
      <c r="B342" s="54"/>
      <c r="C342" s="153" t="str">
        <f t="shared" si="28"/>
        <v/>
      </c>
      <c r="D342" s="55"/>
      <c r="E342" s="231"/>
      <c r="F342" s="232"/>
      <c r="G342" s="51"/>
    </row>
    <row r="343" spans="1:7" s="52" customFormat="1" x14ac:dyDescent="0.3">
      <c r="A343" s="53"/>
      <c r="B343" s="54"/>
      <c r="C343" s="153" t="str">
        <f t="shared" si="28"/>
        <v/>
      </c>
      <c r="D343" s="55"/>
      <c r="E343" s="231"/>
      <c r="F343" s="232"/>
      <c r="G343" s="51"/>
    </row>
    <row r="344" spans="1:7" s="52" customFormat="1" x14ac:dyDescent="0.3">
      <c r="A344" s="54"/>
      <c r="B344" s="54"/>
      <c r="C344" s="154" t="str">
        <f t="shared" si="28"/>
        <v/>
      </c>
      <c r="D344" s="55"/>
      <c r="E344" s="231"/>
      <c r="F344" s="232"/>
      <c r="G344" s="51"/>
    </row>
    <row r="345" spans="1:7" s="52" customFormat="1" x14ac:dyDescent="0.3">
      <c r="A345" s="54"/>
      <c r="B345" s="54"/>
      <c r="C345" s="154" t="str">
        <f t="shared" si="28"/>
        <v/>
      </c>
      <c r="D345" s="55"/>
      <c r="E345" s="231"/>
      <c r="F345" s="232"/>
      <c r="G345" s="51"/>
    </row>
    <row r="346" spans="1:7" s="52" customFormat="1" x14ac:dyDescent="0.3">
      <c r="A346" s="54"/>
      <c r="B346" s="54"/>
      <c r="C346" s="154" t="str">
        <f t="shared" si="28"/>
        <v/>
      </c>
      <c r="D346" s="55"/>
      <c r="E346" s="231"/>
      <c r="F346" s="232"/>
      <c r="G346" s="51"/>
    </row>
    <row r="347" spans="1:7" s="52" customFormat="1" ht="15" thickBot="1" x14ac:dyDescent="0.35">
      <c r="A347" s="56"/>
      <c r="B347" s="56"/>
      <c r="C347" s="155" t="str">
        <f t="shared" si="28"/>
        <v/>
      </c>
      <c r="D347" s="57"/>
      <c r="E347" s="233"/>
      <c r="F347" s="23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58</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31"/>
      <c r="F353" s="232"/>
      <c r="G353" s="51"/>
    </row>
    <row r="354" spans="1:7" s="52" customFormat="1" x14ac:dyDescent="0.3">
      <c r="A354" s="53"/>
      <c r="B354" s="54"/>
      <c r="C354" s="153" t="str">
        <f t="shared" si="29"/>
        <v/>
      </c>
      <c r="D354" s="55"/>
      <c r="E354" s="231"/>
      <c r="F354" s="232"/>
      <c r="G354" s="51"/>
    </row>
    <row r="355" spans="1:7" s="52" customFormat="1" x14ac:dyDescent="0.3">
      <c r="A355" s="53"/>
      <c r="B355" s="54"/>
      <c r="C355" s="153" t="str">
        <f t="shared" si="29"/>
        <v/>
      </c>
      <c r="D355" s="55"/>
      <c r="E355" s="231"/>
      <c r="F355" s="232"/>
      <c r="G355" s="51"/>
    </row>
    <row r="356" spans="1:7" s="52" customFormat="1" x14ac:dyDescent="0.3">
      <c r="A356" s="54"/>
      <c r="B356" s="54"/>
      <c r="C356" s="154" t="str">
        <f t="shared" si="29"/>
        <v/>
      </c>
      <c r="D356" s="55"/>
      <c r="E356" s="231"/>
      <c r="F356" s="232"/>
      <c r="G356" s="51"/>
    </row>
    <row r="357" spans="1:7" s="52" customFormat="1" x14ac:dyDescent="0.3">
      <c r="A357" s="54"/>
      <c r="B357" s="54"/>
      <c r="C357" s="154" t="str">
        <f t="shared" si="29"/>
        <v/>
      </c>
      <c r="D357" s="55"/>
      <c r="E357" s="231"/>
      <c r="F357" s="232"/>
      <c r="G357" s="51"/>
    </row>
    <row r="358" spans="1:7" s="52" customFormat="1" x14ac:dyDescent="0.3">
      <c r="A358" s="54"/>
      <c r="B358" s="54"/>
      <c r="C358" s="154" t="str">
        <f t="shared" si="29"/>
        <v/>
      </c>
      <c r="D358" s="55"/>
      <c r="E358" s="231"/>
      <c r="F358" s="232"/>
      <c r="G358" s="51"/>
    </row>
    <row r="359" spans="1:7" s="52" customFormat="1" ht="15" thickBot="1" x14ac:dyDescent="0.35">
      <c r="A359" s="56"/>
      <c r="B359" s="56"/>
      <c r="C359" s="155" t="str">
        <f t="shared" si="29"/>
        <v/>
      </c>
      <c r="D359" s="57"/>
      <c r="E359" s="233"/>
      <c r="F359" s="23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45</v>
      </c>
      <c r="B364" s="49">
        <v>36</v>
      </c>
      <c r="C364" s="152" t="str">
        <f xml:space="preserve"> IF(B364="","",setValueToTime(B364))</f>
        <v>3h</v>
      </c>
      <c r="D364" s="50" t="s">
        <v>77</v>
      </c>
      <c r="E364" s="239"/>
      <c r="F364" s="240"/>
      <c r="G364" s="51"/>
    </row>
    <row r="365" spans="1:7" s="52" customFormat="1" x14ac:dyDescent="0.3">
      <c r="A365" s="53"/>
      <c r="B365" s="54"/>
      <c r="C365" s="153" t="str">
        <f t="shared" ref="C365:C371" si="30" xml:space="preserve"> IF(B365="","",setValueToTime(B365))</f>
        <v/>
      </c>
      <c r="D365" s="55"/>
      <c r="E365" s="231"/>
      <c r="F365" s="232"/>
      <c r="G365" s="51"/>
    </row>
    <row r="366" spans="1:7" s="52" customFormat="1" x14ac:dyDescent="0.3">
      <c r="A366" s="53"/>
      <c r="B366" s="54"/>
      <c r="C366" s="153" t="str">
        <f t="shared" si="30"/>
        <v/>
      </c>
      <c r="D366" s="55"/>
      <c r="E366" s="231"/>
      <c r="F366" s="232"/>
      <c r="G366" s="51"/>
    </row>
    <row r="367" spans="1:7" s="52" customFormat="1" x14ac:dyDescent="0.3">
      <c r="A367" s="53"/>
      <c r="B367" s="54"/>
      <c r="C367" s="153" t="str">
        <f t="shared" si="30"/>
        <v/>
      </c>
      <c r="D367" s="55"/>
      <c r="E367" s="231"/>
      <c r="F367" s="232"/>
      <c r="G367" s="51"/>
    </row>
    <row r="368" spans="1:7" s="52" customFormat="1" x14ac:dyDescent="0.3">
      <c r="A368" s="54"/>
      <c r="B368" s="54"/>
      <c r="C368" s="154" t="str">
        <f t="shared" si="30"/>
        <v/>
      </c>
      <c r="D368" s="55"/>
      <c r="E368" s="231"/>
      <c r="F368" s="232"/>
      <c r="G368" s="51"/>
    </row>
    <row r="369" spans="1:7" s="52" customFormat="1" x14ac:dyDescent="0.3">
      <c r="A369" s="54"/>
      <c r="B369" s="54"/>
      <c r="C369" s="154" t="str">
        <f t="shared" si="30"/>
        <v/>
      </c>
      <c r="D369" s="55"/>
      <c r="E369" s="231"/>
      <c r="F369" s="232"/>
      <c r="G369" s="51"/>
    </row>
    <row r="370" spans="1:7" s="52" customFormat="1" x14ac:dyDescent="0.3">
      <c r="A370" s="54"/>
      <c r="B370" s="54"/>
      <c r="C370" s="154" t="str">
        <f t="shared" si="30"/>
        <v/>
      </c>
      <c r="D370" s="55"/>
      <c r="E370" s="231"/>
      <c r="F370" s="232"/>
      <c r="G370" s="51"/>
    </row>
    <row r="371" spans="1:7" s="52" customFormat="1" ht="15" thickBot="1" x14ac:dyDescent="0.35">
      <c r="A371" s="56"/>
      <c r="B371" s="56"/>
      <c r="C371" s="155" t="str">
        <f t="shared" si="30"/>
        <v/>
      </c>
      <c r="D371" s="57"/>
      <c r="E371" s="233"/>
      <c r="F371" s="23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46</v>
      </c>
      <c r="B376" s="49">
        <v>36</v>
      </c>
      <c r="C376" s="152" t="str">
        <f xml:space="preserve"> IF(B376="","",setValueToTime(B376))</f>
        <v>3h</v>
      </c>
      <c r="D376" s="50" t="s">
        <v>75</v>
      </c>
      <c r="E376" s="239"/>
      <c r="F376" s="240"/>
      <c r="G376" s="51"/>
    </row>
    <row r="377" spans="1:7" s="52" customFormat="1" x14ac:dyDescent="0.3">
      <c r="A377" s="53"/>
      <c r="B377" s="54"/>
      <c r="C377" s="153" t="str">
        <f t="shared" ref="C377:C383" si="31" xml:space="preserve"> IF(B377="","",setValueToTime(B377))</f>
        <v/>
      </c>
      <c r="D377" s="55"/>
      <c r="E377" s="231"/>
      <c r="F377" s="232"/>
      <c r="G377" s="51"/>
    </row>
    <row r="378" spans="1:7" s="52" customFormat="1" x14ac:dyDescent="0.3">
      <c r="A378" s="53"/>
      <c r="B378" s="54"/>
      <c r="C378" s="153" t="str">
        <f t="shared" si="31"/>
        <v/>
      </c>
      <c r="D378" s="55"/>
      <c r="E378" s="231"/>
      <c r="F378" s="232"/>
      <c r="G378" s="51"/>
    </row>
    <row r="379" spans="1:7" s="52" customFormat="1" x14ac:dyDescent="0.3">
      <c r="A379" s="53"/>
      <c r="B379" s="54"/>
      <c r="C379" s="153" t="str">
        <f t="shared" si="31"/>
        <v/>
      </c>
      <c r="D379" s="55"/>
      <c r="E379" s="231"/>
      <c r="F379" s="232"/>
      <c r="G379" s="51"/>
    </row>
    <row r="380" spans="1:7" s="52" customFormat="1" x14ac:dyDescent="0.3">
      <c r="A380" s="54"/>
      <c r="B380" s="54"/>
      <c r="C380" s="154" t="str">
        <f t="shared" si="31"/>
        <v/>
      </c>
      <c r="D380" s="55"/>
      <c r="E380" s="231"/>
      <c r="F380" s="232"/>
      <c r="G380" s="51"/>
    </row>
    <row r="381" spans="1:7" s="52" customFormat="1" x14ac:dyDescent="0.3">
      <c r="A381" s="54"/>
      <c r="B381" s="54"/>
      <c r="C381" s="154" t="str">
        <f t="shared" si="31"/>
        <v/>
      </c>
      <c r="D381" s="55"/>
      <c r="E381" s="231"/>
      <c r="F381" s="232"/>
      <c r="G381" s="51"/>
    </row>
    <row r="382" spans="1:7" s="52" customFormat="1" x14ac:dyDescent="0.3">
      <c r="A382" s="54"/>
      <c r="B382" s="54"/>
      <c r="C382" s="154" t="str">
        <f t="shared" si="31"/>
        <v/>
      </c>
      <c r="D382" s="55"/>
      <c r="E382" s="231"/>
      <c r="F382" s="232"/>
      <c r="G382" s="51"/>
    </row>
    <row r="383" spans="1:7" s="52" customFormat="1" ht="15" thickBot="1" x14ac:dyDescent="0.35">
      <c r="A383" s="56"/>
      <c r="B383" s="56"/>
      <c r="C383" s="155" t="str">
        <f t="shared" si="31"/>
        <v/>
      </c>
      <c r="D383" s="57"/>
      <c r="E383" s="233"/>
      <c r="F383" s="23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46</v>
      </c>
      <c r="B388" s="49">
        <v>36</v>
      </c>
      <c r="C388" s="152" t="str">
        <f xml:space="preserve"> IF(B388="","",setValueToTime(B388))</f>
        <v>3h</v>
      </c>
      <c r="D388" s="50" t="s">
        <v>75</v>
      </c>
      <c r="E388" s="239"/>
      <c r="F388" s="240"/>
      <c r="G388" s="51"/>
    </row>
    <row r="389" spans="1:7" s="52" customFormat="1" x14ac:dyDescent="0.3">
      <c r="A389" s="53"/>
      <c r="B389" s="54"/>
      <c r="C389" s="153" t="str">
        <f t="shared" ref="C389:C395" si="32" xml:space="preserve"> IF(B389="","",setValueToTime(B389))</f>
        <v/>
      </c>
      <c r="D389" s="55"/>
      <c r="E389" s="231"/>
      <c r="F389" s="232"/>
      <c r="G389" s="51"/>
    </row>
    <row r="390" spans="1:7" s="52" customFormat="1" x14ac:dyDescent="0.3">
      <c r="A390" s="53"/>
      <c r="B390" s="54"/>
      <c r="C390" s="153" t="str">
        <f t="shared" si="32"/>
        <v/>
      </c>
      <c r="D390" s="55"/>
      <c r="E390" s="231"/>
      <c r="F390" s="232"/>
      <c r="G390" s="51"/>
    </row>
    <row r="391" spans="1:7" s="52" customFormat="1" x14ac:dyDescent="0.3">
      <c r="A391" s="53"/>
      <c r="B391" s="54"/>
      <c r="C391" s="153" t="str">
        <f t="shared" si="32"/>
        <v/>
      </c>
      <c r="D391" s="55"/>
      <c r="E391" s="231"/>
      <c r="F391" s="232"/>
      <c r="G391" s="51"/>
    </row>
    <row r="392" spans="1:7" s="52" customFormat="1" x14ac:dyDescent="0.3">
      <c r="A392" s="54"/>
      <c r="B392" s="54"/>
      <c r="C392" s="154" t="str">
        <f t="shared" si="32"/>
        <v/>
      </c>
      <c r="D392" s="55"/>
      <c r="E392" s="231"/>
      <c r="F392" s="232"/>
      <c r="G392" s="51"/>
    </row>
    <row r="393" spans="1:7" s="52" customFormat="1" x14ac:dyDescent="0.3">
      <c r="A393" s="54"/>
      <c r="B393" s="54"/>
      <c r="C393" s="154" t="str">
        <f t="shared" si="32"/>
        <v/>
      </c>
      <c r="D393" s="55"/>
      <c r="E393" s="231"/>
      <c r="F393" s="232"/>
      <c r="G393" s="51"/>
    </row>
    <row r="394" spans="1:7" s="52" customFormat="1" x14ac:dyDescent="0.3">
      <c r="A394" s="54"/>
      <c r="B394" s="54"/>
      <c r="C394" s="154" t="str">
        <f t="shared" si="32"/>
        <v/>
      </c>
      <c r="D394" s="55"/>
      <c r="E394" s="231"/>
      <c r="F394" s="232"/>
      <c r="G394" s="51"/>
    </row>
    <row r="395" spans="1:7" s="52" customFormat="1" ht="15" thickBot="1" x14ac:dyDescent="0.35">
      <c r="A395" s="56"/>
      <c r="B395" s="56"/>
      <c r="C395" s="155" t="str">
        <f t="shared" si="32"/>
        <v/>
      </c>
      <c r="D395" s="57"/>
      <c r="E395" s="233"/>
      <c r="F395" s="23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46</v>
      </c>
      <c r="B400" s="49">
        <v>27</v>
      </c>
      <c r="C400" s="152" t="str">
        <f xml:space="preserve"> IF(B400="","",setValueToTime(B400))</f>
        <v>2h15min</v>
      </c>
      <c r="D400" s="50" t="s">
        <v>75</v>
      </c>
      <c r="E400" s="239"/>
      <c r="F400" s="240"/>
      <c r="G400" s="51"/>
    </row>
    <row r="401" spans="1:7" s="52" customFormat="1" x14ac:dyDescent="0.3">
      <c r="A401" s="53"/>
      <c r="B401" s="54"/>
      <c r="C401" s="153" t="str">
        <f t="shared" ref="C401:C407" si="33" xml:space="preserve"> IF(B401="","",setValueToTime(B401))</f>
        <v/>
      </c>
      <c r="D401" s="55"/>
      <c r="E401" s="231"/>
      <c r="F401" s="232"/>
      <c r="G401" s="51"/>
    </row>
    <row r="402" spans="1:7" s="52" customFormat="1" x14ac:dyDescent="0.3">
      <c r="A402" s="53"/>
      <c r="B402" s="54"/>
      <c r="C402" s="153" t="str">
        <f t="shared" si="33"/>
        <v/>
      </c>
      <c r="D402" s="55"/>
      <c r="E402" s="231"/>
      <c r="F402" s="232"/>
      <c r="G402" s="51"/>
    </row>
    <row r="403" spans="1:7" s="52" customFormat="1" x14ac:dyDescent="0.3">
      <c r="A403" s="53"/>
      <c r="B403" s="54"/>
      <c r="C403" s="153" t="str">
        <f t="shared" si="33"/>
        <v/>
      </c>
      <c r="D403" s="55"/>
      <c r="E403" s="231"/>
      <c r="F403" s="232"/>
      <c r="G403" s="51"/>
    </row>
    <row r="404" spans="1:7" s="52" customFormat="1" x14ac:dyDescent="0.3">
      <c r="A404" s="54"/>
      <c r="B404" s="54"/>
      <c r="C404" s="154" t="str">
        <f t="shared" si="33"/>
        <v/>
      </c>
      <c r="D404" s="55"/>
      <c r="E404" s="231"/>
      <c r="F404" s="232"/>
      <c r="G404" s="51"/>
    </row>
    <row r="405" spans="1:7" s="52" customFormat="1" x14ac:dyDescent="0.3">
      <c r="A405" s="54"/>
      <c r="B405" s="54"/>
      <c r="C405" s="154" t="str">
        <f t="shared" si="33"/>
        <v/>
      </c>
      <c r="D405" s="55"/>
      <c r="E405" s="231"/>
      <c r="F405" s="232"/>
      <c r="G405" s="51"/>
    </row>
    <row r="406" spans="1:7" s="52" customFormat="1" x14ac:dyDescent="0.3">
      <c r="A406" s="54"/>
      <c r="B406" s="54"/>
      <c r="C406" s="154" t="str">
        <f t="shared" si="33"/>
        <v/>
      </c>
      <c r="D406" s="55"/>
      <c r="E406" s="231"/>
      <c r="F406" s="232"/>
      <c r="G406" s="51"/>
    </row>
    <row r="407" spans="1:7" s="52" customFormat="1" ht="15" thickBot="1" x14ac:dyDescent="0.35">
      <c r="A407" s="56"/>
      <c r="B407" s="56"/>
      <c r="C407" s="155" t="str">
        <f t="shared" si="33"/>
        <v/>
      </c>
      <c r="D407" s="57"/>
      <c r="E407" s="233"/>
      <c r="F407" s="234"/>
      <c r="G407" s="51"/>
    </row>
    <row r="408" spans="1:7" s="52" customFormat="1" ht="15" thickBot="1" x14ac:dyDescent="0.35">
      <c r="A408" s="111" t="s">
        <v>27</v>
      </c>
      <c r="B408" s="84">
        <f>SUM(B400:B407)</f>
        <v>27</v>
      </c>
      <c r="C408" s="111" t="str">
        <f xml:space="preserve"> setValueToTime(B408)</f>
        <v>2h15min</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46</v>
      </c>
      <c r="B412" s="49">
        <v>45</v>
      </c>
      <c r="C412" s="152" t="str">
        <f xml:space="preserve"> IF(B412="","",setValueToTime(B412))</f>
        <v>3h45min</v>
      </c>
      <c r="D412" s="50" t="s">
        <v>75</v>
      </c>
      <c r="E412" s="239"/>
      <c r="F412" s="240"/>
      <c r="G412" s="51"/>
    </row>
    <row r="413" spans="1:7" s="52" customFormat="1" x14ac:dyDescent="0.3">
      <c r="A413" s="53"/>
      <c r="B413" s="54"/>
      <c r="C413" s="153" t="str">
        <f t="shared" ref="C413:C419" si="34" xml:space="preserve"> IF(B413="","",setValueToTime(B413))</f>
        <v/>
      </c>
      <c r="D413" s="55"/>
      <c r="E413" s="231"/>
      <c r="F413" s="232"/>
      <c r="G413" s="51"/>
    </row>
    <row r="414" spans="1:7" s="52" customFormat="1" x14ac:dyDescent="0.3">
      <c r="A414" s="53"/>
      <c r="B414" s="54"/>
      <c r="C414" s="153" t="str">
        <f t="shared" si="34"/>
        <v/>
      </c>
      <c r="D414" s="55"/>
      <c r="E414" s="231"/>
      <c r="F414" s="232"/>
      <c r="G414" s="51"/>
    </row>
    <row r="415" spans="1:7" s="52" customFormat="1" x14ac:dyDescent="0.3">
      <c r="A415" s="53"/>
      <c r="B415" s="54"/>
      <c r="C415" s="153" t="str">
        <f t="shared" si="34"/>
        <v/>
      </c>
      <c r="D415" s="55"/>
      <c r="E415" s="231"/>
      <c r="F415" s="232"/>
      <c r="G415" s="51"/>
    </row>
    <row r="416" spans="1:7" s="52" customFormat="1" x14ac:dyDescent="0.3">
      <c r="A416" s="54"/>
      <c r="B416" s="54"/>
      <c r="C416" s="154" t="str">
        <f t="shared" si="34"/>
        <v/>
      </c>
      <c r="D416" s="55"/>
      <c r="E416" s="231"/>
      <c r="F416" s="232"/>
      <c r="G416" s="51"/>
    </row>
    <row r="417" spans="1:7" s="52" customFormat="1" x14ac:dyDescent="0.3">
      <c r="A417" s="54"/>
      <c r="B417" s="54"/>
      <c r="C417" s="154" t="str">
        <f t="shared" si="34"/>
        <v/>
      </c>
      <c r="D417" s="55"/>
      <c r="E417" s="231"/>
      <c r="F417" s="232"/>
      <c r="G417" s="51"/>
    </row>
    <row r="418" spans="1:7" s="52" customFormat="1" x14ac:dyDescent="0.3">
      <c r="A418" s="54"/>
      <c r="B418" s="54"/>
      <c r="C418" s="154" t="str">
        <f t="shared" si="34"/>
        <v/>
      </c>
      <c r="D418" s="55"/>
      <c r="E418" s="231"/>
      <c r="F418" s="232"/>
      <c r="G418" s="51"/>
    </row>
    <row r="419" spans="1:7" s="52" customFormat="1" ht="15" thickBot="1" x14ac:dyDescent="0.35">
      <c r="A419" s="56"/>
      <c r="B419" s="56"/>
      <c r="C419" s="155" t="str">
        <f t="shared" si="34"/>
        <v/>
      </c>
      <c r="D419" s="57"/>
      <c r="E419" s="233"/>
      <c r="F419" s="23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46</v>
      </c>
      <c r="B424" s="49">
        <v>36</v>
      </c>
      <c r="C424" s="152" t="str">
        <f xml:space="preserve"> IF(B424="","",setValueToTime(B424))</f>
        <v>3h</v>
      </c>
      <c r="D424" s="50" t="s">
        <v>75</v>
      </c>
      <c r="E424" s="239"/>
      <c r="F424" s="240"/>
      <c r="G424" s="51"/>
    </row>
    <row r="425" spans="1:7" s="52" customFormat="1" x14ac:dyDescent="0.3">
      <c r="A425" s="53"/>
      <c r="B425" s="54"/>
      <c r="C425" s="153" t="str">
        <f t="shared" ref="C425:C431" si="35" xml:space="preserve"> IF(B425="","",setValueToTime(B425))</f>
        <v/>
      </c>
      <c r="D425" s="55"/>
      <c r="E425" s="231"/>
      <c r="F425" s="232"/>
      <c r="G425" s="51"/>
    </row>
    <row r="426" spans="1:7" s="52" customFormat="1" x14ac:dyDescent="0.3">
      <c r="A426" s="53"/>
      <c r="B426" s="54"/>
      <c r="C426" s="153" t="str">
        <f t="shared" si="35"/>
        <v/>
      </c>
      <c r="D426" s="55"/>
      <c r="E426" s="231"/>
      <c r="F426" s="232"/>
      <c r="G426" s="51"/>
    </row>
    <row r="427" spans="1:7" s="52" customFormat="1" x14ac:dyDescent="0.3">
      <c r="A427" s="53"/>
      <c r="B427" s="54"/>
      <c r="C427" s="153" t="str">
        <f t="shared" si="35"/>
        <v/>
      </c>
      <c r="D427" s="55"/>
      <c r="E427" s="231"/>
      <c r="F427" s="232"/>
      <c r="G427" s="51"/>
    </row>
    <row r="428" spans="1:7" s="52" customFormat="1" x14ac:dyDescent="0.3">
      <c r="A428" s="54"/>
      <c r="B428" s="54"/>
      <c r="C428" s="154" t="str">
        <f t="shared" si="35"/>
        <v/>
      </c>
      <c r="D428" s="55"/>
      <c r="E428" s="231"/>
      <c r="F428" s="232"/>
      <c r="G428" s="51"/>
    </row>
    <row r="429" spans="1:7" s="52" customFormat="1" x14ac:dyDescent="0.3">
      <c r="A429" s="54"/>
      <c r="B429" s="54"/>
      <c r="C429" s="154" t="str">
        <f t="shared" si="35"/>
        <v/>
      </c>
      <c r="D429" s="55"/>
      <c r="E429" s="231"/>
      <c r="F429" s="232"/>
      <c r="G429" s="51"/>
    </row>
    <row r="430" spans="1:7" s="52" customFormat="1" x14ac:dyDescent="0.3">
      <c r="A430" s="54"/>
      <c r="B430" s="54"/>
      <c r="C430" s="154" t="str">
        <f t="shared" si="35"/>
        <v/>
      </c>
      <c r="D430" s="55"/>
      <c r="E430" s="231"/>
      <c r="F430" s="232"/>
      <c r="G430" s="51"/>
    </row>
    <row r="431" spans="1:7" s="52" customFormat="1" ht="15" thickBot="1" x14ac:dyDescent="0.35">
      <c r="A431" s="56"/>
      <c r="B431" s="56"/>
      <c r="C431" s="155" t="str">
        <f t="shared" si="35"/>
        <v/>
      </c>
      <c r="D431" s="57"/>
      <c r="E431" s="233"/>
      <c r="F431" s="23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44</v>
      </c>
      <c r="B436" s="49">
        <v>30</v>
      </c>
      <c r="C436" s="152" t="str">
        <f xml:space="preserve"> IF(B436="","",setValueToTime(B436))</f>
        <v>2h30min</v>
      </c>
      <c r="D436" s="50" t="s">
        <v>73</v>
      </c>
      <c r="E436" s="239"/>
      <c r="F436" s="240"/>
      <c r="G436" s="51"/>
    </row>
    <row r="437" spans="1:7" s="52" customFormat="1" x14ac:dyDescent="0.3">
      <c r="A437" s="53" t="s">
        <v>44</v>
      </c>
      <c r="B437" s="54">
        <v>15</v>
      </c>
      <c r="C437" s="153" t="str">
        <f t="shared" ref="C437:C443" si="36" xml:space="preserve"> IF(B437="","",setValueToTime(B437))</f>
        <v>1h15min</v>
      </c>
      <c r="D437" s="55" t="s">
        <v>74</v>
      </c>
      <c r="E437" s="231"/>
      <c r="F437" s="232"/>
      <c r="G437" s="51"/>
    </row>
    <row r="438" spans="1:7" s="52" customFormat="1" x14ac:dyDescent="0.3">
      <c r="A438" s="53"/>
      <c r="B438" s="54"/>
      <c r="C438" s="153" t="str">
        <f t="shared" si="36"/>
        <v/>
      </c>
      <c r="D438" s="55"/>
      <c r="E438" s="231"/>
      <c r="F438" s="232"/>
      <c r="G438" s="51"/>
    </row>
    <row r="439" spans="1:7" s="52" customFormat="1" x14ac:dyDescent="0.3">
      <c r="A439" s="53"/>
      <c r="B439" s="54"/>
      <c r="C439" s="153" t="str">
        <f t="shared" si="36"/>
        <v/>
      </c>
      <c r="D439" s="55"/>
      <c r="E439" s="231"/>
      <c r="F439" s="232"/>
      <c r="G439" s="51"/>
    </row>
    <row r="440" spans="1:7" s="52" customFormat="1" x14ac:dyDescent="0.3">
      <c r="A440" s="54"/>
      <c r="B440" s="54"/>
      <c r="C440" s="154" t="str">
        <f t="shared" si="36"/>
        <v/>
      </c>
      <c r="D440" s="55"/>
      <c r="E440" s="231"/>
      <c r="F440" s="232"/>
      <c r="G440" s="51"/>
    </row>
    <row r="441" spans="1:7" s="52" customFormat="1" x14ac:dyDescent="0.3">
      <c r="A441" s="54"/>
      <c r="B441" s="54"/>
      <c r="C441" s="154" t="str">
        <f t="shared" si="36"/>
        <v/>
      </c>
      <c r="D441" s="55"/>
      <c r="E441" s="231"/>
      <c r="F441" s="232"/>
      <c r="G441" s="51"/>
    </row>
    <row r="442" spans="1:7" s="52" customFormat="1" x14ac:dyDescent="0.3">
      <c r="A442" s="54"/>
      <c r="B442" s="54"/>
      <c r="C442" s="154" t="str">
        <f t="shared" si="36"/>
        <v/>
      </c>
      <c r="D442" s="55"/>
      <c r="E442" s="231"/>
      <c r="F442" s="232"/>
      <c r="G442" s="51"/>
    </row>
    <row r="443" spans="1:7" s="52" customFormat="1" ht="15" thickBot="1" x14ac:dyDescent="0.35">
      <c r="A443" s="56"/>
      <c r="B443" s="56"/>
      <c r="C443" s="155" t="str">
        <f t="shared" si="36"/>
        <v/>
      </c>
      <c r="D443" s="57"/>
      <c r="E443" s="233"/>
      <c r="F443" s="23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44</v>
      </c>
      <c r="B448" s="49">
        <v>36</v>
      </c>
      <c r="C448" s="152" t="str">
        <f xml:space="preserve"> IF(B448="","",setValueToTime(B448))</f>
        <v>3h</v>
      </c>
      <c r="D448" s="50" t="s">
        <v>72</v>
      </c>
      <c r="E448" s="239"/>
      <c r="F448" s="240"/>
      <c r="G448" s="51"/>
    </row>
    <row r="449" spans="1:7" s="52" customFormat="1" x14ac:dyDescent="0.3">
      <c r="A449" s="53"/>
      <c r="B449" s="54"/>
      <c r="C449" s="153" t="str">
        <f t="shared" ref="C449:C455" si="37" xml:space="preserve"> IF(B449="","",setValueToTime(B449))</f>
        <v/>
      </c>
      <c r="D449" s="55"/>
      <c r="E449" s="231"/>
      <c r="F449" s="232"/>
      <c r="G449" s="51"/>
    </row>
    <row r="450" spans="1:7" s="52" customFormat="1" x14ac:dyDescent="0.3">
      <c r="A450" s="53"/>
      <c r="B450" s="54"/>
      <c r="C450" s="153" t="str">
        <f t="shared" si="37"/>
        <v/>
      </c>
      <c r="D450" s="55"/>
      <c r="E450" s="231"/>
      <c r="F450" s="232"/>
      <c r="G450" s="51"/>
    </row>
    <row r="451" spans="1:7" s="52" customFormat="1" x14ac:dyDescent="0.3">
      <c r="A451" s="53"/>
      <c r="B451" s="54"/>
      <c r="C451" s="153" t="str">
        <f t="shared" si="37"/>
        <v/>
      </c>
      <c r="D451" s="55"/>
      <c r="E451" s="231"/>
      <c r="F451" s="232"/>
      <c r="G451" s="51"/>
    </row>
    <row r="452" spans="1:7" s="52" customFormat="1" x14ac:dyDescent="0.3">
      <c r="A452" s="54"/>
      <c r="B452" s="54"/>
      <c r="C452" s="154" t="str">
        <f t="shared" si="37"/>
        <v/>
      </c>
      <c r="D452" s="55"/>
      <c r="E452" s="231"/>
      <c r="F452" s="232"/>
      <c r="G452" s="51"/>
    </row>
    <row r="453" spans="1:7" s="52" customFormat="1" x14ac:dyDescent="0.3">
      <c r="A453" s="54"/>
      <c r="B453" s="54"/>
      <c r="C453" s="154" t="str">
        <f t="shared" si="37"/>
        <v/>
      </c>
      <c r="D453" s="55"/>
      <c r="E453" s="231"/>
      <c r="F453" s="232"/>
      <c r="G453" s="51"/>
    </row>
    <row r="454" spans="1:7" s="52" customFormat="1" x14ac:dyDescent="0.3">
      <c r="A454" s="54"/>
      <c r="B454" s="54"/>
      <c r="C454" s="154" t="str">
        <f t="shared" si="37"/>
        <v/>
      </c>
      <c r="D454" s="55"/>
      <c r="E454" s="231"/>
      <c r="F454" s="232"/>
      <c r="G454" s="51"/>
    </row>
    <row r="455" spans="1:7" s="52" customFormat="1" ht="15" thickBot="1" x14ac:dyDescent="0.35">
      <c r="A455" s="56"/>
      <c r="B455" s="56"/>
      <c r="C455" s="155" t="str">
        <f t="shared" si="37"/>
        <v/>
      </c>
      <c r="D455" s="57"/>
      <c r="E455" s="233"/>
      <c r="F455" s="23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44</v>
      </c>
      <c r="B460" s="49">
        <v>36</v>
      </c>
      <c r="C460" s="152" t="str">
        <f xml:space="preserve"> IF(B460="","",setValueToTime(B460))</f>
        <v>3h</v>
      </c>
      <c r="D460" s="50" t="s">
        <v>71</v>
      </c>
      <c r="E460" s="239"/>
      <c r="F460" s="240"/>
      <c r="G460" s="51"/>
    </row>
    <row r="461" spans="1:7" s="52" customFormat="1" x14ac:dyDescent="0.3">
      <c r="A461" s="53"/>
      <c r="B461" s="54"/>
      <c r="C461" s="153" t="str">
        <f t="shared" ref="C461:C467" si="38" xml:space="preserve"> IF(B461="","",setValueToTime(B461))</f>
        <v/>
      </c>
      <c r="D461" s="55"/>
      <c r="E461" s="231"/>
      <c r="F461" s="232"/>
      <c r="G461" s="51"/>
    </row>
    <row r="462" spans="1:7" s="52" customFormat="1" x14ac:dyDescent="0.3">
      <c r="A462" s="53"/>
      <c r="B462" s="54"/>
      <c r="C462" s="153" t="str">
        <f t="shared" si="38"/>
        <v/>
      </c>
      <c r="D462" s="55"/>
      <c r="E462" s="231"/>
      <c r="F462" s="232"/>
      <c r="G462" s="51"/>
    </row>
    <row r="463" spans="1:7" s="52" customFormat="1" x14ac:dyDescent="0.3">
      <c r="A463" s="53"/>
      <c r="B463" s="54"/>
      <c r="C463" s="153" t="str">
        <f t="shared" si="38"/>
        <v/>
      </c>
      <c r="D463" s="55"/>
      <c r="E463" s="231"/>
      <c r="F463" s="232"/>
      <c r="G463" s="51"/>
    </row>
    <row r="464" spans="1:7" s="52" customFormat="1" x14ac:dyDescent="0.3">
      <c r="A464" s="54"/>
      <c r="B464" s="54"/>
      <c r="C464" s="154" t="str">
        <f t="shared" si="38"/>
        <v/>
      </c>
      <c r="D464" s="55"/>
      <c r="E464" s="231"/>
      <c r="F464" s="232"/>
      <c r="G464" s="51"/>
    </row>
    <row r="465" spans="1:7" s="52" customFormat="1" x14ac:dyDescent="0.3">
      <c r="A465" s="54"/>
      <c r="B465" s="54"/>
      <c r="C465" s="154" t="str">
        <f t="shared" si="38"/>
        <v/>
      </c>
      <c r="D465" s="55"/>
      <c r="E465" s="231"/>
      <c r="F465" s="232"/>
      <c r="G465" s="51"/>
    </row>
    <row r="466" spans="1:7" s="52" customFormat="1" x14ac:dyDescent="0.3">
      <c r="A466" s="54"/>
      <c r="B466" s="54"/>
      <c r="C466" s="154" t="str">
        <f t="shared" si="38"/>
        <v/>
      </c>
      <c r="D466" s="55"/>
      <c r="E466" s="231"/>
      <c r="F466" s="232"/>
      <c r="G466" s="51"/>
    </row>
    <row r="467" spans="1:7" s="52" customFormat="1" ht="15" thickBot="1" x14ac:dyDescent="0.35">
      <c r="A467" s="56"/>
      <c r="B467" s="56"/>
      <c r="C467" s="155" t="str">
        <f t="shared" si="38"/>
        <v/>
      </c>
      <c r="D467" s="57"/>
      <c r="E467" s="233"/>
      <c r="F467" s="23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42</v>
      </c>
      <c r="B472" s="49">
        <v>9</v>
      </c>
      <c r="C472" s="152" t="str">
        <f xml:space="preserve"> IF(B472="","",setValueToTime(B472))</f>
        <v>0h45min</v>
      </c>
      <c r="D472" s="50" t="s">
        <v>67</v>
      </c>
      <c r="E472" s="239"/>
      <c r="F472" s="240"/>
      <c r="G472" s="51"/>
    </row>
    <row r="473" spans="1:7" s="52" customFormat="1" ht="27" x14ac:dyDescent="0.3">
      <c r="A473" s="53" t="s">
        <v>43</v>
      </c>
      <c r="B473" s="54">
        <v>9</v>
      </c>
      <c r="C473" s="153" t="str">
        <f t="shared" ref="C473:C479" si="39" xml:space="preserve"> IF(B473="","",setValueToTime(B473))</f>
        <v>0h45min</v>
      </c>
      <c r="D473" s="55" t="s">
        <v>68</v>
      </c>
      <c r="E473" s="231"/>
      <c r="F473" s="232"/>
      <c r="G473" s="51"/>
    </row>
    <row r="474" spans="1:7" s="52" customFormat="1" ht="27" x14ac:dyDescent="0.3">
      <c r="A474" s="53" t="s">
        <v>47</v>
      </c>
      <c r="B474" s="54">
        <v>18</v>
      </c>
      <c r="C474" s="153" t="str">
        <f t="shared" si="39"/>
        <v>1h30min</v>
      </c>
      <c r="D474" s="55" t="s">
        <v>69</v>
      </c>
      <c r="E474" s="231"/>
      <c r="F474" s="232"/>
      <c r="G474" s="51"/>
    </row>
    <row r="475" spans="1:7" s="52" customFormat="1" x14ac:dyDescent="0.3">
      <c r="A475" s="53"/>
      <c r="B475" s="54"/>
      <c r="C475" s="153" t="str">
        <f t="shared" si="39"/>
        <v/>
      </c>
      <c r="D475" s="55"/>
      <c r="E475" s="231"/>
      <c r="F475" s="232"/>
      <c r="G475" s="51"/>
    </row>
    <row r="476" spans="1:7" s="52" customFormat="1" x14ac:dyDescent="0.3">
      <c r="A476" s="54"/>
      <c r="B476" s="54"/>
      <c r="C476" s="154" t="str">
        <f t="shared" si="39"/>
        <v/>
      </c>
      <c r="D476" s="55"/>
      <c r="E476" s="231"/>
      <c r="F476" s="232"/>
      <c r="G476" s="51"/>
    </row>
    <row r="477" spans="1:7" s="52" customFormat="1" x14ac:dyDescent="0.3">
      <c r="A477" s="54"/>
      <c r="B477" s="54"/>
      <c r="C477" s="154" t="str">
        <f t="shared" si="39"/>
        <v/>
      </c>
      <c r="D477" s="55"/>
      <c r="E477" s="231"/>
      <c r="F477" s="232"/>
      <c r="G477" s="51"/>
    </row>
    <row r="478" spans="1:7" s="52" customFormat="1" x14ac:dyDescent="0.3">
      <c r="A478" s="54"/>
      <c r="B478" s="54"/>
      <c r="C478" s="154" t="str">
        <f t="shared" si="39"/>
        <v/>
      </c>
      <c r="D478" s="55"/>
      <c r="E478" s="231"/>
      <c r="F478" s="232"/>
      <c r="G478" s="51"/>
    </row>
    <row r="479" spans="1:7" s="52" customFormat="1" ht="15" thickBot="1" x14ac:dyDescent="0.35">
      <c r="A479" s="56"/>
      <c r="B479" s="56"/>
      <c r="C479" s="155" t="str">
        <f t="shared" si="39"/>
        <v/>
      </c>
      <c r="D479" s="57"/>
      <c r="E479" s="233"/>
      <c r="F479" s="23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70</v>
      </c>
      <c r="B484" s="49">
        <v>18</v>
      </c>
      <c r="C484" s="152" t="str">
        <f xml:space="preserve"> IF(B484="","",setValueToTime(B484))</f>
        <v>1h30min</v>
      </c>
      <c r="D484" s="50" t="s">
        <v>65</v>
      </c>
      <c r="E484" s="239"/>
      <c r="F484" s="240"/>
      <c r="G484" s="51"/>
    </row>
    <row r="485" spans="1:7" s="52" customFormat="1" ht="27" x14ac:dyDescent="0.3">
      <c r="A485" s="53" t="s">
        <v>42</v>
      </c>
      <c r="B485" s="54">
        <v>9</v>
      </c>
      <c r="C485" s="153" t="str">
        <f t="shared" ref="C485:C491" si="40" xml:space="preserve"> IF(B485="","",setValueToTime(B485))</f>
        <v>0h45min</v>
      </c>
      <c r="D485" s="55" t="s">
        <v>66</v>
      </c>
      <c r="E485" s="231"/>
      <c r="F485" s="232"/>
      <c r="G485" s="51"/>
    </row>
    <row r="486" spans="1:7" s="52" customFormat="1" x14ac:dyDescent="0.3">
      <c r="A486" s="53"/>
      <c r="B486" s="54"/>
      <c r="C486" s="153" t="str">
        <f t="shared" si="40"/>
        <v/>
      </c>
      <c r="D486" s="55"/>
      <c r="E486" s="231"/>
      <c r="F486" s="232"/>
      <c r="G486" s="51"/>
    </row>
    <row r="487" spans="1:7" s="52" customFormat="1" x14ac:dyDescent="0.3">
      <c r="A487" s="53"/>
      <c r="B487" s="54"/>
      <c r="C487" s="153" t="str">
        <f t="shared" si="40"/>
        <v/>
      </c>
      <c r="D487" s="55"/>
      <c r="E487" s="231"/>
      <c r="F487" s="232"/>
      <c r="G487" s="51"/>
    </row>
    <row r="488" spans="1:7" s="52" customFormat="1" x14ac:dyDescent="0.3">
      <c r="A488" s="54"/>
      <c r="B488" s="54"/>
      <c r="C488" s="154" t="str">
        <f t="shared" si="40"/>
        <v/>
      </c>
      <c r="D488" s="55"/>
      <c r="E488" s="231"/>
      <c r="F488" s="232"/>
      <c r="G488" s="51"/>
    </row>
    <row r="489" spans="1:7" s="52" customFormat="1" x14ac:dyDescent="0.3">
      <c r="A489" s="54"/>
      <c r="B489" s="54"/>
      <c r="C489" s="154" t="str">
        <f t="shared" si="40"/>
        <v/>
      </c>
      <c r="D489" s="55"/>
      <c r="E489" s="231"/>
      <c r="F489" s="232"/>
      <c r="G489" s="51"/>
    </row>
    <row r="490" spans="1:7" s="52" customFormat="1" x14ac:dyDescent="0.3">
      <c r="A490" s="54"/>
      <c r="B490" s="54"/>
      <c r="C490" s="154" t="str">
        <f t="shared" si="40"/>
        <v/>
      </c>
      <c r="D490" s="55"/>
      <c r="E490" s="231"/>
      <c r="F490" s="232"/>
      <c r="G490" s="51"/>
    </row>
    <row r="491" spans="1:7" s="52" customFormat="1" ht="15" thickBot="1" x14ac:dyDescent="0.35">
      <c r="A491" s="56"/>
      <c r="B491" s="56"/>
      <c r="C491" s="155" t="str">
        <f t="shared" si="40"/>
        <v/>
      </c>
      <c r="D491" s="57"/>
      <c r="E491" s="233"/>
      <c r="F491" s="234"/>
      <c r="G491" s="51"/>
    </row>
    <row r="492" spans="1:7" s="52" customFormat="1" ht="15" thickBot="1" x14ac:dyDescent="0.35">
      <c r="A492" s="111" t="s">
        <v>27</v>
      </c>
      <c r="B492" s="84">
        <f>SUM(B484:B491)</f>
        <v>27</v>
      </c>
      <c r="C492" s="111" t="str">
        <f xml:space="preserve"> setValueToTime(B492)</f>
        <v>2h15min</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64</v>
      </c>
      <c r="E496" s="239"/>
      <c r="F496" s="240"/>
      <c r="G496" s="51"/>
    </row>
    <row r="497" spans="1:7" s="52" customFormat="1" x14ac:dyDescent="0.3">
      <c r="A497" s="53"/>
      <c r="B497" s="54"/>
      <c r="C497" s="153" t="str">
        <f t="shared" ref="C497:C503" si="41" xml:space="preserve"> IF(B497="","",setValueToTime(B497))</f>
        <v/>
      </c>
      <c r="D497" s="55"/>
      <c r="E497" s="231"/>
      <c r="F497" s="232"/>
      <c r="G497" s="51"/>
    </row>
    <row r="498" spans="1:7" s="52" customFormat="1" x14ac:dyDescent="0.3">
      <c r="A498" s="53"/>
      <c r="B498" s="54"/>
      <c r="C498" s="153" t="str">
        <f t="shared" si="41"/>
        <v/>
      </c>
      <c r="D498" s="55"/>
      <c r="E498" s="231"/>
      <c r="F498" s="232"/>
      <c r="G498" s="51"/>
    </row>
    <row r="499" spans="1:7" s="52" customFormat="1" x14ac:dyDescent="0.3">
      <c r="A499" s="53"/>
      <c r="B499" s="54"/>
      <c r="C499" s="153" t="str">
        <f t="shared" si="41"/>
        <v/>
      </c>
      <c r="D499" s="55"/>
      <c r="E499" s="231"/>
      <c r="F499" s="232"/>
      <c r="G499" s="51"/>
    </row>
    <row r="500" spans="1:7" s="52" customFormat="1" x14ac:dyDescent="0.3">
      <c r="A500" s="54"/>
      <c r="B500" s="54"/>
      <c r="C500" s="154" t="str">
        <f t="shared" si="41"/>
        <v/>
      </c>
      <c r="D500" s="55"/>
      <c r="E500" s="231"/>
      <c r="F500" s="232"/>
      <c r="G500" s="51"/>
    </row>
    <row r="501" spans="1:7" s="52" customFormat="1" x14ac:dyDescent="0.3">
      <c r="A501" s="54"/>
      <c r="B501" s="54"/>
      <c r="C501" s="154" t="str">
        <f t="shared" si="41"/>
        <v/>
      </c>
      <c r="D501" s="55"/>
      <c r="E501" s="231"/>
      <c r="F501" s="232"/>
      <c r="G501" s="51"/>
    </row>
    <row r="502" spans="1:7" s="52" customFormat="1" x14ac:dyDescent="0.3">
      <c r="A502" s="54"/>
      <c r="B502" s="54"/>
      <c r="C502" s="154" t="str">
        <f t="shared" si="41"/>
        <v/>
      </c>
      <c r="D502" s="55"/>
      <c r="E502" s="231"/>
      <c r="F502" s="232"/>
      <c r="G502" s="51"/>
    </row>
    <row r="503" spans="1:7" s="52" customFormat="1" ht="15" thickBot="1" x14ac:dyDescent="0.35">
      <c r="A503" s="56"/>
      <c r="B503" s="56"/>
      <c r="C503" s="155" t="str">
        <f t="shared" si="41"/>
        <v/>
      </c>
      <c r="D503" s="57"/>
      <c r="E503" s="233"/>
      <c r="F503" s="23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504">
    <cfRule type="cellIs" dxfId="47" priority="42" operator="greaterThan">
      <formula>60</formula>
    </cfRule>
  </conditionalFormatting>
  <conditionalFormatting sqref="B492">
    <cfRule type="cellIs" dxfId="46" priority="41" operator="greaterThan">
      <formula>60</formula>
    </cfRule>
  </conditionalFormatting>
  <conditionalFormatting sqref="B480">
    <cfRule type="cellIs" dxfId="45" priority="40" operator="greaterThan">
      <formula>60</formula>
    </cfRule>
  </conditionalFormatting>
  <conditionalFormatting sqref="B468">
    <cfRule type="cellIs" dxfId="44" priority="39" operator="greaterThan">
      <formula>60</formula>
    </cfRule>
  </conditionalFormatting>
  <conditionalFormatting sqref="B456">
    <cfRule type="cellIs" dxfId="43" priority="38" operator="greaterThan">
      <formula>60</formula>
    </cfRule>
  </conditionalFormatting>
  <conditionalFormatting sqref="B444">
    <cfRule type="cellIs" dxfId="42" priority="37" operator="greaterThan">
      <formula>60</formula>
    </cfRule>
  </conditionalFormatting>
  <conditionalFormatting sqref="B432">
    <cfRule type="cellIs" dxfId="41" priority="36" operator="greaterThan">
      <formula>60</formula>
    </cfRule>
  </conditionalFormatting>
  <conditionalFormatting sqref="B420">
    <cfRule type="cellIs" dxfId="40" priority="35" operator="greaterThan">
      <formula>60</formula>
    </cfRule>
  </conditionalFormatting>
  <conditionalFormatting sqref="B408">
    <cfRule type="cellIs" dxfId="39" priority="34" operator="greaterThan">
      <formula>60</formula>
    </cfRule>
  </conditionalFormatting>
  <conditionalFormatting sqref="B396">
    <cfRule type="cellIs" dxfId="38" priority="33" operator="greaterThan">
      <formula>60</formula>
    </cfRule>
  </conditionalFormatting>
  <conditionalFormatting sqref="B384">
    <cfRule type="cellIs" dxfId="37" priority="32" operator="greaterThan">
      <formula>60</formula>
    </cfRule>
  </conditionalFormatting>
  <conditionalFormatting sqref="B372">
    <cfRule type="cellIs" dxfId="36" priority="31" operator="greaterThan">
      <formula>60</formula>
    </cfRule>
  </conditionalFormatting>
  <conditionalFormatting sqref="B360">
    <cfRule type="cellIs" dxfId="35" priority="30" operator="greaterThan">
      <formula>60</formula>
    </cfRule>
  </conditionalFormatting>
  <conditionalFormatting sqref="B348">
    <cfRule type="cellIs" dxfId="34" priority="29" operator="greaterThan">
      <formula>60</formula>
    </cfRule>
  </conditionalFormatting>
  <conditionalFormatting sqref="B336">
    <cfRule type="cellIs" dxfId="33" priority="28" operator="greaterThan">
      <formula>60</formula>
    </cfRule>
  </conditionalFormatting>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1"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4</v>
      </c>
      <c r="C2" s="164"/>
      <c r="D2" s="157" t="s">
        <v>15</v>
      </c>
      <c r="E2" s="158" t="s">
        <v>140</v>
      </c>
      <c r="F2" s="159" t="s">
        <v>62</v>
      </c>
      <c r="G2" s="46"/>
    </row>
    <row r="3" spans="1:7" s="47" customFormat="1" ht="30" customHeight="1" thickBot="1" x14ac:dyDescent="0.3">
      <c r="A3" s="78" t="s">
        <v>5</v>
      </c>
      <c r="B3" s="161" t="s">
        <v>38</v>
      </c>
      <c r="C3" s="160"/>
      <c r="D3" s="78" t="s">
        <v>13</v>
      </c>
      <c r="E3" s="243" t="s">
        <v>14</v>
      </c>
      <c r="F3" s="244"/>
      <c r="G3" s="46"/>
    </row>
    <row r="4" spans="1:7" s="52" customFormat="1" x14ac:dyDescent="0.3">
      <c r="A4" s="48" t="s">
        <v>44</v>
      </c>
      <c r="B4" s="49">
        <v>36</v>
      </c>
      <c r="C4" s="152" t="str">
        <f xml:space="preserve"> IF(B4="","",setValueToTime(B4))</f>
        <v>3h</v>
      </c>
      <c r="D4" s="50" t="s">
        <v>71</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62" t="s">
        <v>27</v>
      </c>
      <c r="B12" s="83">
        <f>SUM(B4:B11)</f>
        <v>36</v>
      </c>
      <c r="C12" s="162" t="str">
        <f xml:space="preserve"> setValueToTime(B12)</f>
        <v>3h</v>
      </c>
      <c r="D12" s="121"/>
      <c r="E12" s="241"/>
      <c r="F12" s="24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3</v>
      </c>
      <c r="C14" s="164"/>
      <c r="D14" s="157" t="s">
        <v>15</v>
      </c>
      <c r="E14" s="158" t="s">
        <v>140</v>
      </c>
      <c r="F14" s="159" t="s">
        <v>60</v>
      </c>
      <c r="G14" s="46"/>
    </row>
    <row r="15" spans="1:7" s="47" customFormat="1" ht="30" customHeight="1" thickBot="1" x14ac:dyDescent="0.3">
      <c r="A15" s="78" t="s">
        <v>5</v>
      </c>
      <c r="B15" s="161" t="s">
        <v>38</v>
      </c>
      <c r="C15" s="160"/>
      <c r="D15" s="78" t="s">
        <v>13</v>
      </c>
      <c r="E15" s="243" t="s">
        <v>14</v>
      </c>
      <c r="F15" s="244"/>
      <c r="G15" s="46"/>
    </row>
    <row r="16" spans="1:7" s="52" customFormat="1" ht="27" x14ac:dyDescent="0.3">
      <c r="A16" s="48" t="s">
        <v>42</v>
      </c>
      <c r="B16" s="49">
        <v>9</v>
      </c>
      <c r="C16" s="152" t="str">
        <f xml:space="preserve"> IF(B16="","",setValueToTime(B16))</f>
        <v>0h45min</v>
      </c>
      <c r="D16" s="50" t="s">
        <v>67</v>
      </c>
      <c r="E16" s="239"/>
      <c r="F16" s="240"/>
      <c r="G16" s="51"/>
    </row>
    <row r="17" spans="1:7" s="52" customFormat="1" ht="40.5" x14ac:dyDescent="0.3">
      <c r="A17" s="53" t="s">
        <v>43</v>
      </c>
      <c r="B17" s="54">
        <v>9</v>
      </c>
      <c r="C17" s="153" t="str">
        <f t="shared" ref="C17:C23" si="1" xml:space="preserve"> IF(B17="","",setValueToTime(B17))</f>
        <v>0h45min</v>
      </c>
      <c r="D17" s="55" t="s">
        <v>68</v>
      </c>
      <c r="E17" s="231"/>
      <c r="F17" s="232"/>
      <c r="G17" s="51"/>
    </row>
    <row r="18" spans="1:7" s="52" customFormat="1" ht="40.5" x14ac:dyDescent="0.3">
      <c r="A18" s="53" t="s">
        <v>47</v>
      </c>
      <c r="B18" s="54">
        <v>18</v>
      </c>
      <c r="C18" s="153" t="str">
        <f t="shared" si="1"/>
        <v>1h30min</v>
      </c>
      <c r="D18" s="55" t="s">
        <v>69</v>
      </c>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62" t="s">
        <v>27</v>
      </c>
      <c r="B24" s="83">
        <f>SUM(B16:B23)</f>
        <v>36</v>
      </c>
      <c r="C24" s="162" t="str">
        <f xml:space="preserve"> setValueToTime(B24)</f>
        <v>3h</v>
      </c>
      <c r="D24" s="121"/>
      <c r="E24" s="241"/>
      <c r="F24" s="24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v>
      </c>
      <c r="C26" s="164"/>
      <c r="D26" s="157" t="s">
        <v>15</v>
      </c>
      <c r="E26" s="158" t="s">
        <v>141</v>
      </c>
      <c r="F26" s="159" t="s">
        <v>61</v>
      </c>
      <c r="G26" s="46"/>
    </row>
    <row r="27" spans="1:7" s="47" customFormat="1" ht="30" customHeight="1" thickBot="1" x14ac:dyDescent="0.3">
      <c r="A27" s="78" t="s">
        <v>5</v>
      </c>
      <c r="B27" s="161" t="s">
        <v>38</v>
      </c>
      <c r="C27" s="160"/>
      <c r="D27" s="78" t="s">
        <v>13</v>
      </c>
      <c r="E27" s="243" t="s">
        <v>14</v>
      </c>
      <c r="F27" s="244"/>
      <c r="G27" s="46"/>
    </row>
    <row r="28" spans="1:7" s="52" customFormat="1" x14ac:dyDescent="0.3">
      <c r="A28" s="48" t="s">
        <v>70</v>
      </c>
      <c r="B28" s="49">
        <v>18</v>
      </c>
      <c r="C28" s="152" t="str">
        <f xml:space="preserve"> IF(B28="","",setValueToTime(B28))</f>
        <v>1h30min</v>
      </c>
      <c r="D28" s="50" t="s">
        <v>65</v>
      </c>
      <c r="E28" s="239"/>
      <c r="F28" s="240"/>
      <c r="G28" s="51"/>
    </row>
    <row r="29" spans="1:7" s="52" customFormat="1" ht="27" x14ac:dyDescent="0.3">
      <c r="A29" s="53" t="s">
        <v>42</v>
      </c>
      <c r="B29" s="54">
        <v>18</v>
      </c>
      <c r="C29" s="153" t="str">
        <f t="shared" ref="C29:C35" si="2" xml:space="preserve"> IF(B29="","",setValueToTime(B29))</f>
        <v>1h30min</v>
      </c>
      <c r="D29" s="55" t="s">
        <v>66</v>
      </c>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62" t="s">
        <v>27</v>
      </c>
      <c r="B36" s="83">
        <f>SUM(B28:B35)</f>
        <v>36</v>
      </c>
      <c r="C36" s="162" t="str">
        <f xml:space="preserve"> setValueToTime(B36)</f>
        <v>3h</v>
      </c>
      <c r="D36" s="121"/>
      <c r="E36" s="241"/>
      <c r="F36" s="24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v>
      </c>
      <c r="C38" s="164"/>
      <c r="D38" s="157" t="s">
        <v>15</v>
      </c>
      <c r="E38" s="158" t="s">
        <v>141</v>
      </c>
      <c r="F38" s="159" t="s">
        <v>60</v>
      </c>
      <c r="G38" s="46"/>
    </row>
    <row r="39" spans="1:7" s="47" customFormat="1" ht="30" customHeight="1" thickBot="1" x14ac:dyDescent="0.3">
      <c r="A39" s="78" t="s">
        <v>5</v>
      </c>
      <c r="B39" s="161" t="s">
        <v>38</v>
      </c>
      <c r="C39" s="160"/>
      <c r="D39" s="78" t="s">
        <v>13</v>
      </c>
      <c r="E39" s="243" t="s">
        <v>14</v>
      </c>
      <c r="F39" s="244"/>
      <c r="G39" s="46"/>
    </row>
    <row r="40" spans="1:7" s="52" customFormat="1" x14ac:dyDescent="0.3">
      <c r="A40" s="48" t="s">
        <v>4</v>
      </c>
      <c r="B40" s="49">
        <v>45</v>
      </c>
      <c r="C40" s="152" t="str">
        <f xml:space="preserve"> IF(B40="","",setValueToTime(B40))</f>
        <v>3h45min</v>
      </c>
      <c r="D40" s="50" t="s">
        <v>64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62" t="s">
        <v>27</v>
      </c>
      <c r="B48" s="83">
        <f>SUM(B40:B47)</f>
        <v>45</v>
      </c>
      <c r="C48" s="162" t="str">
        <f xml:space="preserve"> setValueToTime(B48)</f>
        <v>3h45min</v>
      </c>
      <c r="D48" s="121"/>
      <c r="E48" s="241"/>
      <c r="F48" s="242"/>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45:F45"/>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 ref="E33:F33"/>
    <mergeCell ref="E34:F34"/>
    <mergeCell ref="E35:F35"/>
    <mergeCell ref="E36:F36"/>
    <mergeCell ref="E15:F15"/>
    <mergeCell ref="E16:F16"/>
    <mergeCell ref="E17:F17"/>
    <mergeCell ref="E18:F18"/>
    <mergeCell ref="E19:F19"/>
    <mergeCell ref="E20:F20"/>
    <mergeCell ref="E22:F22"/>
    <mergeCell ref="E23:F23"/>
    <mergeCell ref="E24:F24"/>
    <mergeCell ref="E21:F21"/>
    <mergeCell ref="E3:F3"/>
    <mergeCell ref="E4:F4"/>
    <mergeCell ref="E5:F5"/>
    <mergeCell ref="E6:F6"/>
    <mergeCell ref="E7:F7"/>
    <mergeCell ref="E8:F8"/>
    <mergeCell ref="E9:F9"/>
    <mergeCell ref="E10:F10"/>
    <mergeCell ref="E11:F11"/>
    <mergeCell ref="E12:F12"/>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41B1BCF8-9A18-4875-AB5F-A135973D7C6B}">
      <formula1>0</formula1>
      <formula2>60</formula2>
    </dataValidation>
    <dataValidation type="list" allowBlank="1" showInputMessage="1" showErrorMessage="1" sqref="A16:A23 A28:A35 A40:A47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199"/>
      <c r="B11" s="199"/>
      <c r="C11" s="199"/>
      <c r="D11" s="199"/>
      <c r="E11" s="199"/>
      <c r="F11" s="199"/>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12</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32</v>
      </c>
      <c r="F14" s="205"/>
      <c r="G14" s="205"/>
      <c r="H14" s="205"/>
      <c r="I14" s="104"/>
      <c r="J14" s="104"/>
      <c r="K14" s="206" t="s">
        <v>22</v>
      </c>
      <c r="L14" s="206"/>
      <c r="M14" s="206"/>
      <c r="N14" s="206"/>
      <c r="O14" s="129"/>
      <c r="P14" s="129"/>
      <c r="Q14" s="205" t="s">
        <v>33</v>
      </c>
      <c r="R14" s="205"/>
      <c r="S14" s="205"/>
      <c r="T14" s="205"/>
      <c r="U14" s="104"/>
      <c r="V14" s="104"/>
      <c r="W14" s="206" t="s">
        <v>23</v>
      </c>
      <c r="X14" s="206"/>
      <c r="Y14" s="206"/>
      <c r="Z14" s="206"/>
      <c r="AA14" s="129"/>
      <c r="AB14" s="129"/>
      <c r="AC14" s="205" t="s">
        <v>34</v>
      </c>
      <c r="AD14" s="205"/>
      <c r="AE14" s="205"/>
      <c r="AF14" s="205"/>
      <c r="AG14" s="104"/>
      <c r="AH14" s="104"/>
      <c r="AI14" s="206" t="s">
        <v>24</v>
      </c>
      <c r="AJ14" s="206"/>
      <c r="AK14" s="206"/>
      <c r="AL14" s="206"/>
      <c r="AM14" s="129"/>
      <c r="AN14" s="129"/>
      <c r="AO14" s="205" t="s">
        <v>35</v>
      </c>
      <c r="AP14" s="205"/>
      <c r="AQ14" s="205"/>
      <c r="AR14" s="205"/>
      <c r="AS14" s="104"/>
      <c r="AT14" s="104"/>
      <c r="AU14" s="206" t="s">
        <v>25</v>
      </c>
      <c r="AV14" s="206"/>
      <c r="AW14" s="206"/>
      <c r="AX14" s="206"/>
      <c r="AY14" s="129"/>
      <c r="AZ14" s="129"/>
      <c r="BA14" s="205" t="s">
        <v>36</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3" t="s">
        <v>14</v>
      </c>
      <c r="F2" s="244"/>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27</v>
      </c>
      <c r="B11" s="83">
        <f>SUM(B3:B10)</f>
        <v>0</v>
      </c>
      <c r="C11" s="162" t="str">
        <f xml:space="preserve"> setValueToTime(B11)</f>
        <v>0h</v>
      </c>
      <c r="D11" s="121"/>
      <c r="E11" s="241"/>
      <c r="F11" s="24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2024-01-26T09:16:45Z</dcterms:modified>
</cp:coreProperties>
</file>