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0C1F6E27-C0FF-4154-86EA-B3856EBE47B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C101" i="10"/>
  <c r="B120" i="10"/>
  <c r="C119" i="10"/>
  <c r="C118" i="10"/>
  <c r="C117" i="10"/>
  <c r="C116" i="10"/>
  <c r="C115" i="10"/>
  <c r="C114" i="10"/>
  <c r="C113"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24" i="12"/>
  <c r="C23" i="12"/>
  <c r="C22" i="12"/>
  <c r="C21" i="12"/>
  <c r="C20" i="12"/>
  <c r="C19" i="12"/>
  <c r="C18" i="12"/>
  <c r="C17" i="12"/>
  <c r="B36" i="12"/>
  <c r="C35" i="12"/>
  <c r="C34" i="12"/>
  <c r="C33" i="12"/>
  <c r="C32" i="12"/>
  <c r="C31" i="12"/>
  <c r="B48" i="12"/>
  <c r="C47" i="12"/>
  <c r="C46" i="12"/>
  <c r="C45" i="12"/>
  <c r="C44" i="12"/>
  <c r="C43" i="12"/>
  <c r="C42" i="12"/>
  <c r="B60" i="12"/>
  <c r="C59" i="12"/>
  <c r="C58" i="12"/>
  <c r="C57" i="12"/>
  <c r="C56" i="12"/>
  <c r="C55" i="12"/>
  <c r="C54" i="12"/>
  <c r="C53" i="12"/>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B444" i="10"/>
  <c r="C443" i="10"/>
  <c r="C442" i="10"/>
  <c r="C441" i="10"/>
  <c r="C440" i="10"/>
  <c r="C439" i="10"/>
  <c r="C438" i="10"/>
  <c r="B456" i="10"/>
  <c r="C455" i="10"/>
  <c r="C454" i="10"/>
  <c r="C453" i="10"/>
  <c r="C452" i="10"/>
  <c r="C451" i="10"/>
  <c r="B468" i="10"/>
  <c r="C467" i="10"/>
  <c r="C466" i="10"/>
  <c r="C465" i="10"/>
  <c r="C464" i="10"/>
  <c r="C463" i="10"/>
  <c r="B480" i="10"/>
  <c r="C479" i="10"/>
  <c r="C478" i="10"/>
  <c r="C477" i="10"/>
  <c r="C476" i="10"/>
  <c r="C475" i="10"/>
  <c r="C474" i="10"/>
  <c r="B492" i="10"/>
  <c r="C491" i="10"/>
  <c r="C490" i="10"/>
  <c r="C489" i="10"/>
  <c r="C488" i="10"/>
  <c r="C487" i="10"/>
  <c r="C10" i="15"/>
  <c r="C9" i="15"/>
  <c r="C8" i="15"/>
  <c r="C7" i="15"/>
  <c r="C6" i="15"/>
  <c r="C5" i="15"/>
  <c r="C4" i="15"/>
  <c r="C3" i="15"/>
  <c r="B11" i="15"/>
  <c r="C10" i="16"/>
  <c r="C9" i="16"/>
  <c r="C8" i="16"/>
  <c r="C7" i="16"/>
  <c r="C6" i="16"/>
  <c r="C5" i="16"/>
  <c r="C4" i="16"/>
  <c r="C3" i="16"/>
  <c r="B11" i="16"/>
  <c r="C486" i="10"/>
  <c r="C485" i="10"/>
  <c r="D75" i="1"/>
  <c r="D40" i="1"/>
  <c r="D67" i="1"/>
  <c r="D68" i="1"/>
  <c r="D29" i="1"/>
  <c r="D73" i="1"/>
  <c r="D24" i="1"/>
  <c r="D38" i="1"/>
  <c r="D19" i="1"/>
  <c r="D66" i="1"/>
  <c r="D93" i="1"/>
  <c r="D44" i="1"/>
  <c r="D57" i="1"/>
  <c r="D32" i="1"/>
  <c r="D59" i="1"/>
  <c r="D33" i="1"/>
  <c r="D30" i="1"/>
  <c r="D41" i="1"/>
  <c r="D35" i="1"/>
  <c r="D49" i="1"/>
  <c r="D37" i="1"/>
  <c r="D84" i="1"/>
  <c r="D18" i="1"/>
  <c r="D20" i="1"/>
  <c r="D42" i="1"/>
  <c r="D94" i="1"/>
  <c r="D92" i="1"/>
  <c r="D27" i="1"/>
  <c r="D65" i="1"/>
  <c r="D28" i="1"/>
  <c r="D52" i="1"/>
  <c r="D26" i="1"/>
  <c r="D58" i="1"/>
  <c r="D16" i="1"/>
  <c r="D31" i="1"/>
  <c r="D86" i="1"/>
  <c r="D22" i="1"/>
  <c r="D34" i="1"/>
  <c r="D71" i="1"/>
  <c r="D69" i="1"/>
  <c r="D39" i="1"/>
  <c r="D76" i="1"/>
  <c r="D82" i="1"/>
  <c r="D48" i="1"/>
  <c r="D83" i="1"/>
  <c r="D36" i="1"/>
  <c r="D87" i="1"/>
  <c r="D72" i="1"/>
  <c r="C11" i="15"/>
  <c r="D21" i="1"/>
  <c r="D74" i="1"/>
  <c r="D23" i="1"/>
  <c r="D45" i="1"/>
  <c r="D91" i="1"/>
  <c r="D79" i="1"/>
  <c r="D46" i="1"/>
  <c r="D70" i="1"/>
  <c r="D81" i="1"/>
  <c r="D51" i="1"/>
  <c r="D85" i="1"/>
  <c r="D47" i="1"/>
  <c r="D88" i="1"/>
  <c r="D55" i="1"/>
  <c r="C11" i="16"/>
  <c r="D54" i="1"/>
  <c r="D15" i="1"/>
  <c r="D25" i="1"/>
  <c r="D61" i="1"/>
  <c r="D62" i="1"/>
  <c r="D77" i="1"/>
  <c r="D89" i="1"/>
  <c r="D90" i="1"/>
  <c r="D43" i="1"/>
  <c r="D56" i="1"/>
  <c r="D17" i="1"/>
  <c r="D63" i="1"/>
  <c r="D78" i="1"/>
  <c r="D64" i="1"/>
  <c r="D60" i="1"/>
  <c r="D50" i="1"/>
  <c r="D80" i="1"/>
  <c r="D53" i="1"/>
  <c r="C4" i="12"/>
  <c r="C12" i="12"/>
  <c r="C48" i="12"/>
  <c r="C60" i="12"/>
  <c r="C52" i="12"/>
  <c r="C16" i="12"/>
  <c r="C28" i="12"/>
  <c r="C41" i="12"/>
  <c r="C29" i="12"/>
  <c r="C30" i="12"/>
  <c r="C40" i="12"/>
  <c r="C24" i="12"/>
  <c r="C36" i="12"/>
  <c r="C4" i="10"/>
  <c r="C16" i="10"/>
  <c r="C28" i="10"/>
  <c r="C40" i="10"/>
  <c r="C52" i="10"/>
  <c r="C64" i="10"/>
  <c r="C76" i="10"/>
  <c r="C12" i="10"/>
  <c r="C24" i="10"/>
  <c r="C36" i="10"/>
  <c r="C48" i="10"/>
  <c r="C60" i="10"/>
  <c r="C72" i="10"/>
  <c r="C84" i="10"/>
  <c r="C88" i="10"/>
  <c r="C100" i="10"/>
  <c r="C96" i="10"/>
  <c r="C108" i="10"/>
  <c r="C112" i="10"/>
  <c r="C120" i="10"/>
  <c r="C124" i="10"/>
  <c r="C132" i="10"/>
  <c r="C136" i="10"/>
  <c r="C144" i="10"/>
  <c r="C160" i="10"/>
  <c r="C148" i="10"/>
  <c r="C156" i="10"/>
  <c r="C168" i="10"/>
  <c r="C172" i="10"/>
  <c r="C180" i="10"/>
  <c r="C184" i="10"/>
  <c r="C192" i="10"/>
  <c r="C196" i="10"/>
  <c r="C204" i="10"/>
  <c r="C208" i="10"/>
  <c r="C216" i="10"/>
  <c r="C220" i="10"/>
  <c r="C228" i="10"/>
  <c r="C456" i="10"/>
  <c r="C448" i="10"/>
  <c r="C424" i="10"/>
  <c r="C436" i="10"/>
  <c r="C304" i="10"/>
  <c r="C364" i="10"/>
  <c r="C232" i="10"/>
  <c r="C324" i="10"/>
  <c r="C352" i="10"/>
  <c r="C384" i="10"/>
  <c r="C244" i="10"/>
  <c r="C425" i="10"/>
  <c r="C340" i="10"/>
  <c r="C252" i="10"/>
  <c r="C472" i="10"/>
  <c r="C432" i="10"/>
  <c r="C480" i="10"/>
  <c r="C444" i="10"/>
  <c r="C268" i="10"/>
  <c r="C276" i="10"/>
  <c r="C280" i="10"/>
  <c r="C372" i="10"/>
  <c r="C292" i="10"/>
  <c r="C461" i="10"/>
  <c r="C460" i="10"/>
  <c r="C376" i="10"/>
  <c r="C312" i="10"/>
  <c r="C468" i="10"/>
  <c r="C256" i="10"/>
  <c r="C348" i="10"/>
  <c r="C328" i="10"/>
  <c r="C264" i="10"/>
  <c r="C412" i="10"/>
  <c r="C492" i="10"/>
  <c r="C360" i="10"/>
  <c r="C316" i="10"/>
  <c r="C400" i="10"/>
  <c r="C473" i="10"/>
  <c r="C288" i="10"/>
  <c r="C462" i="10"/>
  <c r="C484" i="10"/>
  <c r="C300" i="10"/>
  <c r="C396" i="10"/>
  <c r="C336" i="10"/>
  <c r="C408" i="10"/>
  <c r="C240" i="10"/>
  <c r="C305" i="10"/>
  <c r="C420" i="10"/>
  <c r="C388"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<sst xmlns="http://schemas.openxmlformats.org/spreadsheetml/2006/main" count="713" uniqueCount="103">
  <si>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</si>
  <si>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</si>
  <si>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</si>
  <si>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</si>
  <si>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</si>
  <si>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</si>
  <si>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</si>
  <si>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</si>
  <si>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</si>
  <si>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</si>
  <si>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</si>
  <si>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</si>
  <si>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</si>
  <si>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</si>
  <si>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</si>
  <si>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</si>
  <si>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</si>
  <si>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</si>
  <si>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</si>
  <si>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</si>
  <si>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</si>
  <si>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</si>
  <si>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</si>
  <si>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</si>
  <si>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</si>
  <si>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</si>
  <si>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</si>
  <si>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</si>
  <si>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</si>
  <si>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</si>
  <si>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</si>
  <si>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</si>
  <si>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</si>
  <si>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</si>
  <si>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</si>
  <si>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</si>
  <si>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</si>
  <si>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</si>
  <si>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</si>
  <si>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</si>
  <si>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</si>
  <si>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</si>
  <si>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</si>
  <si>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</si>
  <si>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</si>
  <si>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</si>
  <si>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</si>
  <si>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</si>
  <si>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</si>
  <si>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</si>
  <si>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</si>
  <si>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</si>
  <si>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</si>
  <si>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</si>
  <si>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</si>
  <si>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</si>
  <si>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</si>
  <si>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</si>
  <si>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</si>
  <si>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</si>
  <si>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</si>
  <si>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</si>
  <si>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</si>
  <si>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</si>
  <si>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</si>
  <si>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</si>
  <si>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</si>
  <si>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</si>
  <si>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</si>
  <si>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</si>
  <si>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</si>
  <si>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</si>
  <si>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</si>
  <si>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</si>
  <si>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</si>
  <si>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</si>
  <si>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Création des tests</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</si>
  <si>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</si>
  <si>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</si>
  <si>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</si>
  <si>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</si>
  <si>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</si>
  <si>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</si>
  <si>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</si>
  <si>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</si>
  <si>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</si>
  <si>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</si>
  <si>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</si>
  <si>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</si>
  <si>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</si>
  <si>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</si>
  <si>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</si>
  <si>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</si>
  <si>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</si>
  <si>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</si>
  <si>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</si>
  <si>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</si>
  <si>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</si>
  <si>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45h</t>
  </si>
  <si>
    <t>12h45min</t>
  </si>
  <si>
    <t>- 32h15min</t>
  </si>
  <si>
    <t>Mise en place de la protection des formulaires</t>
  </si>
  <si>
    <t>Finnissions de la plannification initiale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</si>
</sst>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 </c:v>
              </c:pt>
              <c:pt idx="21">
                <c:v>Documentation - Préparation à la présentation</c:v>
              </c:pt>
            </c:strLit>
          </c:cat>
          <c:val>
            <c:numLit>
              <c:formatCode>General</c:formatCode>
              <c:ptCount val="23"/>
              <c:pt idx="0">
                <c:v>6.75</c:v>
              </c:pt>
              <c:pt idx="1">
                <c:v>2.25</c:v>
              </c:pt>
              <c:pt idx="2">
                <c:v>0.75</c:v>
              </c:pt>
              <c:pt idx="3">
                <c:v>12.75</c:v>
              </c:pt>
              <c:pt idx="4">
                <c:v>1.5</c:v>
              </c:pt>
              <c:pt idx="5">
                <c:v>6.75</c:v>
              </c:pt>
              <c:pt idx="6">
                <c:v>3</c:v>
              </c:pt>
              <c:pt idx="7">
                <c:v>3</c:v>
              </c:pt>
              <c:pt idx="8">
                <c:v>6.75</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98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99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100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AFN99"/>
  <sheetViews>
    <sheetView showGridLines="0" topLeftCell="A22" zoomScale="70" zoomScaleNormal="70" zoomScaleSheetLayoutView="43" workbookViewId="0">
      <selection activeCell="F94" sqref="F94:AF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845" width="1.140625" style="3" customWidth="1"/>
    <col min="846" max="846" width="2.7109375" style="3" customWidth="1"/>
    <col min="847" max="16384" width="11.42578125" style="3"/>
  </cols>
  <sheetData>
    <row r="1" spans="1:846" ht="35.1" customHeight="1" x14ac:dyDescent="0.25">
      <c r="B1" s="95"/>
      <c r="C1" s="228" t="s">
        <v>29</v>
      </c>
      <c r="D1" s="228"/>
      <c r="E1" s="22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93">
        <v>1</v>
      </c>
    </row>
    <row r="2" spans="1:84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90"/>
    </row>
    <row r="3" spans="1:84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90"/>
    </row>
    <row r="4" spans="1:84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90"/>
    </row>
    <row r="5" spans="1:84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90"/>
    </row>
    <row r="6" spans="1:84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90"/>
    </row>
    <row r="7" spans="1:846" ht="20.100000000000001" customHeight="1" thickBot="1" x14ac:dyDescent="0.3">
      <c r="B7" s="96"/>
      <c r="C7" s="229"/>
      <c r="D7" s="229"/>
      <c r="E7" s="22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90"/>
    </row>
    <row r="8" spans="1:84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90"/>
    </row>
    <row r="9" spans="1:846" ht="30" customHeight="1" x14ac:dyDescent="0.25">
      <c r="B9" s="96"/>
      <c r="C9" s="12" t="s">
        <v>16</v>
      </c>
      <c r="D9" s="141"/>
      <c r="E9" s="13" t="s">
        <v>20</v>
      </c>
      <c r="F9" s="14"/>
      <c r="G9" s="224" t="str">
        <f>E96</f>
        <v>45h</v>
      </c>
      <c r="H9" s="224"/>
      <c r="I9" s="224"/>
      <c r="J9" s="224"/>
      <c r="K9" s="224"/>
      <c r="L9" s="224"/>
      <c r="M9" s="224"/>
      <c r="N9" s="224"/>
      <c r="O9" s="224"/>
      <c r="P9" s="224"/>
      <c r="Q9" s="224"/>
      <c r="R9" s="224"/>
      <c r="S9" s="224"/>
      <c r="T9" s="224"/>
      <c r="U9" s="224"/>
      <c r="V9" s="119"/>
      <c r="W9" s="223" t="s">
        <v>21</v>
      </c>
      <c r="X9" s="223"/>
      <c r="Y9" s="223"/>
      <c r="Z9" s="223"/>
      <c r="AA9" s="223"/>
      <c r="AB9" s="223"/>
      <c r="AC9" s="223"/>
      <c r="AD9" s="223"/>
      <c r="AE9" s="223"/>
      <c r="AF9" s="223"/>
      <c r="AG9" s="223"/>
      <c r="AH9" s="224" t="str">
        <f>E98</f>
        <v>12h45min</v>
      </c>
      <c r="AI9" s="224"/>
      <c r="AJ9" s="224"/>
      <c r="AK9" s="224"/>
      <c r="AL9" s="224"/>
      <c r="AM9" s="224"/>
      <c r="AN9" s="224"/>
      <c r="AO9" s="224"/>
      <c r="AP9" s="224"/>
      <c r="AQ9" s="224"/>
      <c r="AR9" s="224"/>
      <c r="AS9" s="224"/>
      <c r="AT9" s="224"/>
      <c r="AU9" s="224"/>
      <c r="AV9" s="224"/>
      <c r="AW9" s="22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90"/>
    </row>
    <row r="10" spans="1:84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90"/>
    </row>
    <row r="11" spans="1:846" ht="20.100000000000001" customHeight="1" x14ac:dyDescent="0.25">
      <c r="B11" s="96"/>
      <c r="C11" s="226"/>
      <c r="D11" s="226"/>
      <c r="E11" s="226"/>
      <c r="F11" s="222" t="s">
        <v>97</v>
      </c>
      <c r="G11" s="222"/>
      <c r="H11" s="222"/>
      <c r="I11" s="222"/>
      <c r="J11" s="222"/>
      <c r="K11" s="222"/>
      <c r="L11" s="222"/>
      <c r="M11" s="222"/>
      <c r="N11" s="222"/>
      <c r="O11" s="222"/>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t="s">
        <v>97</v>
      </c>
      <c r="BO11" s="222"/>
      <c r="BP11" s="222"/>
      <c r="BQ11" s="222"/>
      <c r="BR11" s="222"/>
      <c r="BS11" s="222"/>
      <c r="BT11" s="222"/>
      <c r="BU11" s="222"/>
      <c r="BV11" s="222"/>
      <c r="BW11" s="222"/>
      <c r="BX11" s="222"/>
      <c r="BY11" s="222"/>
      <c r="BZ11" s="222"/>
      <c r="CA11" s="222"/>
      <c r="CB11" s="222"/>
      <c r="CC11" s="222"/>
      <c r="CD11" s="222"/>
      <c r="CE11" s="222"/>
      <c r="CF11" s="222"/>
      <c r="CG11" s="222"/>
      <c r="CH11" s="222"/>
      <c r="CI11" s="222"/>
      <c r="CJ11" s="222"/>
      <c r="CK11" s="222"/>
      <c r="CL11" s="222"/>
      <c r="CM11" s="222"/>
      <c r="CN11" s="222"/>
      <c r="CO11" s="222"/>
      <c r="CP11" s="222"/>
      <c r="CQ11" s="222"/>
      <c r="CR11" s="222"/>
      <c r="CS11" s="222"/>
      <c r="CT11" s="222"/>
      <c r="CU11" s="222"/>
      <c r="CV11" s="222"/>
      <c r="CW11" s="222"/>
      <c r="CX11" s="222"/>
      <c r="CY11" s="222"/>
      <c r="CZ11" s="222"/>
      <c r="DA11" s="222"/>
      <c r="DB11" s="222"/>
      <c r="DC11" s="222"/>
      <c r="DD11" s="222"/>
      <c r="DE11" s="222"/>
      <c r="DF11" s="222"/>
      <c r="DG11" s="222"/>
      <c r="DH11" s="222"/>
      <c r="DI11" s="222"/>
      <c r="DJ11" s="222"/>
      <c r="DK11" s="222"/>
      <c r="DL11" s="222"/>
      <c r="DM11" s="222"/>
      <c r="DN11" s="222"/>
      <c r="DO11" s="222"/>
      <c r="DP11" s="222"/>
      <c r="DQ11" s="222"/>
      <c r="DR11" s="222"/>
      <c r="DS11" s="222"/>
      <c r="DT11" s="222"/>
      <c r="DU11" s="222"/>
      <c r="DV11" s="204" t="s">
        <v>61</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60</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95</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92</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92</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89</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89</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87</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84</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84</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81</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81</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90"/>
    </row>
    <row r="12" spans="1:846" ht="15.75" customHeight="1" thickBot="1" x14ac:dyDescent="0.3">
      <c r="B12" s="97"/>
      <c r="C12" s="227"/>
      <c r="D12" s="227"/>
      <c r="E12" s="227"/>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90"/>
    </row>
    <row r="13" spans="1:846" ht="42.75" customHeight="1" thickBot="1" x14ac:dyDescent="0.3">
      <c r="B13" s="96"/>
      <c r="C13" s="217" t="s">
        <v>7</v>
      </c>
      <c r="D13" s="144"/>
      <c r="E13" s="219" t="s">
        <v>37</v>
      </c>
      <c r="F13" s="200" t="s">
        <v>8</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96</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94</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93</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91</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90</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88</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86</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85</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83</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82</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80</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90"/>
    </row>
    <row r="14" spans="1:846" ht="12.75" customHeight="1" thickBot="1" x14ac:dyDescent="0.35">
      <c r="B14" s="96"/>
      <c r="C14" s="218"/>
      <c r="D14" s="145"/>
      <c r="E14" s="220"/>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90"/>
    </row>
    <row r="15" spans="1:846" ht="20.100000000000001" customHeight="1" x14ac:dyDescent="0.25">
      <c r="A15" s="100" t="s">
        <v>18</v>
      </c>
      <c r="B15" s="63" t="str">
        <f>IF(LEN(C15)=0,"",C15)</f>
        <v xml:space="preserve">Absences - imprévus </v>
      </c>
      <c r="C15" s="214" t="s">
        <v>4</v>
      </c>
      <c r="D15" s="149" t="str">
        <f>setValueToTime(E15)</f>
        <v>6h45min</v>
      </c>
      <c r="E15" s="31">
        <v>81</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178"/>
      <c r="WI15" s="179"/>
      <c r="WJ15" s="179"/>
      <c r="WK15" s="179"/>
      <c r="WL15" s="180"/>
      <c r="WM15" s="181"/>
      <c r="WN15" s="180"/>
      <c r="WO15" s="180"/>
      <c r="WP15" s="180"/>
      <c r="WQ15" s="180"/>
      <c r="WR15" s="180"/>
      <c r="WS15" s="182"/>
      <c r="WT15" s="180"/>
      <c r="WU15" s="180"/>
      <c r="WV15" s="180"/>
      <c r="WW15" s="180"/>
      <c r="WX15" s="180"/>
      <c r="WY15" s="183"/>
      <c r="WZ15" s="180"/>
      <c r="XA15" s="180"/>
      <c r="XB15" s="180"/>
      <c r="XC15" s="180"/>
      <c r="XD15" s="180"/>
      <c r="XE15" s="182"/>
      <c r="XF15" s="180"/>
      <c r="XG15" s="180"/>
      <c r="XH15" s="180"/>
      <c r="XI15" s="180"/>
      <c r="XJ15" s="180"/>
      <c r="XK15" s="183"/>
      <c r="XL15" s="179"/>
      <c r="XM15" s="179"/>
      <c r="XN15" s="179"/>
      <c r="XO15" s="179"/>
      <c r="XP15" s="180"/>
      <c r="XQ15" s="182"/>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90"/>
    </row>
    <row r="16" spans="1:846" ht="20.100000000000001" customHeight="1" x14ac:dyDescent="0.25">
      <c r="A16" s="100" t="s">
        <v>19</v>
      </c>
      <c r="B16" s="63" t="str">
        <f>IF(LEN(C17)=0,"",C17)</f>
        <v>Informer - Relire l'ancien rapport</v>
      </c>
      <c r="C16" s="215"/>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90"/>
    </row>
    <row r="17" spans="1:846" ht="20.100000000000001" customHeight="1" x14ac:dyDescent="0.25">
      <c r="A17" s="100" t="s">
        <v>18</v>
      </c>
      <c r="B17" s="63" t="str">
        <f>IF(LEN(C19)=0,"",C19)</f>
        <v>Informer - Check de ce qui fonctionne déjà</v>
      </c>
      <c r="C17" s="214" t="s">
        <v>41</v>
      </c>
      <c r="D17" s="146" t="str">
        <f t="shared" si="0"/>
        <v>2h15min</v>
      </c>
      <c r="E17" s="31">
        <v>27</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67"/>
      <c r="CG17" s="167"/>
      <c r="CH17" s="167"/>
      <c r="CI17" s="167"/>
      <c r="CJ17" s="167"/>
      <c r="CK17" s="169"/>
      <c r="CL17" s="167"/>
      <c r="CM17" s="167"/>
      <c r="CN17" s="167"/>
      <c r="CO17" s="167"/>
      <c r="CP17" s="167"/>
      <c r="CQ17" s="170"/>
      <c r="CR17" s="166"/>
      <c r="CS17" s="166"/>
      <c r="CT17" s="166"/>
      <c r="CU17" s="166"/>
      <c r="CV17" s="167"/>
      <c r="CW17" s="169"/>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90"/>
    </row>
    <row r="18" spans="1:846" ht="20.100000000000001" customHeight="1" x14ac:dyDescent="0.3">
      <c r="A18" s="100" t="s">
        <v>19</v>
      </c>
      <c r="B18" s="63" t="str">
        <f>IF(LEN(C21)=0,"",C21)</f>
        <v>Informer - Préformation au VBA</v>
      </c>
      <c r="C18" s="215"/>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90"/>
    </row>
    <row r="19" spans="1:846" ht="20.100000000000001" customHeight="1" x14ac:dyDescent="0.25">
      <c r="A19" s="100" t="s">
        <v>18</v>
      </c>
      <c r="B19" s="63" t="str">
        <f>IF(LEN(C23)=0,"",C23)</f>
        <v xml:space="preserve">Analyse - Découpage du travail en plusieurs tâches </v>
      </c>
      <c r="C19" s="214"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90"/>
    </row>
    <row r="20" spans="1:846" ht="20.100000000000001" customHeight="1" x14ac:dyDescent="0.25">
      <c r="A20" s="100" t="s">
        <v>19</v>
      </c>
      <c r="B20" s="63" t="str">
        <f>IF(LEN(C25)=0,"",C25)</f>
        <v>Analyse - Planification</v>
      </c>
      <c r="C20" s="216"/>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90"/>
    </row>
    <row r="21" spans="1:846" ht="20.100000000000001" customHeight="1" x14ac:dyDescent="0.25">
      <c r="A21" s="100" t="s">
        <v>18</v>
      </c>
      <c r="B21" s="63" t="str">
        <f>IF(LEN(C27)=0,"",C27)</f>
        <v>Analyse - Analyse SWOT</v>
      </c>
      <c r="C21" s="214" t="s">
        <v>45</v>
      </c>
      <c r="D21" s="146" t="str">
        <f t="shared" si="0"/>
        <v>12h45min</v>
      </c>
      <c r="E21" s="31">
        <v>153</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165"/>
      <c r="KU21" s="166"/>
      <c r="KV21" s="166"/>
      <c r="KW21" s="166"/>
      <c r="KX21" s="167"/>
      <c r="KY21" s="168"/>
      <c r="KZ21" s="167"/>
      <c r="LA21" s="167"/>
      <c r="LB21" s="167"/>
      <c r="LC21" s="167"/>
      <c r="LD21" s="167"/>
      <c r="LE21" s="169"/>
      <c r="LF21" s="167"/>
      <c r="LG21" s="167"/>
      <c r="LH21" s="167"/>
      <c r="LI21" s="167"/>
      <c r="LJ21" s="167"/>
      <c r="LK21" s="170"/>
      <c r="LL21" s="167"/>
      <c r="LM21" s="167"/>
      <c r="LN21" s="167"/>
      <c r="LO21" s="167"/>
      <c r="LP21" s="167"/>
      <c r="LQ21" s="169"/>
      <c r="LR21" s="167"/>
      <c r="LS21" s="167"/>
      <c r="LT21" s="167"/>
      <c r="LU21" s="167"/>
      <c r="LV21" s="167"/>
      <c r="LW21" s="170"/>
      <c r="LX21" s="166"/>
      <c r="LY21" s="166"/>
      <c r="LZ21" s="166"/>
      <c r="MA21" s="166"/>
      <c r="MB21" s="167"/>
      <c r="MC21" s="169"/>
      <c r="MD21" s="167"/>
      <c r="ME21" s="167"/>
      <c r="MF21" s="167"/>
      <c r="MG21" s="167"/>
      <c r="MH21" s="167"/>
      <c r="MI21" s="170"/>
      <c r="MJ21" s="167"/>
      <c r="MK21" s="167"/>
      <c r="ML21" s="167"/>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90"/>
    </row>
    <row r="22" spans="1:846" ht="20.100000000000001" customHeight="1" x14ac:dyDescent="0.25">
      <c r="A22" s="100" t="s">
        <v>19</v>
      </c>
      <c r="B22" s="63" t="str">
        <f>IF(LEN(C29)=0,"",C29)</f>
        <v>Conception - Création des tests</v>
      </c>
      <c r="C22" s="216"/>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90"/>
    </row>
    <row r="23" spans="1:846" ht="20.100000000000001" customHeight="1" x14ac:dyDescent="0.25">
      <c r="A23" s="100" t="s">
        <v>18</v>
      </c>
      <c r="B23" s="63" t="str">
        <f>IF(LEN(C31)=0,"",C31)</f>
        <v>Conception - Organisation &amp; création de la marche à suivre</v>
      </c>
      <c r="C23" s="214"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90"/>
    </row>
    <row r="24" spans="1:846" ht="20.100000000000001" customHeight="1" x14ac:dyDescent="0.25">
      <c r="A24" s="100" t="s">
        <v>19</v>
      </c>
      <c r="B24" s="63" t="str">
        <f>IF(LEN(C33)=0,"",C33)</f>
        <v xml:space="preserve">Réalisation - Protection du Formulaire </v>
      </c>
      <c r="C24" s="216"/>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90"/>
    </row>
    <row r="25" spans="1:846" ht="20.100000000000001" customHeight="1" x14ac:dyDescent="0.25">
      <c r="A25" s="100" t="s">
        <v>18</v>
      </c>
      <c r="B25" s="63" t="str">
        <f>IF(LEN(C35)=0,"",C35)</f>
        <v xml:space="preserve">Réalisation - Ajouter une fonction pour ecrire dans la forme "Qui" </v>
      </c>
      <c r="C25" s="214" t="s">
        <v>43</v>
      </c>
      <c r="D25" s="146" t="str">
        <f t="shared" si="0"/>
        <v>6h45min</v>
      </c>
      <c r="E25" s="31">
        <v>81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167"/>
      <c r="JW25" s="167"/>
      <c r="JX25" s="167"/>
      <c r="JY25" s="167"/>
      <c r="JZ25" s="167"/>
      <c r="KA25" s="170"/>
      <c r="KB25" s="167"/>
      <c r="KC25" s="167"/>
      <c r="KD25" s="167"/>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90"/>
    </row>
    <row r="26" spans="1:846" ht="20.100000000000001" customHeight="1" x14ac:dyDescent="0.3">
      <c r="A26" s="100" t="s">
        <v>19</v>
      </c>
      <c r="B26" s="63" t="str">
        <f>IF(LEN(C37)=0,"",C37)</f>
        <v>Réalisation - Création de relation avec un panier d'information</v>
      </c>
      <c r="C26" s="216"/>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90"/>
    </row>
    <row r="27" spans="1:846" ht="20.100000000000001" customHeight="1" x14ac:dyDescent="0.25">
      <c r="A27" s="100" t="s">
        <v>18</v>
      </c>
      <c r="B27" s="63" t="str">
        <f>IF(LEN(C39)=0,"",C39)</f>
        <v>Réalisation - Créaer des instructions</v>
      </c>
      <c r="C27" s="214"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176"/>
      <c r="UA27" s="175"/>
      <c r="UB27" s="175"/>
      <c r="UC27" s="175"/>
      <c r="UD27" s="171"/>
      <c r="UE27" s="177"/>
      <c r="UF27" s="171"/>
      <c r="UG27" s="171"/>
      <c r="UH27" s="171"/>
      <c r="UI27" s="171"/>
      <c r="UJ27" s="171"/>
      <c r="UK27" s="172"/>
      <c r="UL27" s="171"/>
      <c r="UM27" s="171"/>
      <c r="UN27" s="171"/>
      <c r="UO27" s="171"/>
      <c r="UP27" s="171"/>
      <c r="UQ27" s="173"/>
      <c r="UR27" s="171"/>
      <c r="US27" s="171"/>
      <c r="UT27" s="171"/>
      <c r="UU27" s="171"/>
      <c r="UV27" s="171"/>
      <c r="UW27" s="172"/>
      <c r="UX27" s="171"/>
      <c r="UY27" s="171"/>
      <c r="UZ27" s="171"/>
      <c r="VA27" s="171"/>
      <c r="VB27" s="171"/>
      <c r="VC27" s="173"/>
      <c r="VD27" s="175"/>
      <c r="VE27" s="175"/>
      <c r="VF27" s="175"/>
      <c r="VG27" s="175"/>
      <c r="VH27" s="171"/>
      <c r="VI27" s="172"/>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90"/>
    </row>
    <row r="28" spans="1:846" ht="20.100000000000001" customHeight="1" x14ac:dyDescent="0.3">
      <c r="A28" s="100" t="s">
        <v>19</v>
      </c>
      <c r="B28" s="63" t="str">
        <f>IF(LEN(C41)=0,"",C41)</f>
        <v>Réalisation - Créer un système de note à ajouter sur les instructions</v>
      </c>
      <c r="C28" s="21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90"/>
    </row>
    <row r="29" spans="1:846" ht="20.100000000000001" customHeight="1" x14ac:dyDescent="0.25">
      <c r="A29" s="100" t="s">
        <v>18</v>
      </c>
      <c r="B29" s="63" t="str">
        <f>IF(LEN(C43)=0,"",C43)</f>
        <v>Réalisation - Créer un .exe pour installer le gabarit dans Visio</v>
      </c>
      <c r="C29" s="214" t="s">
        <v>47</v>
      </c>
      <c r="D29" s="146" t="str">
        <f t="shared" si="0"/>
        <v>3h</v>
      </c>
      <c r="E29" s="31">
        <v>36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165"/>
      <c r="YQ29" s="166"/>
      <c r="YR29" s="166"/>
      <c r="YS29" s="166"/>
      <c r="YT29" s="167"/>
      <c r="YU29" s="168"/>
      <c r="YV29" s="167"/>
      <c r="YW29" s="167"/>
      <c r="YX29" s="167"/>
      <c r="YY29" s="167"/>
      <c r="YZ29" s="167"/>
      <c r="ZA29" s="169"/>
      <c r="ZB29" s="167"/>
      <c r="ZC29" s="167"/>
      <c r="ZD29" s="167"/>
      <c r="ZE29" s="167"/>
      <c r="ZF29" s="167"/>
      <c r="ZG29" s="170"/>
      <c r="ZH29" s="167"/>
      <c r="ZI29" s="167"/>
      <c r="ZJ29" s="167"/>
      <c r="ZK29" s="167"/>
      <c r="ZL29" s="167"/>
      <c r="ZM29" s="169"/>
      <c r="ZN29" s="167"/>
      <c r="ZO29" s="167"/>
      <c r="ZP29" s="167"/>
      <c r="ZQ29" s="167"/>
      <c r="ZR29" s="167"/>
      <c r="ZS29" s="170"/>
      <c r="ZT29" s="166"/>
      <c r="ZU29" s="166"/>
      <c r="ZV29" s="166"/>
      <c r="ZW29" s="166"/>
      <c r="ZX29" s="167"/>
      <c r="ZY29" s="169"/>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90"/>
    </row>
    <row r="30" spans="1:846" ht="20.100000000000001" customHeight="1" x14ac:dyDescent="0.3">
      <c r="A30" s="100" t="s">
        <v>19</v>
      </c>
      <c r="B30" s="63" t="str">
        <f>IF(LEN(C45)=0,"",C45)</f>
        <v>Réalisation - Extraire les données en fichier Excel</v>
      </c>
      <c r="C30" s="21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90"/>
    </row>
    <row r="31" spans="1:846" ht="20.100000000000001" customHeight="1" x14ac:dyDescent="0.25">
      <c r="A31" s="100" t="s">
        <v>18</v>
      </c>
      <c r="B31" s="63" t="str">
        <f>IF(LEN(C47)=0,"",C47)</f>
        <v>Test - Test du projet</v>
      </c>
      <c r="C31" s="214" t="s">
        <v>48</v>
      </c>
      <c r="D31" s="146" t="str">
        <f t="shared" si="0"/>
        <v>6h45min</v>
      </c>
      <c r="E31" s="39">
        <v>81</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176"/>
      <c r="AAY31" s="175"/>
      <c r="AAZ31" s="175"/>
      <c r="ABA31" s="175"/>
      <c r="ABB31" s="171"/>
      <c r="ABC31" s="177"/>
      <c r="ABD31" s="171"/>
      <c r="ABE31" s="171"/>
      <c r="ABF31" s="171"/>
      <c r="ABG31" s="171"/>
      <c r="ABH31" s="171"/>
      <c r="ABI31" s="172"/>
      <c r="ABJ31" s="171"/>
      <c r="ABK31" s="171"/>
      <c r="ABL31" s="171"/>
      <c r="ABM31" s="171"/>
      <c r="ABN31" s="171"/>
      <c r="ABO31" s="173"/>
      <c r="ABP31" s="171"/>
      <c r="ABQ31" s="171"/>
      <c r="ABR31" s="171"/>
      <c r="ABS31" s="171"/>
      <c r="ABT31" s="171"/>
      <c r="ABU31" s="172"/>
      <c r="ABV31" s="171"/>
      <c r="ABW31" s="171"/>
      <c r="ABX31" s="171"/>
      <c r="ABY31" s="171"/>
      <c r="ABZ31" s="171"/>
      <c r="ACA31" s="173"/>
      <c r="ACB31" s="175"/>
      <c r="ACC31" s="175"/>
      <c r="ACD31" s="175"/>
      <c r="ACE31" s="175"/>
      <c r="ACF31" s="171"/>
      <c r="ACG31" s="172"/>
      <c r="ACH31" s="171"/>
      <c r="ACI31" s="171"/>
      <c r="ACJ31" s="171"/>
      <c r="ACK31" s="171"/>
      <c r="ACL31" s="171"/>
      <c r="ACM31" s="173"/>
      <c r="ACN31" s="171"/>
      <c r="ACO31" s="171"/>
      <c r="ACP31" s="17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90"/>
    </row>
    <row r="32" spans="1:846" ht="20.100000000000001" customHeight="1" x14ac:dyDescent="0.3">
      <c r="A32" s="100" t="s">
        <v>19</v>
      </c>
      <c r="B32" s="63" t="str">
        <f>IF(LEN(C49)=0,"",C49)</f>
        <v>Evaluation - Evaluer le travail effectué</v>
      </c>
      <c r="C32" s="21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90"/>
    </row>
    <row r="33" spans="1:846" ht="20.100000000000001" customHeight="1" x14ac:dyDescent="0.25">
      <c r="A33" s="100" t="s">
        <v>18</v>
      </c>
      <c r="B33" s="63" t="str">
        <f>IF(LEN(C51)=0,"",C51)</f>
        <v xml:space="preserve">Documentation - Journal de travail </v>
      </c>
      <c r="C33" s="214" t="s">
        <v>49</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90"/>
    </row>
    <row r="34" spans="1:846" ht="20.100000000000001" customHeight="1" x14ac:dyDescent="0.3">
      <c r="A34" s="100" t="s">
        <v>19</v>
      </c>
      <c r="B34" s="63" t="str">
        <f>IF(LEN(C53)=0,"",C53)</f>
        <v>Documentation - Rapport</v>
      </c>
      <c r="C34" s="21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90"/>
    </row>
    <row r="35" spans="1:846" ht="20.100000000000001" customHeight="1" x14ac:dyDescent="0.25">
      <c r="A35" s="100" t="s">
        <v>18</v>
      </c>
      <c r="B35" s="63" t="str">
        <f>IF(LEN(C55)=0,"",C55)</f>
        <v xml:space="preserve">Discussion </v>
      </c>
      <c r="C35" s="214"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90"/>
    </row>
    <row r="36" spans="1:846" ht="20.100000000000001" customHeight="1" x14ac:dyDescent="0.25">
      <c r="A36" s="100" t="s">
        <v>19</v>
      </c>
      <c r="B36" s="63" t="str">
        <f>IF(LEN(C57)=0,"",C57)</f>
        <v>Documentation - Préparation à la présentation</v>
      </c>
      <c r="C36" s="21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90"/>
    </row>
    <row r="37" spans="1:846" ht="20.100000000000001" customHeight="1" x14ac:dyDescent="0.25">
      <c r="A37" s="100" t="s">
        <v>18</v>
      </c>
      <c r="B37" s="63" t="str">
        <f>IF(LEN(C59)=0,"",C59)</f>
        <v/>
      </c>
      <c r="C37" s="214" t="s">
        <v>50</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90"/>
    </row>
    <row r="38" spans="1:846" ht="20.100000000000001" customHeight="1" x14ac:dyDescent="0.3">
      <c r="A38" s="100" t="s">
        <v>19</v>
      </c>
      <c r="B38" s="63" t="str">
        <f>IF(LEN(C61)=0,"",C61)</f>
        <v/>
      </c>
      <c r="C38" s="21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90"/>
    </row>
    <row r="39" spans="1:846" ht="20.100000000000001" customHeight="1" x14ac:dyDescent="0.25">
      <c r="A39" s="100" t="s">
        <v>18</v>
      </c>
      <c r="B39" s="63" t="str">
        <f>IF(LEN(C63)=0,"",C63)</f>
        <v/>
      </c>
      <c r="C39" s="214"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90"/>
    </row>
    <row r="40" spans="1:846" ht="20.100000000000001" customHeight="1" x14ac:dyDescent="0.25">
      <c r="A40" s="100" t="s">
        <v>19</v>
      </c>
      <c r="B40" s="63" t="str">
        <f>IF(LEN(C65)=0,"",C65)</f>
        <v/>
      </c>
      <c r="C40" s="21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90"/>
    </row>
    <row r="41" spans="1:846" ht="20.100000000000001" customHeight="1" x14ac:dyDescent="0.25">
      <c r="A41" s="100" t="s">
        <v>18</v>
      </c>
      <c r="B41" s="63" t="str">
        <f>IF(LEN(C67)=0,"",C67)</f>
        <v/>
      </c>
      <c r="C41" s="214"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90"/>
    </row>
    <row r="42" spans="1:846" ht="20.100000000000001" customHeight="1" x14ac:dyDescent="0.3">
      <c r="A42" s="100" t="s">
        <v>19</v>
      </c>
      <c r="B42" s="63" t="str">
        <f>IF(LEN(C69)=0,"",C69)</f>
        <v/>
      </c>
      <c r="C42" s="21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90"/>
    </row>
    <row r="43" spans="1:846" ht="20.100000000000001" customHeight="1" x14ac:dyDescent="0.25">
      <c r="A43" s="100" t="s">
        <v>18</v>
      </c>
      <c r="B43" s="63" t="str">
        <f>IF(LEN(C71)=0,"",C71)</f>
        <v/>
      </c>
      <c r="C43" s="214"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90"/>
    </row>
    <row r="44" spans="1:846" ht="20.100000000000001" customHeight="1" x14ac:dyDescent="0.3">
      <c r="A44" s="100" t="s">
        <v>19</v>
      </c>
      <c r="B44" s="63" t="str">
        <f>IF(LEN(C73)=0,"",C73)</f>
        <v/>
      </c>
      <c r="C44" s="21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90"/>
    </row>
    <row r="45" spans="1:846" ht="20.100000000000001" customHeight="1" x14ac:dyDescent="0.25">
      <c r="A45" s="100" t="s">
        <v>18</v>
      </c>
      <c r="B45" s="63" t="str">
        <f>IF(LEN(C75)=0,"",C75)</f>
        <v/>
      </c>
      <c r="C45" s="214"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90"/>
    </row>
    <row r="46" spans="1:846" ht="20.100000000000001" customHeight="1" x14ac:dyDescent="0.25">
      <c r="A46" s="100" t="s">
        <v>19</v>
      </c>
      <c r="B46" s="63" t="str">
        <f>IF(LEN(C77)=0,"",C77)</f>
        <v/>
      </c>
      <c r="C46" s="21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90"/>
    </row>
    <row r="47" spans="1:846" ht="20.100000000000001" customHeight="1" x14ac:dyDescent="0.25">
      <c r="A47" s="100" t="s">
        <v>18</v>
      </c>
      <c r="B47" s="63" t="str">
        <f>IF(LEN(C79)=0,"",C79)</f>
        <v/>
      </c>
      <c r="C47" s="214" t="s">
        <v>55</v>
      </c>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90"/>
    </row>
    <row r="48" spans="1:846" ht="20.100000000000001" customHeight="1" x14ac:dyDescent="0.3">
      <c r="A48" s="100" t="s">
        <v>19</v>
      </c>
      <c r="B48" s="63" t="str">
        <f>IF(LEN(C81)=0,"",C81)</f>
        <v/>
      </c>
      <c r="C48" s="21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90"/>
    </row>
    <row r="49" spans="1:846" ht="20.100000000000001" customHeight="1" x14ac:dyDescent="0.25">
      <c r="A49" s="100" t="s">
        <v>18</v>
      </c>
      <c r="B49" s="63" t="str">
        <f>IF(LEN(C83)=0,"",C83)</f>
        <v/>
      </c>
      <c r="C49" s="214" t="s">
        <v>56</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90"/>
    </row>
    <row r="50" spans="1:846" ht="20.100000000000001" customHeight="1" x14ac:dyDescent="0.3">
      <c r="A50" s="100" t="s">
        <v>19</v>
      </c>
      <c r="B50" s="63" t="str">
        <f>IF(LEN(C85)=0,"",C85)</f>
        <v/>
      </c>
      <c r="C50" s="21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90"/>
    </row>
    <row r="51" spans="1:846" ht="20.100000000000001" customHeight="1" x14ac:dyDescent="0.25">
      <c r="A51" s="100" t="s">
        <v>18</v>
      </c>
      <c r="B51" s="63" t="str">
        <f>IF(LEN(C87)=0,"",C87)</f>
        <v/>
      </c>
      <c r="C51" s="214" t="s">
        <v>57</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90"/>
    </row>
    <row r="52" spans="1:846" ht="20.100000000000001" customHeight="1" x14ac:dyDescent="0.25">
      <c r="A52" s="100" t="s">
        <v>19</v>
      </c>
      <c r="B52" s="63" t="str">
        <f>IF(LEN(C89)=0,"",C89)</f>
        <v/>
      </c>
      <c r="C52" s="21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90"/>
    </row>
    <row r="53" spans="1:846" ht="20.100000000000001" customHeight="1" x14ac:dyDescent="0.25">
      <c r="A53" s="100" t="s">
        <v>18</v>
      </c>
      <c r="B53" s="63" t="str">
        <f>IF(LEN(C91)=0,"",C91)</f>
        <v/>
      </c>
      <c r="C53" s="214" t="s">
        <v>58</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90"/>
    </row>
    <row r="54" spans="1:846" ht="20.100000000000001" customHeight="1" x14ac:dyDescent="0.3">
      <c r="A54" s="100" t="s">
        <v>19</v>
      </c>
      <c r="B54" s="63" t="str">
        <f>IF(LEN(C93)=0,"",C93)</f>
        <v/>
      </c>
      <c r="C54" s="21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90"/>
    </row>
    <row r="55" spans="1:846" ht="20.100000000000001" customHeight="1" x14ac:dyDescent="0.25">
      <c r="A55" s="100" t="s">
        <v>18</v>
      </c>
      <c r="B55" s="63"/>
      <c r="C55" s="214" t="s">
        <v>64</v>
      </c>
      <c r="D55" s="146" t="str">
        <f t="shared" si="0"/>
        <v>1h30min</v>
      </c>
      <c r="E55" s="39">
        <v>18</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176"/>
      <c r="BO55" s="175"/>
      <c r="BP55" s="175"/>
      <c r="BQ55" s="175"/>
      <c r="BR55" s="171"/>
      <c r="BS55" s="177"/>
      <c r="BT55" s="171"/>
      <c r="BU55" s="171"/>
      <c r="BV55" s="171"/>
      <c r="BW55" s="171"/>
      <c r="BX55" s="171"/>
      <c r="BY55" s="172"/>
      <c r="BZ55" s="171"/>
      <c r="CA55" s="171"/>
      <c r="CB55" s="171"/>
      <c r="CC55" s="171"/>
      <c r="CD55" s="171"/>
      <c r="CE55" s="173"/>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90"/>
    </row>
    <row r="56" spans="1:846" ht="20.100000000000001" customHeight="1" x14ac:dyDescent="0.25">
      <c r="A56" s="100" t="s">
        <v>19</v>
      </c>
      <c r="B56" s="63"/>
      <c r="C56" s="216"/>
      <c r="D56" s="147" t="str">
        <f t="shared" si="0"/>
        <v>1h30min</v>
      </c>
      <c r="E56" s="27">
        <v>18</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194"/>
      <c r="BO56" s="193"/>
      <c r="BP56" s="193"/>
      <c r="BQ56" s="193"/>
      <c r="BR56" s="190"/>
      <c r="BS56" s="195"/>
      <c r="BT56" s="190"/>
      <c r="BU56" s="190"/>
      <c r="BV56" s="190"/>
      <c r="BW56" s="190"/>
      <c r="BX56" s="190"/>
      <c r="BY56" s="191"/>
      <c r="BZ56" s="190"/>
      <c r="CA56" s="190"/>
      <c r="CB56" s="190"/>
      <c r="CC56" s="190"/>
      <c r="CD56" s="190"/>
      <c r="CE56" s="192"/>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90"/>
    </row>
    <row r="57" spans="1:846" ht="20.100000000000001" customHeight="1" x14ac:dyDescent="0.25">
      <c r="A57" s="100" t="s">
        <v>18</v>
      </c>
      <c r="B57" s="63"/>
      <c r="C57" s="214" t="s">
        <v>79</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90"/>
    </row>
    <row r="58" spans="1:846" ht="20.100000000000001" customHeight="1" x14ac:dyDescent="0.3">
      <c r="A58" s="100" t="s">
        <v>19</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90"/>
    </row>
    <row r="59" spans="1:846" ht="20.100000000000001" customHeight="1" x14ac:dyDescent="0.25">
      <c r="A59" s="100" t="s">
        <v>18</v>
      </c>
      <c r="B59" s="63"/>
      <c r="C59" s="21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90"/>
    </row>
    <row r="60" spans="1:846" ht="20.100000000000001" customHeight="1" x14ac:dyDescent="0.3">
      <c r="A60" s="100" t="s">
        <v>19</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90"/>
    </row>
    <row r="61" spans="1:846" ht="20.100000000000001" customHeight="1" x14ac:dyDescent="0.25">
      <c r="A61" s="100" t="s">
        <v>18</v>
      </c>
      <c r="B61" s="63"/>
      <c r="C61" s="21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90"/>
    </row>
    <row r="62" spans="1:846" ht="20.100000000000001" customHeight="1" x14ac:dyDescent="0.25">
      <c r="A62" s="100" t="s">
        <v>19</v>
      </c>
      <c r="B62" s="63"/>
      <c r="C62" s="21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90"/>
    </row>
    <row r="63" spans="1:846" ht="20.100000000000001" customHeight="1" x14ac:dyDescent="0.25">
      <c r="A63" s="100" t="s">
        <v>18</v>
      </c>
      <c r="B63" s="63"/>
      <c r="C63" s="21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90"/>
    </row>
    <row r="64" spans="1:846" ht="20.100000000000001" customHeight="1" x14ac:dyDescent="0.3">
      <c r="A64" s="100" t="s">
        <v>19</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90"/>
    </row>
    <row r="65" spans="1:846" ht="20.100000000000001" customHeight="1" x14ac:dyDescent="0.25">
      <c r="A65" s="100" t="s">
        <v>18</v>
      </c>
      <c r="B65" s="63"/>
      <c r="C65" s="21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90"/>
    </row>
    <row r="66" spans="1:846" ht="20.100000000000001" customHeight="1" x14ac:dyDescent="0.3">
      <c r="A66" s="100" t="s">
        <v>19</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90"/>
    </row>
    <row r="67" spans="1:846" ht="20.100000000000001" customHeight="1" x14ac:dyDescent="0.25">
      <c r="A67" s="100" t="s">
        <v>18</v>
      </c>
      <c r="B67" s="63"/>
      <c r="C67" s="21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90"/>
    </row>
    <row r="68" spans="1:846" ht="20.100000000000001" customHeight="1" x14ac:dyDescent="0.25">
      <c r="A68" s="100" t="s">
        <v>19</v>
      </c>
      <c r="B68" s="63"/>
      <c r="C68" s="21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90"/>
    </row>
    <row r="69" spans="1:846" ht="20.100000000000001" customHeight="1" x14ac:dyDescent="0.25">
      <c r="A69" s="100" t="s">
        <v>18</v>
      </c>
      <c r="B69" s="63"/>
      <c r="C69" s="21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90"/>
    </row>
    <row r="70" spans="1:846" ht="20.100000000000001" customHeight="1" x14ac:dyDescent="0.3">
      <c r="A70" s="100" t="s">
        <v>19</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90"/>
    </row>
    <row r="71" spans="1:846" ht="20.100000000000001" customHeight="1" x14ac:dyDescent="0.25">
      <c r="A71" s="100" t="s">
        <v>18</v>
      </c>
      <c r="B71" s="63"/>
      <c r="C71" s="21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90"/>
    </row>
    <row r="72" spans="1:846" ht="20.100000000000001" customHeight="1" x14ac:dyDescent="0.25">
      <c r="A72" s="100" t="s">
        <v>19</v>
      </c>
      <c r="B72" s="63"/>
      <c r="C72" s="21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90"/>
    </row>
    <row r="73" spans="1:846" ht="20.100000000000001" customHeight="1" x14ac:dyDescent="0.25">
      <c r="A73" s="100" t="s">
        <v>18</v>
      </c>
      <c r="B73" s="63"/>
      <c r="C73" s="21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90"/>
    </row>
    <row r="74" spans="1:846" ht="20.100000000000001" customHeight="1" x14ac:dyDescent="0.3">
      <c r="A74" s="100" t="s">
        <v>19</v>
      </c>
      <c r="B74" s="63"/>
      <c r="C74" s="21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90"/>
    </row>
    <row r="75" spans="1:846" ht="20.100000000000001" customHeight="1" x14ac:dyDescent="0.25">
      <c r="A75" s="100" t="s">
        <v>18</v>
      </c>
      <c r="B75" s="63"/>
      <c r="C75" s="21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90"/>
    </row>
    <row r="76" spans="1:846" ht="20.100000000000001" customHeight="1" x14ac:dyDescent="0.3">
      <c r="A76" s="100" t="s">
        <v>19</v>
      </c>
      <c r="B76" s="63"/>
      <c r="C76" s="21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90"/>
    </row>
    <row r="77" spans="1:846" ht="20.100000000000001" customHeight="1" x14ac:dyDescent="0.25">
      <c r="A77" s="100" t="s">
        <v>18</v>
      </c>
      <c r="B77" s="63"/>
      <c r="C77" s="21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90"/>
    </row>
    <row r="78" spans="1:846" ht="20.100000000000001" customHeight="1" x14ac:dyDescent="0.25">
      <c r="A78" s="100" t="s">
        <v>19</v>
      </c>
      <c r="B78" s="63"/>
      <c r="C78" s="21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90"/>
    </row>
    <row r="79" spans="1:846" ht="20.100000000000001" customHeight="1" x14ac:dyDescent="0.25">
      <c r="A79" s="100" t="s">
        <v>18</v>
      </c>
      <c r="B79" s="63"/>
      <c r="C79" s="21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90"/>
    </row>
    <row r="80" spans="1:846" ht="20.100000000000001" customHeight="1" x14ac:dyDescent="0.3">
      <c r="A80" s="100" t="s">
        <v>19</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90"/>
    </row>
    <row r="81" spans="1:846" ht="20.100000000000001" customHeight="1" x14ac:dyDescent="0.25">
      <c r="A81" s="100" t="s">
        <v>18</v>
      </c>
      <c r="B81" s="63"/>
      <c r="C81" s="21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90"/>
    </row>
    <row r="82" spans="1:846" ht="20.100000000000001" customHeight="1" x14ac:dyDescent="0.3">
      <c r="A82" s="100" t="s">
        <v>19</v>
      </c>
      <c r="B82" s="63"/>
      <c r="C82" s="21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90"/>
    </row>
    <row r="83" spans="1:846" ht="20.100000000000001" customHeight="1" x14ac:dyDescent="0.25">
      <c r="A83" s="100" t="s">
        <v>18</v>
      </c>
      <c r="B83" s="63"/>
      <c r="C83" s="21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90"/>
    </row>
    <row r="84" spans="1:846" ht="20.100000000000001" customHeight="1" x14ac:dyDescent="0.25">
      <c r="A84" s="100" t="s">
        <v>19</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90"/>
    </row>
    <row r="85" spans="1:846" ht="20.100000000000001" customHeight="1" x14ac:dyDescent="0.25">
      <c r="A85" s="100" t="s">
        <v>18</v>
      </c>
      <c r="B85" s="63"/>
      <c r="C85" s="21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90"/>
    </row>
    <row r="86" spans="1:846" ht="20.100000000000001" customHeight="1" x14ac:dyDescent="0.3">
      <c r="A86" s="100" t="s">
        <v>19</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90"/>
    </row>
    <row r="87" spans="1:846" ht="20.100000000000001" customHeight="1" x14ac:dyDescent="0.25">
      <c r="A87" s="100" t="s">
        <v>18</v>
      </c>
      <c r="B87" s="63"/>
      <c r="C87" s="21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90"/>
    </row>
    <row r="88" spans="1:846" ht="20.100000000000001" customHeight="1" x14ac:dyDescent="0.25">
      <c r="A88" s="100" t="s">
        <v>19</v>
      </c>
      <c r="B88" s="63"/>
      <c r="C88" s="21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90"/>
    </row>
    <row r="89" spans="1:846" ht="20.100000000000001" customHeight="1" x14ac:dyDescent="0.25">
      <c r="A89" s="100" t="s">
        <v>18</v>
      </c>
      <c r="B89" s="63"/>
      <c r="C89" s="21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90"/>
    </row>
    <row r="90" spans="1:846" ht="20.100000000000001" customHeight="1" x14ac:dyDescent="0.3">
      <c r="A90" s="100" t="s">
        <v>19</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90"/>
    </row>
    <row r="91" spans="1:846" ht="20.100000000000001" customHeight="1" x14ac:dyDescent="0.25">
      <c r="A91" s="100" t="s">
        <v>18</v>
      </c>
      <c r="B91" s="63"/>
      <c r="C91" s="21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90"/>
    </row>
    <row r="92" spans="1:846" ht="20.100000000000001" customHeight="1" x14ac:dyDescent="0.3">
      <c r="A92" s="100" t="s">
        <v>19</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90"/>
    </row>
    <row r="93" spans="1:846" ht="20.100000000000001" customHeight="1" x14ac:dyDescent="0.25">
      <c r="A93" s="100" t="s">
        <v>18</v>
      </c>
      <c r="B93" s="63"/>
      <c r="C93" s="21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90"/>
    </row>
    <row r="94" spans="1:846" ht="20.100000000000001" customHeight="1" x14ac:dyDescent="0.25">
      <c r="A94" s="100" t="s">
        <v>19</v>
      </c>
      <c r="B94" s="63"/>
      <c r="C94" s="21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90"/>
    </row>
    <row r="95" spans="1:846" ht="20.100000000000001" customHeight="1" x14ac:dyDescent="0.25">
      <c r="B95" s="96"/>
      <c r="C95" s="206" t="s">
        <v>9</v>
      </c>
      <c r="D95" s="207"/>
      <c r="E95" s="117">
        <f>SUM(E15,E17,E19,E21,E23,E25,E27,E29,E31,E33,E35,E37,E39,E41,E43,E45,E47,E49,E51,E53,E55,E57,E59,E61,E63,E65,E67,E69,E71,E73,E75,E77,E79,E81,E83,E85,E87,E89,E91,E93)</f>
        <v>540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90"/>
    </row>
    <row r="96" spans="1:846" ht="20.100000000000001" customHeight="1" thickBot="1" x14ac:dyDescent="0.3">
      <c r="B96" s="96"/>
      <c r="C96" s="208"/>
      <c r="D96" s="209"/>
      <c r="E96" s="123" t="str">
        <f xml:space="preserve"> setValueToTime(E95)</f>
        <v>45h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90"/>
    </row>
    <row r="97" spans="2:846" ht="20.100000000000001" customHeight="1" x14ac:dyDescent="0.25">
      <c r="B97" s="96"/>
      <c r="C97" s="210" t="s">
        <v>10</v>
      </c>
      <c r="D97" s="211"/>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24"/>
    </row>
    <row r="98" spans="2:846" ht="20.100000000000001" customHeight="1" thickBot="1" x14ac:dyDescent="0.3">
      <c r="B98" s="96"/>
      <c r="C98" s="212"/>
      <c r="D98" s="213"/>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90"/>
    </row>
    <row r="99" spans="2:84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91"/>
    </row>
  </sheetData>
  <sheetProtection insertRows="0" insertHyperlinks="0" selectLockedCells="1"/>
  <mergeCells count="232">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493"/>
  <sheetViews>
    <sheetView showGridLines="0" zoomScaleNormal="100" zoomScaleSheetLayoutView="98" workbookViewId="0">
      <pane ySplit="1" topLeftCell="A478" activePane="bottomLeft" state="frozen"/>
      <selection activeCell="BC13" sqref="BC13"/>
      <selection pane="bottomLeft" activeCell="G493" sqref="G49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41</v>
      </c>
      <c r="C2" s="163"/>
      <c r="D2" s="82" t="s">
        <v>15</v>
      </c>
      <c r="E2" s="94">
        <v>45359</v>
      </c>
      <c r="F2" s="126"/>
      <c r="G2" s="46"/>
    </row>
    <row r="3" spans="1:7" s="47" customFormat="1" ht="30" customHeight="1" thickBot="1" x14ac:dyDescent="0.3">
      <c r="A3" s="80" t="s">
        <v>5</v>
      </c>
      <c r="B3" s="150" t="s">
        <v>38</v>
      </c>
      <c r="C3" s="151"/>
      <c r="D3" s="80" t="s">
        <v>13</v>
      </c>
      <c r="E3" s="232" t="s">
        <v>14</v>
      </c>
      <c r="F3" s="233"/>
      <c r="G3" s="46"/>
    </row>
    <row r="4" spans="1:7" s="52" customFormat="1" ht="27" x14ac:dyDescent="0.3">
      <c r="A4" s="48" t="s">
        <v>79</v>
      </c>
      <c r="B4" s="49">
        <v>36</v>
      </c>
      <c r="C4" s="152" t="str">
        <f xml:space="preserve"> IF(B4="","",setValueToTime(B4))</f>
        <v>3h</v>
      </c>
      <c r="D4" s="50"/>
      <c r="E4" s="234"/>
      <c r="F4" s="235"/>
      <c r="G4" s="51"/>
    </row>
    <row r="5" spans="1:7" s="52" customFormat="1" x14ac:dyDescent="0.3">
      <c r="A5" s="53"/>
      <c r="B5" s="54"/>
      <c r="C5" s="153" t="str">
        <f t="shared" ref="C5:C11" si="0" xml:space="preserve"> IF(B5="","",setValueToTime(B5))</f>
        <v/>
      </c>
      <c r="D5" s="55"/>
      <c r="E5" s="236"/>
      <c r="F5" s="237"/>
      <c r="G5" s="51"/>
    </row>
    <row r="6" spans="1:7" s="52" customFormat="1" x14ac:dyDescent="0.3">
      <c r="A6" s="53"/>
      <c r="B6" s="54"/>
      <c r="C6" s="153" t="str">
        <f t="shared" si="0"/>
        <v/>
      </c>
      <c r="D6" s="55"/>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11" t="s">
        <v>27</v>
      </c>
      <c r="B12" s="84">
        <f>SUM(B4:B11)</f>
        <v>36</v>
      </c>
      <c r="C12" s="111" t="str">
        <f xml:space="preserve"> setValueToTime(B12)</f>
        <v>3h</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12</v>
      </c>
      <c r="B14" s="163">
        <v>40</v>
      </c>
      <c r="C14" s="163"/>
      <c r="D14" s="82" t="s">
        <v>15</v>
      </c>
      <c r="E14" s="94">
        <v>45359</v>
      </c>
      <c r="F14" s="126"/>
      <c r="G14" s="46"/>
    </row>
    <row r="15" spans="1:7" s="47" customFormat="1" ht="30" customHeight="1" thickBot="1" x14ac:dyDescent="0.3">
      <c r="A15" s="80" t="s">
        <v>5</v>
      </c>
      <c r="B15" s="150" t="s">
        <v>38</v>
      </c>
      <c r="C15" s="151"/>
      <c r="D15" s="80" t="s">
        <v>13</v>
      </c>
      <c r="E15" s="232" t="s">
        <v>14</v>
      </c>
      <c r="F15" s="233"/>
      <c r="G15" s="46"/>
    </row>
    <row r="16" spans="1:7" s="52" customFormat="1" ht="27" x14ac:dyDescent="0.3">
      <c r="A16" s="48" t="s">
        <v>79</v>
      </c>
      <c r="B16" s="49">
        <v>45</v>
      </c>
      <c r="C16" s="152" t="str">
        <f xml:space="preserve"> IF(B16="","",setValueToTime(B16))</f>
        <v>3h45min</v>
      </c>
      <c r="D16" s="50"/>
      <c r="E16" s="234"/>
      <c r="F16" s="235"/>
      <c r="G16" s="51"/>
    </row>
    <row r="17" spans="1:7" s="52" customFormat="1" x14ac:dyDescent="0.3">
      <c r="A17" s="53"/>
      <c r="B17" s="54"/>
      <c r="C17" s="153" t="str">
        <f t="shared" ref="C17:C23" si="1" xml:space="preserve"> IF(B17="","",setValueToTime(B17))</f>
        <v/>
      </c>
      <c r="D17" s="55"/>
      <c r="E17" s="236"/>
      <c r="F17" s="237"/>
      <c r="G17" s="51"/>
    </row>
    <row r="18" spans="1:7" s="52" customFormat="1" x14ac:dyDescent="0.3">
      <c r="A18" s="53"/>
      <c r="B18" s="54"/>
      <c r="C18" s="153" t="str">
        <f t="shared" si="1"/>
        <v/>
      </c>
      <c r="D18" s="55"/>
      <c r="E18" s="236"/>
      <c r="F18" s="237"/>
      <c r="G18" s="51"/>
    </row>
    <row r="19" spans="1:7" s="52" customFormat="1" x14ac:dyDescent="0.3">
      <c r="A19" s="53"/>
      <c r="B19" s="54"/>
      <c r="C19" s="153" t="str">
        <f t="shared" si="1"/>
        <v/>
      </c>
      <c r="D19" s="55"/>
      <c r="E19" s="236"/>
      <c r="F19" s="237"/>
      <c r="G19" s="51"/>
    </row>
    <row r="20" spans="1:7" s="52" customFormat="1" x14ac:dyDescent="0.3">
      <c r="A20" s="54"/>
      <c r="B20" s="54"/>
      <c r="C20" s="154" t="str">
        <f t="shared" si="1"/>
        <v/>
      </c>
      <c r="D20" s="55"/>
      <c r="E20" s="236"/>
      <c r="F20" s="237"/>
      <c r="G20" s="51"/>
    </row>
    <row r="21" spans="1:7" s="52" customFormat="1" x14ac:dyDescent="0.3">
      <c r="A21" s="54"/>
      <c r="B21" s="54"/>
      <c r="C21" s="154" t="str">
        <f t="shared" si="1"/>
        <v/>
      </c>
      <c r="D21" s="55"/>
      <c r="E21" s="236"/>
      <c r="F21" s="237"/>
      <c r="G21" s="51"/>
    </row>
    <row r="22" spans="1:7" s="52" customFormat="1" x14ac:dyDescent="0.3">
      <c r="A22" s="54"/>
      <c r="B22" s="54"/>
      <c r="C22" s="154" t="str">
        <f t="shared" si="1"/>
        <v/>
      </c>
      <c r="D22" s="55"/>
      <c r="E22" s="236"/>
      <c r="F22" s="237"/>
      <c r="G22" s="51"/>
    </row>
    <row r="23" spans="1:7" s="52" customFormat="1" ht="15" thickBot="1" x14ac:dyDescent="0.35">
      <c r="A23" s="56"/>
      <c r="B23" s="56"/>
      <c r="C23" s="155" t="str">
        <f t="shared" si="1"/>
        <v/>
      </c>
      <c r="D23" s="57"/>
      <c r="E23" s="238"/>
      <c r="F23" s="239"/>
      <c r="G23" s="51"/>
    </row>
    <row r="24" spans="1:7" s="52" customFormat="1" ht="15" thickBot="1" x14ac:dyDescent="0.35">
      <c r="A24" s="111" t="s">
        <v>27</v>
      </c>
      <c r="B24" s="84">
        <f>SUM(B16:B23)</f>
        <v>45</v>
      </c>
      <c r="C24" s="111" t="str">
        <f xml:space="preserve"> setValueToTime(B24)</f>
        <v>3h45min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12</v>
      </c>
      <c r="B26" s="163">
        <v>39</v>
      </c>
      <c r="C26" s="163"/>
      <c r="D26" s="82" t="s">
        <v>15</v>
      </c>
      <c r="E26" s="94">
        <v>45358</v>
      </c>
      <c r="F26" s="126"/>
      <c r="G26" s="46"/>
    </row>
    <row r="27" spans="1:7" s="47" customFormat="1" ht="30" customHeight="1" thickBot="1" x14ac:dyDescent="0.3">
      <c r="A27" s="80" t="s">
        <v>5</v>
      </c>
      <c r="B27" s="150" t="s">
        <v>38</v>
      </c>
      <c r="C27" s="151"/>
      <c r="D27" s="80" t="s">
        <v>13</v>
      </c>
      <c r="E27" s="232" t="s">
        <v>14</v>
      </c>
      <c r="F27" s="233"/>
      <c r="G27" s="46"/>
    </row>
    <row r="28" spans="1:7" s="52" customFormat="1" ht="27" x14ac:dyDescent="0.3">
      <c r="A28" s="48" t="s">
        <v>79</v>
      </c>
      <c r="B28" s="49">
        <v>36</v>
      </c>
      <c r="C28" s="152" t="str">
        <f xml:space="preserve"> IF(B28="","",setValueToTime(B28))</f>
        <v>3h</v>
      </c>
      <c r="D28" s="50"/>
      <c r="E28" s="234"/>
      <c r="F28" s="235"/>
      <c r="G28" s="51"/>
    </row>
    <row r="29" spans="1:7" s="52" customFormat="1" x14ac:dyDescent="0.3">
      <c r="A29" s="53"/>
      <c r="B29" s="54"/>
      <c r="C29" s="153" t="str">
        <f t="shared" ref="C29:C35" si="2" xml:space="preserve"> IF(B29="","",setValueToTime(B29))</f>
        <v/>
      </c>
      <c r="D29" s="55"/>
      <c r="E29" s="236"/>
      <c r="F29" s="237"/>
      <c r="G29" s="51"/>
    </row>
    <row r="30" spans="1:7" s="52" customFormat="1" x14ac:dyDescent="0.3">
      <c r="A30" s="53"/>
      <c r="B30" s="54"/>
      <c r="C30" s="153" t="str">
        <f t="shared" si="2"/>
        <v/>
      </c>
      <c r="D30" s="55"/>
      <c r="E30" s="236"/>
      <c r="F30" s="237"/>
      <c r="G30" s="51"/>
    </row>
    <row r="31" spans="1:7" s="52" customFormat="1" x14ac:dyDescent="0.3">
      <c r="A31" s="53"/>
      <c r="B31" s="54"/>
      <c r="C31" s="153" t="str">
        <f t="shared" si="2"/>
        <v/>
      </c>
      <c r="D31" s="55"/>
      <c r="E31" s="236"/>
      <c r="F31" s="237"/>
      <c r="G31" s="51"/>
    </row>
    <row r="32" spans="1:7" s="52" customFormat="1" x14ac:dyDescent="0.3">
      <c r="A32" s="54"/>
      <c r="B32" s="54"/>
      <c r="C32" s="154" t="str">
        <f t="shared" si="2"/>
        <v/>
      </c>
      <c r="D32" s="55"/>
      <c r="E32" s="236"/>
      <c r="F32" s="237"/>
      <c r="G32" s="51"/>
    </row>
    <row r="33" spans="1:7" s="52" customFormat="1" x14ac:dyDescent="0.3">
      <c r="A33" s="54"/>
      <c r="B33" s="54"/>
      <c r="C33" s="154" t="str">
        <f t="shared" si="2"/>
        <v/>
      </c>
      <c r="D33" s="55"/>
      <c r="E33" s="236"/>
      <c r="F33" s="237"/>
      <c r="G33" s="51"/>
    </row>
    <row r="34" spans="1:7" s="52" customFormat="1" x14ac:dyDescent="0.3">
      <c r="A34" s="54"/>
      <c r="B34" s="54"/>
      <c r="C34" s="154" t="str">
        <f t="shared" si="2"/>
        <v/>
      </c>
      <c r="D34" s="55"/>
      <c r="E34" s="236"/>
      <c r="F34" s="237"/>
      <c r="G34" s="51"/>
    </row>
    <row r="35" spans="1:7" s="52" customFormat="1" ht="15" thickBot="1" x14ac:dyDescent="0.35">
      <c r="A35" s="56"/>
      <c r="B35" s="56"/>
      <c r="C35" s="155" t="str">
        <f t="shared" si="2"/>
        <v/>
      </c>
      <c r="D35" s="57"/>
      <c r="E35" s="238"/>
      <c r="F35" s="239"/>
      <c r="G35" s="51"/>
    </row>
    <row r="36" spans="1:7" s="52" customFormat="1" ht="15" thickBot="1" x14ac:dyDescent="0.35">
      <c r="A36" s="111" t="s">
        <v>27</v>
      </c>
      <c r="B36" s="84">
        <f>SUM(B28:B35)</f>
        <v>36</v>
      </c>
      <c r="C36" s="111" t="str">
        <f xml:space="preserve"> setValueToTime(B36)</f>
        <v>3h</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12</v>
      </c>
      <c r="B38" s="163">
        <v>38</v>
      </c>
      <c r="C38" s="163"/>
      <c r="D38" s="82" t="s">
        <v>15</v>
      </c>
      <c r="E38" s="94">
        <v>45357</v>
      </c>
      <c r="F38" s="126"/>
      <c r="G38" s="46"/>
    </row>
    <row r="39" spans="1:7" s="47" customFormat="1" ht="30" customHeight="1" thickBot="1" x14ac:dyDescent="0.3">
      <c r="A39" s="80" t="s">
        <v>5</v>
      </c>
      <c r="B39" s="150" t="s">
        <v>38</v>
      </c>
      <c r="C39" s="151"/>
      <c r="D39" s="80" t="s">
        <v>13</v>
      </c>
      <c r="E39" s="232" t="s">
        <v>14</v>
      </c>
      <c r="F39" s="233"/>
      <c r="G39" s="46"/>
    </row>
    <row r="40" spans="1:7" s="52" customFormat="1" ht="27" x14ac:dyDescent="0.3">
      <c r="A40" s="48" t="s">
        <v>79</v>
      </c>
      <c r="B40" s="49">
        <v>36</v>
      </c>
      <c r="C40" s="152" t="str">
        <f xml:space="preserve"> IF(B40="","",setValueToTime(B40))</f>
        <v>3h</v>
      </c>
      <c r="D40" s="50"/>
      <c r="E40" s="234"/>
      <c r="F40" s="235"/>
      <c r="G40" s="51"/>
    </row>
    <row r="41" spans="1:7" s="52" customFormat="1" x14ac:dyDescent="0.3">
      <c r="A41" s="53"/>
      <c r="B41" s="54"/>
      <c r="C41" s="153" t="str">
        <f t="shared" ref="C41:C47" si="3" xml:space="preserve"> IF(B41="","",setValueToTime(B41))</f>
        <v/>
      </c>
      <c r="D41" s="55"/>
      <c r="E41" s="236"/>
      <c r="F41" s="237"/>
      <c r="G41" s="51"/>
    </row>
    <row r="42" spans="1:7" s="52" customFormat="1" x14ac:dyDescent="0.3">
      <c r="A42" s="53"/>
      <c r="B42" s="54"/>
      <c r="C42" s="153" t="str">
        <f t="shared" si="3"/>
        <v/>
      </c>
      <c r="D42" s="55"/>
      <c r="E42" s="236"/>
      <c r="F42" s="237"/>
      <c r="G42" s="51"/>
    </row>
    <row r="43" spans="1:7" s="52" customFormat="1" x14ac:dyDescent="0.3">
      <c r="A43" s="53"/>
      <c r="B43" s="54"/>
      <c r="C43" s="153" t="str">
        <f t="shared" si="3"/>
        <v/>
      </c>
      <c r="D43" s="55"/>
      <c r="E43" s="236"/>
      <c r="F43" s="237"/>
      <c r="G43" s="51"/>
    </row>
    <row r="44" spans="1:7" s="52" customFormat="1" x14ac:dyDescent="0.3">
      <c r="A44" s="54"/>
      <c r="B44" s="54"/>
      <c r="C44" s="154" t="str">
        <f t="shared" si="3"/>
        <v/>
      </c>
      <c r="D44" s="55"/>
      <c r="E44" s="236"/>
      <c r="F44" s="237"/>
      <c r="G44" s="51"/>
    </row>
    <row r="45" spans="1:7" s="52" customFormat="1" x14ac:dyDescent="0.3">
      <c r="A45" s="54"/>
      <c r="B45" s="54"/>
      <c r="C45" s="154" t="str">
        <f t="shared" si="3"/>
        <v/>
      </c>
      <c r="D45" s="55"/>
      <c r="E45" s="236"/>
      <c r="F45" s="237"/>
      <c r="G45" s="51"/>
    </row>
    <row r="46" spans="1:7" s="52" customFormat="1" x14ac:dyDescent="0.3">
      <c r="A46" s="54"/>
      <c r="B46" s="54"/>
      <c r="C46" s="154" t="str">
        <f t="shared" si="3"/>
        <v/>
      </c>
      <c r="D46" s="55"/>
      <c r="E46" s="236"/>
      <c r="F46" s="237"/>
      <c r="G46" s="51"/>
    </row>
    <row r="47" spans="1:7" s="52" customFormat="1" ht="15" thickBot="1" x14ac:dyDescent="0.35">
      <c r="A47" s="56"/>
      <c r="B47" s="56"/>
      <c r="C47" s="155" t="str">
        <f t="shared" si="3"/>
        <v/>
      </c>
      <c r="D47" s="57"/>
      <c r="E47" s="238"/>
      <c r="F47" s="239"/>
      <c r="G47" s="51"/>
    </row>
    <row r="48" spans="1:7" s="52" customFormat="1" ht="15" thickBot="1" x14ac:dyDescent="0.35">
      <c r="A48" s="111" t="s">
        <v>27</v>
      </c>
      <c r="B48" s="84">
        <f>SUM(B40:B47)</f>
        <v>36</v>
      </c>
      <c r="C48" s="111" t="str">
        <f xml:space="preserve"> setValueToTime(B48)</f>
        <v>3h</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12</v>
      </c>
      <c r="B50" s="163">
        <v>37</v>
      </c>
      <c r="C50" s="163"/>
      <c r="D50" s="82" t="s">
        <v>15</v>
      </c>
      <c r="E50" s="94">
        <v>45357</v>
      </c>
      <c r="F50" s="126"/>
      <c r="G50" s="46"/>
    </row>
    <row r="51" spans="1:7" s="47" customFormat="1" ht="30" customHeight="1" thickBot="1" x14ac:dyDescent="0.3">
      <c r="A51" s="80" t="s">
        <v>5</v>
      </c>
      <c r="B51" s="150" t="s">
        <v>38</v>
      </c>
      <c r="C51" s="151"/>
      <c r="D51" s="80" t="s">
        <v>13</v>
      </c>
      <c r="E51" s="232" t="s">
        <v>14</v>
      </c>
      <c r="F51" s="233"/>
      <c r="G51" s="46"/>
    </row>
    <row r="52" spans="1:7" s="52" customFormat="1" ht="27" x14ac:dyDescent="0.3">
      <c r="A52" s="48" t="s">
        <v>79</v>
      </c>
      <c r="B52" s="49">
        <v>36</v>
      </c>
      <c r="C52" s="152" t="str">
        <f xml:space="preserve"> IF(B52="","",setValueToTime(B52))</f>
        <v>3h</v>
      </c>
      <c r="D52" s="50"/>
      <c r="E52" s="234"/>
      <c r="F52" s="235"/>
      <c r="G52" s="51"/>
    </row>
    <row r="53" spans="1:7" s="52" customFormat="1" x14ac:dyDescent="0.3">
      <c r="A53" s="53"/>
      <c r="B53" s="54"/>
      <c r="C53" s="153" t="str">
        <f t="shared" ref="C53:C59" si="4" xml:space="preserve"> IF(B53="","",setValueToTime(B53))</f>
        <v/>
      </c>
      <c r="D53" s="55"/>
      <c r="E53" s="236"/>
      <c r="F53" s="237"/>
      <c r="G53" s="51"/>
    </row>
    <row r="54" spans="1:7" s="52" customFormat="1" x14ac:dyDescent="0.3">
      <c r="A54" s="53"/>
      <c r="B54" s="54"/>
      <c r="C54" s="153" t="str">
        <f t="shared" si="4"/>
        <v/>
      </c>
      <c r="D54" s="55"/>
      <c r="E54" s="236"/>
      <c r="F54" s="237"/>
      <c r="G54" s="51"/>
    </row>
    <row r="55" spans="1:7" s="52" customFormat="1" x14ac:dyDescent="0.3">
      <c r="A55" s="53"/>
      <c r="B55" s="54"/>
      <c r="C55" s="153" t="str">
        <f t="shared" si="4"/>
        <v/>
      </c>
      <c r="D55" s="55"/>
      <c r="E55" s="236"/>
      <c r="F55" s="237"/>
      <c r="G55" s="51"/>
    </row>
    <row r="56" spans="1:7" s="52" customFormat="1" x14ac:dyDescent="0.3">
      <c r="A56" s="54"/>
      <c r="B56" s="54"/>
      <c r="C56" s="154" t="str">
        <f t="shared" si="4"/>
        <v/>
      </c>
      <c r="D56" s="55"/>
      <c r="E56" s="236"/>
      <c r="F56" s="237"/>
      <c r="G56" s="51"/>
    </row>
    <row r="57" spans="1:7" s="52" customFormat="1" x14ac:dyDescent="0.3">
      <c r="A57" s="54"/>
      <c r="B57" s="54"/>
      <c r="C57" s="154" t="str">
        <f t="shared" si="4"/>
        <v/>
      </c>
      <c r="D57" s="55"/>
      <c r="E57" s="236"/>
      <c r="F57" s="237"/>
      <c r="G57" s="51"/>
    </row>
    <row r="58" spans="1:7" s="52" customFormat="1" x14ac:dyDescent="0.3">
      <c r="A58" s="54"/>
      <c r="B58" s="54"/>
      <c r="C58" s="154" t="str">
        <f t="shared" si="4"/>
        <v/>
      </c>
      <c r="D58" s="55"/>
      <c r="E58" s="236"/>
      <c r="F58" s="237"/>
      <c r="G58" s="51"/>
    </row>
    <row r="59" spans="1:7" s="52" customFormat="1" ht="15" thickBot="1" x14ac:dyDescent="0.35">
      <c r="A59" s="56"/>
      <c r="B59" s="56"/>
      <c r="C59" s="155" t="str">
        <f t="shared" si="4"/>
        <v/>
      </c>
      <c r="D59" s="57"/>
      <c r="E59" s="238"/>
      <c r="F59" s="239"/>
      <c r="G59" s="51"/>
    </row>
    <row r="60" spans="1:7" s="52" customFormat="1" ht="15" thickBot="1" x14ac:dyDescent="0.35">
      <c r="A60" s="111" t="s">
        <v>27</v>
      </c>
      <c r="B60" s="84">
        <f>SUM(B52:B59)</f>
        <v>36</v>
      </c>
      <c r="C60" s="111" t="str">
        <f xml:space="preserve"> setValueToTime(B60)</f>
        <v>3h</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12</v>
      </c>
      <c r="B62" s="163">
        <v>36</v>
      </c>
      <c r="C62" s="163"/>
      <c r="D62" s="82" t="s">
        <v>15</v>
      </c>
      <c r="E62" s="94">
        <v>45355</v>
      </c>
      <c r="F62" s="126"/>
      <c r="G62" s="46"/>
    </row>
    <row r="63" spans="1:7" s="47" customFormat="1" ht="30" customHeight="1" thickBot="1" x14ac:dyDescent="0.3">
      <c r="A63" s="80" t="s">
        <v>5</v>
      </c>
      <c r="B63" s="150" t="s">
        <v>38</v>
      </c>
      <c r="C63" s="151"/>
      <c r="D63" s="80" t="s">
        <v>13</v>
      </c>
      <c r="E63" s="232" t="s">
        <v>14</v>
      </c>
      <c r="F63" s="233"/>
      <c r="G63" s="46"/>
    </row>
    <row r="64" spans="1:7" s="52" customFormat="1" ht="27" x14ac:dyDescent="0.3">
      <c r="A64" s="48" t="s">
        <v>79</v>
      </c>
      <c r="B64" s="49">
        <v>27</v>
      </c>
      <c r="C64" s="152" t="str">
        <f xml:space="preserve"> IF(B64="","",setValueToTime(B64))</f>
        <v>2h15min</v>
      </c>
      <c r="D64" s="50"/>
      <c r="E64" s="234"/>
      <c r="F64" s="235"/>
      <c r="G64" s="51"/>
    </row>
    <row r="65" spans="1:7" s="52" customFormat="1" x14ac:dyDescent="0.3">
      <c r="A65" s="53"/>
      <c r="B65" s="54"/>
      <c r="C65" s="153" t="str">
        <f t="shared" ref="C65:C71" si="5" xml:space="preserve"> IF(B65="","",setValueToTime(B65))</f>
        <v/>
      </c>
      <c r="D65" s="55"/>
      <c r="E65" s="236"/>
      <c r="F65" s="237"/>
      <c r="G65" s="51"/>
    </row>
    <row r="66" spans="1:7" s="52" customFormat="1" x14ac:dyDescent="0.3">
      <c r="A66" s="53"/>
      <c r="B66" s="54"/>
      <c r="C66" s="153" t="str">
        <f t="shared" si="5"/>
        <v/>
      </c>
      <c r="D66" s="55"/>
      <c r="E66" s="236"/>
      <c r="F66" s="237"/>
      <c r="G66" s="51"/>
    </row>
    <row r="67" spans="1:7" s="52" customFormat="1" x14ac:dyDescent="0.3">
      <c r="A67" s="53"/>
      <c r="B67" s="54"/>
      <c r="C67" s="153" t="str">
        <f t="shared" si="5"/>
        <v/>
      </c>
      <c r="D67" s="55"/>
      <c r="E67" s="236"/>
      <c r="F67" s="237"/>
      <c r="G67" s="51"/>
    </row>
    <row r="68" spans="1:7" s="52" customFormat="1" x14ac:dyDescent="0.3">
      <c r="A68" s="54"/>
      <c r="B68" s="54"/>
      <c r="C68" s="154" t="str">
        <f t="shared" si="5"/>
        <v/>
      </c>
      <c r="D68" s="55"/>
      <c r="E68" s="236"/>
      <c r="F68" s="237"/>
      <c r="G68" s="51"/>
    </row>
    <row r="69" spans="1:7" s="52" customFormat="1" x14ac:dyDescent="0.3">
      <c r="A69" s="54"/>
      <c r="B69" s="54"/>
      <c r="C69" s="154" t="str">
        <f t="shared" si="5"/>
        <v/>
      </c>
      <c r="D69" s="55"/>
      <c r="E69" s="236"/>
      <c r="F69" s="237"/>
      <c r="G69" s="51"/>
    </row>
    <row r="70" spans="1:7" s="52" customFormat="1" x14ac:dyDescent="0.3">
      <c r="A70" s="54"/>
      <c r="B70" s="54"/>
      <c r="C70" s="154" t="str">
        <f t="shared" si="5"/>
        <v/>
      </c>
      <c r="D70" s="55"/>
      <c r="E70" s="236"/>
      <c r="F70" s="237"/>
      <c r="G70" s="51"/>
    </row>
    <row r="71" spans="1:7" s="52" customFormat="1" ht="15" thickBot="1" x14ac:dyDescent="0.35">
      <c r="A71" s="56"/>
      <c r="B71" s="56"/>
      <c r="C71" s="155" t="str">
        <f t="shared" si="5"/>
        <v/>
      </c>
      <c r="D71" s="57"/>
      <c r="E71" s="238"/>
      <c r="F71" s="239"/>
      <c r="G71" s="51"/>
    </row>
    <row r="72" spans="1:7" s="52" customFormat="1" ht="15" thickBot="1" x14ac:dyDescent="0.35">
      <c r="A72" s="111" t="s">
        <v>27</v>
      </c>
      <c r="B72" s="84">
        <f>SUM(B64:B71)</f>
        <v>27</v>
      </c>
      <c r="C72" s="111" t="str">
        <f xml:space="preserve"> setValueToTime(B72)</f>
        <v>2h15min</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12</v>
      </c>
      <c r="B74" s="163">
        <v>35</v>
      </c>
      <c r="C74" s="163"/>
      <c r="D74" s="82" t="s">
        <v>15</v>
      </c>
      <c r="E74" s="94">
        <v>45355</v>
      </c>
      <c r="F74" s="126"/>
      <c r="G74" s="46"/>
    </row>
    <row r="75" spans="1:7" s="47" customFormat="1" ht="30" customHeight="1" thickBot="1" x14ac:dyDescent="0.3">
      <c r="A75" s="80" t="s">
        <v>5</v>
      </c>
      <c r="B75" s="150" t="s">
        <v>38</v>
      </c>
      <c r="C75" s="151"/>
      <c r="D75" s="80" t="s">
        <v>13</v>
      </c>
      <c r="E75" s="232" t="s">
        <v>14</v>
      </c>
      <c r="F75" s="233"/>
      <c r="G75" s="46"/>
    </row>
    <row r="76" spans="1:7" s="52" customFormat="1" ht="27" x14ac:dyDescent="0.3">
      <c r="A76" s="48" t="s">
        <v>79</v>
      </c>
      <c r="B76" s="49">
        <v>45</v>
      </c>
      <c r="C76" s="152" t="str">
        <f xml:space="preserve"> IF(B76="","",setValueToTime(B76))</f>
        <v>3h45min</v>
      </c>
      <c r="D76" s="50"/>
      <c r="E76" s="234"/>
      <c r="F76" s="235"/>
      <c r="G76" s="51"/>
    </row>
    <row r="77" spans="1:7" s="52" customFormat="1" x14ac:dyDescent="0.3">
      <c r="A77" s="53"/>
      <c r="B77" s="54"/>
      <c r="C77" s="153" t="str">
        <f t="shared" ref="C77:C83" si="6" xml:space="preserve"> IF(B77="","",setValueToTime(B77))</f>
        <v/>
      </c>
      <c r="D77" s="55"/>
      <c r="E77" s="236"/>
      <c r="F77" s="237"/>
      <c r="G77" s="51"/>
    </row>
    <row r="78" spans="1:7" s="52" customFormat="1" x14ac:dyDescent="0.3">
      <c r="A78" s="53"/>
      <c r="B78" s="54"/>
      <c r="C78" s="153" t="str">
        <f t="shared" si="6"/>
        <v/>
      </c>
      <c r="D78" s="55"/>
      <c r="E78" s="236"/>
      <c r="F78" s="237"/>
      <c r="G78" s="51"/>
    </row>
    <row r="79" spans="1:7" s="52" customFormat="1" x14ac:dyDescent="0.3">
      <c r="A79" s="53"/>
      <c r="B79" s="54"/>
      <c r="C79" s="153" t="str">
        <f t="shared" si="6"/>
        <v/>
      </c>
      <c r="D79" s="55"/>
      <c r="E79" s="236"/>
      <c r="F79" s="237"/>
      <c r="G79" s="51"/>
    </row>
    <row r="80" spans="1:7" s="52" customFormat="1" x14ac:dyDescent="0.3">
      <c r="A80" s="54"/>
      <c r="B80" s="54"/>
      <c r="C80" s="154" t="str">
        <f t="shared" si="6"/>
        <v/>
      </c>
      <c r="D80" s="55"/>
      <c r="E80" s="236"/>
      <c r="F80" s="237"/>
      <c r="G80" s="51"/>
    </row>
    <row r="81" spans="1:7" s="52" customFormat="1" x14ac:dyDescent="0.3">
      <c r="A81" s="54"/>
      <c r="B81" s="54"/>
      <c r="C81" s="154" t="str">
        <f t="shared" si="6"/>
        <v/>
      </c>
      <c r="D81" s="55"/>
      <c r="E81" s="236"/>
      <c r="F81" s="237"/>
      <c r="G81" s="51"/>
    </row>
    <row r="82" spans="1:7" s="52" customFormat="1" x14ac:dyDescent="0.3">
      <c r="A82" s="54"/>
      <c r="B82" s="54"/>
      <c r="C82" s="154" t="str">
        <f t="shared" si="6"/>
        <v/>
      </c>
      <c r="D82" s="55"/>
      <c r="E82" s="236"/>
      <c r="F82" s="237"/>
      <c r="G82" s="51"/>
    </row>
    <row r="83" spans="1:7" s="52" customFormat="1" ht="15" thickBot="1" x14ac:dyDescent="0.35">
      <c r="A83" s="56"/>
      <c r="B83" s="56"/>
      <c r="C83" s="155" t="str">
        <f t="shared" si="6"/>
        <v/>
      </c>
      <c r="D83" s="57"/>
      <c r="E83" s="238"/>
      <c r="F83" s="239"/>
      <c r="G83" s="51"/>
    </row>
    <row r="84" spans="1:7" s="52" customFormat="1" ht="15" thickBot="1" x14ac:dyDescent="0.35">
      <c r="A84" s="111" t="s">
        <v>27</v>
      </c>
      <c r="B84" s="84">
        <f>SUM(B76:B83)</f>
        <v>45</v>
      </c>
      <c r="C84" s="111" t="str">
        <f xml:space="preserve"> setValueToTime(B84)</f>
        <v>3h45min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12</v>
      </c>
      <c r="B86" s="163">
        <v>34</v>
      </c>
      <c r="C86" s="163"/>
      <c r="D86" s="82" t="s">
        <v>15</v>
      </c>
      <c r="E86" s="94">
        <v>45352</v>
      </c>
      <c r="F86" s="126"/>
      <c r="G86" s="46"/>
    </row>
    <row r="87" spans="1:7" s="47" customFormat="1" ht="30" customHeight="1" thickBot="1" x14ac:dyDescent="0.3">
      <c r="A87" s="80" t="s">
        <v>5</v>
      </c>
      <c r="B87" s="150" t="s">
        <v>38</v>
      </c>
      <c r="C87" s="151"/>
      <c r="D87" s="80" t="s">
        <v>13</v>
      </c>
      <c r="E87" s="232" t="s">
        <v>14</v>
      </c>
      <c r="F87" s="233"/>
      <c r="G87" s="46"/>
    </row>
    <row r="88" spans="1:7" s="52" customFormat="1" x14ac:dyDescent="0.3">
      <c r="A88" s="48" t="s">
        <v>58</v>
      </c>
      <c r="B88" s="49">
        <v>36</v>
      </c>
      <c r="C88" s="152" t="str">
        <f xml:space="preserve"> IF(B88="","",setValueToTime(B88))</f>
        <v>3h</v>
      </c>
      <c r="D88" s="50"/>
      <c r="E88" s="234"/>
      <c r="F88" s="235"/>
      <c r="G88" s="51"/>
    </row>
    <row r="89" spans="1:7" s="52" customFormat="1" x14ac:dyDescent="0.3">
      <c r="A89" s="53"/>
      <c r="B89" s="54"/>
      <c r="C89" s="153" t="str">
        <f t="shared" ref="C89:C95" si="7" xml:space="preserve"> IF(B89="","",setValueToTime(B89))</f>
        <v/>
      </c>
      <c r="D89" s="55"/>
      <c r="E89" s="236"/>
      <c r="F89" s="237"/>
      <c r="G89" s="51"/>
    </row>
    <row r="90" spans="1:7" s="52" customFormat="1" x14ac:dyDescent="0.3">
      <c r="A90" s="53"/>
      <c r="B90" s="54"/>
      <c r="C90" s="153" t="str">
        <f t="shared" si="7"/>
        <v/>
      </c>
      <c r="D90" s="55"/>
      <c r="E90" s="236"/>
      <c r="F90" s="237"/>
      <c r="G90" s="51"/>
    </row>
    <row r="91" spans="1:7" s="52" customFormat="1" x14ac:dyDescent="0.3">
      <c r="A91" s="53"/>
      <c r="B91" s="54"/>
      <c r="C91" s="153" t="str">
        <f t="shared" si="7"/>
        <v/>
      </c>
      <c r="D91" s="55"/>
      <c r="E91" s="236"/>
      <c r="F91" s="237"/>
      <c r="G91" s="51"/>
    </row>
    <row r="92" spans="1:7" s="52" customFormat="1" x14ac:dyDescent="0.3">
      <c r="A92" s="54"/>
      <c r="B92" s="54"/>
      <c r="C92" s="154" t="str">
        <f t="shared" si="7"/>
        <v/>
      </c>
      <c r="D92" s="55"/>
      <c r="E92" s="236"/>
      <c r="F92" s="237"/>
      <c r="G92" s="51"/>
    </row>
    <row r="93" spans="1:7" s="52" customFormat="1" x14ac:dyDescent="0.3">
      <c r="A93" s="54"/>
      <c r="B93" s="54"/>
      <c r="C93" s="154" t="str">
        <f t="shared" si="7"/>
        <v/>
      </c>
      <c r="D93" s="55"/>
      <c r="E93" s="236"/>
      <c r="F93" s="237"/>
      <c r="G93" s="51"/>
    </row>
    <row r="94" spans="1:7" s="52" customFormat="1" x14ac:dyDescent="0.3">
      <c r="A94" s="54"/>
      <c r="B94" s="54"/>
      <c r="C94" s="154" t="str">
        <f t="shared" si="7"/>
        <v/>
      </c>
      <c r="D94" s="55"/>
      <c r="E94" s="236"/>
      <c r="F94" s="237"/>
      <c r="G94" s="51"/>
    </row>
    <row r="95" spans="1:7" s="52" customFormat="1" ht="15" thickBot="1" x14ac:dyDescent="0.35">
      <c r="A95" s="56"/>
      <c r="B95" s="56"/>
      <c r="C95" s="155" t="str">
        <f t="shared" si="7"/>
        <v/>
      </c>
      <c r="D95" s="57"/>
      <c r="E95" s="238"/>
      <c r="F95" s="239"/>
      <c r="G95" s="51"/>
    </row>
    <row r="96" spans="1:7" s="52" customFormat="1" ht="15" thickBot="1" x14ac:dyDescent="0.35">
      <c r="A96" s="111" t="s">
        <v>27</v>
      </c>
      <c r="B96" s="84">
        <f>SUM(B88:B95)</f>
        <v>36</v>
      </c>
      <c r="C96" s="111" t="str">
        <f xml:space="preserve"> setValueToTime(B96)</f>
        <v>3h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12</v>
      </c>
      <c r="B98" s="163">
        <v>33</v>
      </c>
      <c r="C98" s="163"/>
      <c r="D98" s="82" t="s">
        <v>15</v>
      </c>
      <c r="E98" s="94">
        <v>45352</v>
      </c>
      <c r="F98" s="126"/>
      <c r="G98" s="46"/>
    </row>
    <row r="99" spans="1:7" s="47" customFormat="1" ht="30" customHeight="1" thickBot="1" x14ac:dyDescent="0.3">
      <c r="A99" s="80" t="s">
        <v>5</v>
      </c>
      <c r="B99" s="150" t="s">
        <v>38</v>
      </c>
      <c r="C99" s="151"/>
      <c r="D99" s="80" t="s">
        <v>13</v>
      </c>
      <c r="E99" s="232" t="s">
        <v>14</v>
      </c>
      <c r="F99" s="233"/>
      <c r="G99" s="46"/>
    </row>
    <row r="100" spans="1:7" s="52" customFormat="1" x14ac:dyDescent="0.3">
      <c r="A100" s="48" t="s">
        <v>58</v>
      </c>
      <c r="B100" s="49">
        <v>45</v>
      </c>
      <c r="C100" s="152" t="str">
        <f xml:space="preserve"> IF(B100="","",setValueToTime(B100))</f>
        <v>3h45min</v>
      </c>
      <c r="D100" s="50"/>
      <c r="E100" s="234"/>
      <c r="F100" s="235"/>
      <c r="G100" s="51"/>
    </row>
    <row r="101" spans="1:7" s="52" customFormat="1" x14ac:dyDescent="0.3">
      <c r="A101" s="53"/>
      <c r="B101" s="54"/>
      <c r="C101" s="153" t="str">
        <f t="shared" ref="C101:C107" si="8" xml:space="preserve"> IF(B101="","",setValueToTime(B101))</f>
        <v/>
      </c>
      <c r="D101" s="55"/>
      <c r="E101" s="236"/>
      <c r="F101" s="237"/>
      <c r="G101" s="51"/>
    </row>
    <row r="102" spans="1:7" s="52" customFormat="1" x14ac:dyDescent="0.3">
      <c r="A102" s="53"/>
      <c r="B102" s="54"/>
      <c r="C102" s="153" t="str">
        <f t="shared" si="8"/>
        <v/>
      </c>
      <c r="D102" s="55"/>
      <c r="E102" s="236"/>
      <c r="F102" s="237"/>
      <c r="G102" s="51"/>
    </row>
    <row r="103" spans="1:7" s="52" customFormat="1" x14ac:dyDescent="0.3">
      <c r="A103" s="53"/>
      <c r="B103" s="54"/>
      <c r="C103" s="153" t="str">
        <f t="shared" si="8"/>
        <v/>
      </c>
      <c r="D103" s="55"/>
      <c r="E103" s="236"/>
      <c r="F103" s="237"/>
      <c r="G103" s="51"/>
    </row>
    <row r="104" spans="1:7" s="52" customFormat="1" x14ac:dyDescent="0.3">
      <c r="A104" s="54"/>
      <c r="B104" s="54"/>
      <c r="C104" s="154" t="str">
        <f t="shared" si="8"/>
        <v/>
      </c>
      <c r="D104" s="55"/>
      <c r="E104" s="236"/>
      <c r="F104" s="237"/>
      <c r="G104" s="51"/>
    </row>
    <row r="105" spans="1:7" s="52" customFormat="1" x14ac:dyDescent="0.3">
      <c r="A105" s="54"/>
      <c r="B105" s="54"/>
      <c r="C105" s="154" t="str">
        <f t="shared" si="8"/>
        <v/>
      </c>
      <c r="D105" s="55"/>
      <c r="E105" s="236"/>
      <c r="F105" s="237"/>
      <c r="G105" s="51"/>
    </row>
    <row r="106" spans="1:7" s="52" customFormat="1" x14ac:dyDescent="0.3">
      <c r="A106" s="54"/>
      <c r="B106" s="54"/>
      <c r="C106" s="154" t="str">
        <f t="shared" si="8"/>
        <v/>
      </c>
      <c r="D106" s="55"/>
      <c r="E106" s="236"/>
      <c r="F106" s="237"/>
      <c r="G106" s="51"/>
    </row>
    <row r="107" spans="1:7" s="52" customFormat="1" ht="15" thickBot="1" x14ac:dyDescent="0.35">
      <c r="A107" s="56"/>
      <c r="B107" s="56"/>
      <c r="C107" s="155" t="str">
        <f t="shared" si="8"/>
        <v/>
      </c>
      <c r="D107" s="57"/>
      <c r="E107" s="238"/>
      <c r="F107" s="239"/>
      <c r="G107" s="51"/>
    </row>
    <row r="108" spans="1:7" s="52" customFormat="1" ht="15" thickBot="1" x14ac:dyDescent="0.35">
      <c r="A108" s="111" t="s">
        <v>27</v>
      </c>
      <c r="B108" s="84">
        <f>SUM(B100:B107)</f>
        <v>45</v>
      </c>
      <c r="C108" s="111" t="str">
        <f xml:space="preserve"> setValueToTime(B108)</f>
        <v>3h45min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32</v>
      </c>
      <c r="C110" s="163"/>
      <c r="D110" s="82" t="s">
        <v>15</v>
      </c>
      <c r="E110" s="94">
        <v>45351</v>
      </c>
      <c r="F110" s="126"/>
      <c r="G110" s="46"/>
    </row>
    <row r="111" spans="1:7" s="47" customFormat="1" ht="30" customHeight="1" thickBot="1" x14ac:dyDescent="0.3">
      <c r="A111" s="80" t="s">
        <v>5</v>
      </c>
      <c r="B111" s="150" t="s">
        <v>38</v>
      </c>
      <c r="C111" s="151"/>
      <c r="D111" s="80" t="s">
        <v>13</v>
      </c>
      <c r="E111" s="232" t="s">
        <v>14</v>
      </c>
      <c r="F111" s="233"/>
      <c r="G111" s="46"/>
    </row>
    <row r="112" spans="1:7" s="52" customFormat="1" x14ac:dyDescent="0.3">
      <c r="A112" s="48" t="s">
        <v>58</v>
      </c>
      <c r="B112" s="49">
        <v>36</v>
      </c>
      <c r="C112" s="152" t="str">
        <f xml:space="preserve"> IF(B112="","",setValueToTime(B112))</f>
        <v>3h</v>
      </c>
      <c r="D112" s="50"/>
      <c r="E112" s="234"/>
      <c r="F112" s="235"/>
      <c r="G112" s="51"/>
    </row>
    <row r="113" spans="1:7" s="52" customFormat="1" x14ac:dyDescent="0.3">
      <c r="A113" s="53"/>
      <c r="B113" s="54"/>
      <c r="C113" s="153" t="str">
        <f t="shared" ref="C113:C119" si="9" xml:space="preserve"> IF(B113="","",setValueToTime(B113))</f>
        <v/>
      </c>
      <c r="D113" s="55"/>
      <c r="E113" s="236"/>
      <c r="F113" s="237"/>
      <c r="G113" s="51"/>
    </row>
    <row r="114" spans="1:7" s="52" customFormat="1" x14ac:dyDescent="0.3">
      <c r="A114" s="53"/>
      <c r="B114" s="54"/>
      <c r="C114" s="153" t="str">
        <f t="shared" si="9"/>
        <v/>
      </c>
      <c r="D114" s="55"/>
      <c r="E114" s="236"/>
      <c r="F114" s="237"/>
      <c r="G114" s="51"/>
    </row>
    <row r="115" spans="1:7" s="52" customFormat="1" x14ac:dyDescent="0.3">
      <c r="A115" s="53"/>
      <c r="B115" s="54"/>
      <c r="C115" s="153" t="str">
        <f t="shared" si="9"/>
        <v/>
      </c>
      <c r="D115" s="55"/>
      <c r="E115" s="236"/>
      <c r="F115" s="237"/>
      <c r="G115" s="51"/>
    </row>
    <row r="116" spans="1:7" s="52" customFormat="1" x14ac:dyDescent="0.3">
      <c r="A116" s="54"/>
      <c r="B116" s="54"/>
      <c r="C116" s="154" t="str">
        <f t="shared" si="9"/>
        <v/>
      </c>
      <c r="D116" s="55"/>
      <c r="E116" s="236"/>
      <c r="F116" s="237"/>
      <c r="G116" s="51"/>
    </row>
    <row r="117" spans="1:7" s="52" customFormat="1" x14ac:dyDescent="0.3">
      <c r="A117" s="54"/>
      <c r="B117" s="54"/>
      <c r="C117" s="154" t="str">
        <f t="shared" si="9"/>
        <v/>
      </c>
      <c r="D117" s="55"/>
      <c r="E117" s="236"/>
      <c r="F117" s="237"/>
      <c r="G117" s="51"/>
    </row>
    <row r="118" spans="1:7" s="52" customFormat="1" x14ac:dyDescent="0.3">
      <c r="A118" s="54"/>
      <c r="B118" s="54"/>
      <c r="C118" s="154" t="str">
        <f t="shared" si="9"/>
        <v/>
      </c>
      <c r="D118" s="55"/>
      <c r="E118" s="236"/>
      <c r="F118" s="237"/>
      <c r="G118" s="51"/>
    </row>
    <row r="119" spans="1:7" s="52" customFormat="1" ht="15" thickBot="1" x14ac:dyDescent="0.35">
      <c r="A119" s="56"/>
      <c r="B119" s="56"/>
      <c r="C119" s="155" t="str">
        <f t="shared" si="9"/>
        <v/>
      </c>
      <c r="D119" s="57"/>
      <c r="E119" s="238"/>
      <c r="F119" s="239"/>
      <c r="G119" s="51"/>
    </row>
    <row r="120" spans="1:7" s="52" customFormat="1" ht="15" thickBot="1" x14ac:dyDescent="0.35">
      <c r="A120" s="111" t="s">
        <v>27</v>
      </c>
      <c r="B120" s="84">
        <f>SUM(B112:B119)</f>
        <v>36</v>
      </c>
      <c r="C120" s="111" t="str">
        <f xml:space="preserve"> setValueToTime(B120)</f>
        <v>3h</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31</v>
      </c>
      <c r="C122" s="163"/>
      <c r="D122" s="82" t="s">
        <v>15</v>
      </c>
      <c r="E122" s="94">
        <v>45350</v>
      </c>
      <c r="F122" s="126"/>
      <c r="G122" s="46"/>
    </row>
    <row r="123" spans="1:7" s="47" customFormat="1" ht="30" customHeight="1" thickBot="1" x14ac:dyDescent="0.3">
      <c r="A123" s="80" t="s">
        <v>5</v>
      </c>
      <c r="B123" s="150" t="s">
        <v>38</v>
      </c>
      <c r="C123" s="151"/>
      <c r="D123" s="80" t="s">
        <v>13</v>
      </c>
      <c r="E123" s="232" t="s">
        <v>14</v>
      </c>
      <c r="F123" s="233"/>
      <c r="G123" s="46"/>
    </row>
    <row r="124" spans="1:7" s="52" customFormat="1" x14ac:dyDescent="0.3">
      <c r="A124" s="48" t="s">
        <v>58</v>
      </c>
      <c r="B124" s="49">
        <v>36</v>
      </c>
      <c r="C124" s="152" t="str">
        <f xml:space="preserve"> IF(B124="","",setValueToTime(B124))</f>
        <v>3h</v>
      </c>
      <c r="D124" s="50"/>
      <c r="E124" s="234"/>
      <c r="F124" s="235"/>
      <c r="G124" s="51"/>
    </row>
    <row r="125" spans="1:7" s="52" customFormat="1" x14ac:dyDescent="0.3">
      <c r="A125" s="53"/>
      <c r="B125" s="54"/>
      <c r="C125" s="153" t="str">
        <f t="shared" ref="C125:C131" si="10" xml:space="preserve"> IF(B125="","",setValueToTime(B125))</f>
        <v/>
      </c>
      <c r="D125" s="55"/>
      <c r="E125" s="236"/>
      <c r="F125" s="237"/>
      <c r="G125" s="51"/>
    </row>
    <row r="126" spans="1:7" s="52" customFormat="1" x14ac:dyDescent="0.3">
      <c r="A126" s="53"/>
      <c r="B126" s="54"/>
      <c r="C126" s="153" t="str">
        <f t="shared" si="10"/>
        <v/>
      </c>
      <c r="D126" s="55"/>
      <c r="E126" s="236"/>
      <c r="F126" s="237"/>
      <c r="G126" s="51"/>
    </row>
    <row r="127" spans="1:7" s="52" customFormat="1" x14ac:dyDescent="0.3">
      <c r="A127" s="53"/>
      <c r="B127" s="54"/>
      <c r="C127" s="153" t="str">
        <f t="shared" si="10"/>
        <v/>
      </c>
      <c r="D127" s="55"/>
      <c r="E127" s="236"/>
      <c r="F127" s="237"/>
      <c r="G127" s="51"/>
    </row>
    <row r="128" spans="1:7" s="52" customFormat="1" x14ac:dyDescent="0.3">
      <c r="A128" s="54"/>
      <c r="B128" s="54"/>
      <c r="C128" s="154" t="str">
        <f t="shared" si="10"/>
        <v/>
      </c>
      <c r="D128" s="55"/>
      <c r="E128" s="236"/>
      <c r="F128" s="237"/>
      <c r="G128" s="51"/>
    </row>
    <row r="129" spans="1:7" s="52" customFormat="1" x14ac:dyDescent="0.3">
      <c r="A129" s="54"/>
      <c r="B129" s="54"/>
      <c r="C129" s="154" t="str">
        <f t="shared" si="10"/>
        <v/>
      </c>
      <c r="D129" s="55"/>
      <c r="E129" s="236"/>
      <c r="F129" s="237"/>
      <c r="G129" s="51"/>
    </row>
    <row r="130" spans="1:7" s="52" customFormat="1" x14ac:dyDescent="0.3">
      <c r="A130" s="54"/>
      <c r="B130" s="54"/>
      <c r="C130" s="154" t="str">
        <f t="shared" si="10"/>
        <v/>
      </c>
      <c r="D130" s="55"/>
      <c r="E130" s="236"/>
      <c r="F130" s="237"/>
      <c r="G130" s="51"/>
    </row>
    <row r="131" spans="1:7" s="52" customFormat="1" ht="15" thickBot="1" x14ac:dyDescent="0.35">
      <c r="A131" s="56"/>
      <c r="B131" s="56"/>
      <c r="C131" s="155" t="str">
        <f t="shared" si="10"/>
        <v/>
      </c>
      <c r="D131" s="57"/>
      <c r="E131" s="238"/>
      <c r="F131" s="239"/>
      <c r="G131" s="51"/>
    </row>
    <row r="132" spans="1:7" s="52" customFormat="1" ht="15" thickBot="1" x14ac:dyDescent="0.35">
      <c r="A132" s="111" t="s">
        <v>27</v>
      </c>
      <c r="B132" s="84">
        <f>SUM(B124:B131)</f>
        <v>36</v>
      </c>
      <c r="C132" s="111" t="str">
        <f xml:space="preserve"> setValueToTime(B132)</f>
        <v>3h</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30</v>
      </c>
      <c r="C134" s="163"/>
      <c r="D134" s="82" t="s">
        <v>15</v>
      </c>
      <c r="E134" s="94">
        <v>45350</v>
      </c>
      <c r="F134" s="126"/>
      <c r="G134" s="46"/>
    </row>
    <row r="135" spans="1:7" s="47" customFormat="1" ht="30" customHeight="1" thickBot="1" x14ac:dyDescent="0.3">
      <c r="A135" s="80" t="s">
        <v>5</v>
      </c>
      <c r="B135" s="150" t="s">
        <v>38</v>
      </c>
      <c r="C135" s="151"/>
      <c r="D135" s="80" t="s">
        <v>13</v>
      </c>
      <c r="E135" s="232" t="s">
        <v>14</v>
      </c>
      <c r="F135" s="233"/>
      <c r="G135" s="46"/>
    </row>
    <row r="136" spans="1:7" s="52" customFormat="1" x14ac:dyDescent="0.3">
      <c r="A136" s="48" t="s">
        <v>58</v>
      </c>
      <c r="B136" s="49">
        <v>36</v>
      </c>
      <c r="C136" s="152" t="str">
        <f xml:space="preserve"> IF(B136="","",setValueToTime(B136))</f>
        <v>3h</v>
      </c>
      <c r="D136" s="50"/>
      <c r="E136" s="234"/>
      <c r="F136" s="235"/>
      <c r="G136" s="51"/>
    </row>
    <row r="137" spans="1:7" s="52" customFormat="1" x14ac:dyDescent="0.3">
      <c r="A137" s="53"/>
      <c r="B137" s="54"/>
      <c r="C137" s="153" t="str">
        <f t="shared" ref="C137:C143" si="11" xml:space="preserve"> IF(B137="","",setValueToTime(B137))</f>
        <v/>
      </c>
      <c r="D137" s="55"/>
      <c r="E137" s="236"/>
      <c r="F137" s="237"/>
      <c r="G137" s="51"/>
    </row>
    <row r="138" spans="1:7" s="52" customFormat="1" x14ac:dyDescent="0.3">
      <c r="A138" s="53"/>
      <c r="B138" s="54"/>
      <c r="C138" s="153" t="str">
        <f t="shared" si="11"/>
        <v/>
      </c>
      <c r="D138" s="55"/>
      <c r="E138" s="236"/>
      <c r="F138" s="237"/>
      <c r="G138" s="51"/>
    </row>
    <row r="139" spans="1:7" s="52" customFormat="1" x14ac:dyDescent="0.3">
      <c r="A139" s="53"/>
      <c r="B139" s="54"/>
      <c r="C139" s="153" t="str">
        <f t="shared" si="11"/>
        <v/>
      </c>
      <c r="D139" s="55"/>
      <c r="E139" s="236"/>
      <c r="F139" s="237"/>
      <c r="G139" s="51"/>
    </row>
    <row r="140" spans="1:7" s="52" customFormat="1" x14ac:dyDescent="0.3">
      <c r="A140" s="54"/>
      <c r="B140" s="54"/>
      <c r="C140" s="154" t="str">
        <f t="shared" si="11"/>
        <v/>
      </c>
      <c r="D140" s="55"/>
      <c r="E140" s="236"/>
      <c r="F140" s="237"/>
      <c r="G140" s="51"/>
    </row>
    <row r="141" spans="1:7" s="52" customFormat="1" x14ac:dyDescent="0.3">
      <c r="A141" s="54"/>
      <c r="B141" s="54"/>
      <c r="C141" s="154" t="str">
        <f t="shared" si="11"/>
        <v/>
      </c>
      <c r="D141" s="55"/>
      <c r="E141" s="236"/>
      <c r="F141" s="237"/>
      <c r="G141" s="51"/>
    </row>
    <row r="142" spans="1:7" s="52" customFormat="1" x14ac:dyDescent="0.3">
      <c r="A142" s="54"/>
      <c r="B142" s="54"/>
      <c r="C142" s="154" t="str">
        <f t="shared" si="11"/>
        <v/>
      </c>
      <c r="D142" s="55"/>
      <c r="E142" s="236"/>
      <c r="F142" s="237"/>
      <c r="G142" s="51"/>
    </row>
    <row r="143" spans="1:7" s="52" customFormat="1" ht="15" thickBot="1" x14ac:dyDescent="0.35">
      <c r="A143" s="56"/>
      <c r="B143" s="56"/>
      <c r="C143" s="155" t="str">
        <f t="shared" si="11"/>
        <v/>
      </c>
      <c r="D143" s="57"/>
      <c r="E143" s="238"/>
      <c r="F143" s="239"/>
      <c r="G143" s="51"/>
    </row>
    <row r="144" spans="1:7" s="52" customFormat="1" ht="15" thickBot="1" x14ac:dyDescent="0.35">
      <c r="A144" s="111" t="s">
        <v>27</v>
      </c>
      <c r="B144" s="84">
        <f>SUM(B136:B143)</f>
        <v>36</v>
      </c>
      <c r="C144" s="111" t="str">
        <f xml:space="preserve"> setValueToTime(B144)</f>
        <v>3h</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29</v>
      </c>
      <c r="C146" s="163"/>
      <c r="D146" s="82" t="s">
        <v>15</v>
      </c>
      <c r="E146" s="94">
        <v>45348</v>
      </c>
      <c r="F146" s="126"/>
      <c r="G146" s="46"/>
    </row>
    <row r="147" spans="1:7" s="47" customFormat="1" ht="30" customHeight="1" thickBot="1" x14ac:dyDescent="0.3">
      <c r="A147" s="80" t="s">
        <v>5</v>
      </c>
      <c r="B147" s="150" t="s">
        <v>38</v>
      </c>
      <c r="C147" s="151"/>
      <c r="D147" s="80" t="s">
        <v>13</v>
      </c>
      <c r="E147" s="232" t="s">
        <v>14</v>
      </c>
      <c r="F147" s="233"/>
      <c r="G147" s="46"/>
    </row>
    <row r="148" spans="1:7" s="52" customFormat="1" ht="27" x14ac:dyDescent="0.3">
      <c r="A148" s="48" t="s">
        <v>56</v>
      </c>
      <c r="B148" s="49">
        <v>27</v>
      </c>
      <c r="C148" s="152" t="str">
        <f xml:space="preserve"> IF(B148="","",setValueToTime(B148))</f>
        <v>2h15min</v>
      </c>
      <c r="D148" s="50"/>
      <c r="E148" s="234"/>
      <c r="F148" s="235"/>
      <c r="G148" s="51"/>
    </row>
    <row r="149" spans="1:7" s="52" customFormat="1" x14ac:dyDescent="0.3">
      <c r="A149" s="53"/>
      <c r="B149" s="54"/>
      <c r="C149" s="153" t="str">
        <f t="shared" ref="C149:C155" si="12" xml:space="preserve"> IF(B149="","",setValueToTime(B149))</f>
        <v/>
      </c>
      <c r="D149" s="55"/>
      <c r="E149" s="236"/>
      <c r="F149" s="237"/>
      <c r="G149" s="51"/>
    </row>
    <row r="150" spans="1:7" s="52" customFormat="1" x14ac:dyDescent="0.3">
      <c r="A150" s="53"/>
      <c r="B150" s="54"/>
      <c r="C150" s="153" t="str">
        <f t="shared" si="12"/>
        <v/>
      </c>
      <c r="D150" s="55"/>
      <c r="E150" s="236"/>
      <c r="F150" s="237"/>
      <c r="G150" s="51"/>
    </row>
    <row r="151" spans="1:7" s="52" customFormat="1" x14ac:dyDescent="0.3">
      <c r="A151" s="53"/>
      <c r="B151" s="54"/>
      <c r="C151" s="153" t="str">
        <f t="shared" si="12"/>
        <v/>
      </c>
      <c r="D151" s="55"/>
      <c r="E151" s="236"/>
      <c r="F151" s="237"/>
      <c r="G151" s="51"/>
    </row>
    <row r="152" spans="1:7" s="52" customFormat="1" x14ac:dyDescent="0.3">
      <c r="A152" s="54"/>
      <c r="B152" s="54"/>
      <c r="C152" s="154" t="str">
        <f t="shared" si="12"/>
        <v/>
      </c>
      <c r="D152" s="55"/>
      <c r="E152" s="236"/>
      <c r="F152" s="237"/>
      <c r="G152" s="51"/>
    </row>
    <row r="153" spans="1:7" s="52" customFormat="1" x14ac:dyDescent="0.3">
      <c r="A153" s="54"/>
      <c r="B153" s="54"/>
      <c r="C153" s="154" t="str">
        <f t="shared" si="12"/>
        <v/>
      </c>
      <c r="D153" s="55"/>
      <c r="E153" s="236"/>
      <c r="F153" s="237"/>
      <c r="G153" s="51"/>
    </row>
    <row r="154" spans="1:7" s="52" customFormat="1" x14ac:dyDescent="0.3">
      <c r="A154" s="54"/>
      <c r="B154" s="54"/>
      <c r="C154" s="154" t="str">
        <f t="shared" si="12"/>
        <v/>
      </c>
      <c r="D154" s="55"/>
      <c r="E154" s="236"/>
      <c r="F154" s="237"/>
      <c r="G154" s="51"/>
    </row>
    <row r="155" spans="1:7" s="52" customFormat="1" ht="15" thickBot="1" x14ac:dyDescent="0.35">
      <c r="A155" s="56"/>
      <c r="B155" s="56"/>
      <c r="C155" s="155" t="str">
        <f t="shared" si="12"/>
        <v/>
      </c>
      <c r="D155" s="57"/>
      <c r="E155" s="238"/>
      <c r="F155" s="239"/>
      <c r="G155" s="51"/>
    </row>
    <row r="156" spans="1:7" s="52" customFormat="1" ht="15" thickBot="1" x14ac:dyDescent="0.35">
      <c r="A156" s="111" t="s">
        <v>27</v>
      </c>
      <c r="B156" s="84">
        <f>SUM(B148:B155)</f>
        <v>27</v>
      </c>
      <c r="C156" s="111" t="str">
        <f xml:space="preserve"> setValueToTime(B156)</f>
        <v>2h15min</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28</v>
      </c>
      <c r="C158" s="163"/>
      <c r="D158" s="82" t="s">
        <v>15</v>
      </c>
      <c r="E158" s="94">
        <v>45348</v>
      </c>
      <c r="F158" s="126"/>
      <c r="G158" s="46"/>
    </row>
    <row r="159" spans="1:7" s="47" customFormat="1" ht="30" customHeight="1" thickBot="1" x14ac:dyDescent="0.3">
      <c r="A159" s="80" t="s">
        <v>5</v>
      </c>
      <c r="B159" s="150" t="s">
        <v>38</v>
      </c>
      <c r="C159" s="151"/>
      <c r="D159" s="80" t="s">
        <v>13</v>
      </c>
      <c r="E159" s="232" t="s">
        <v>14</v>
      </c>
      <c r="F159" s="233"/>
      <c r="G159" s="46"/>
    </row>
    <row r="160" spans="1:7" s="52" customFormat="1" x14ac:dyDescent="0.3">
      <c r="A160" s="48" t="s">
        <v>55</v>
      </c>
      <c r="B160" s="49">
        <v>45</v>
      </c>
      <c r="C160" s="152" t="str">
        <f xml:space="preserve"> IF(B160="","",setValueToTime(B160))</f>
        <v>3h45min</v>
      </c>
      <c r="D160" s="50"/>
      <c r="E160" s="234"/>
      <c r="F160" s="235"/>
      <c r="G160" s="51"/>
    </row>
    <row r="161" spans="1:7" s="52" customFormat="1" x14ac:dyDescent="0.3">
      <c r="A161" s="53"/>
      <c r="B161" s="54"/>
      <c r="C161" s="153" t="str">
        <f t="shared" ref="C161:C167" si="13" xml:space="preserve"> IF(B161="","",setValueToTime(B161))</f>
        <v/>
      </c>
      <c r="D161" s="55"/>
      <c r="E161" s="236"/>
      <c r="F161" s="237"/>
      <c r="G161" s="51"/>
    </row>
    <row r="162" spans="1:7" s="52" customFormat="1" x14ac:dyDescent="0.3">
      <c r="A162" s="53"/>
      <c r="B162" s="54"/>
      <c r="C162" s="153" t="str">
        <f t="shared" si="13"/>
        <v/>
      </c>
      <c r="D162" s="55"/>
      <c r="E162" s="236"/>
      <c r="F162" s="237"/>
      <c r="G162" s="51"/>
    </row>
    <row r="163" spans="1:7" s="52" customFormat="1" x14ac:dyDescent="0.3">
      <c r="A163" s="53"/>
      <c r="B163" s="54"/>
      <c r="C163" s="153" t="str">
        <f t="shared" si="13"/>
        <v/>
      </c>
      <c r="D163" s="55"/>
      <c r="E163" s="236"/>
      <c r="F163" s="237"/>
      <c r="G163" s="51"/>
    </row>
    <row r="164" spans="1:7" s="52" customFormat="1" x14ac:dyDescent="0.3">
      <c r="A164" s="54"/>
      <c r="B164" s="54"/>
      <c r="C164" s="154" t="str">
        <f t="shared" si="13"/>
        <v/>
      </c>
      <c r="D164" s="55"/>
      <c r="E164" s="236"/>
      <c r="F164" s="237"/>
      <c r="G164" s="51"/>
    </row>
    <row r="165" spans="1:7" s="52" customFormat="1" x14ac:dyDescent="0.3">
      <c r="A165" s="54"/>
      <c r="B165" s="54"/>
      <c r="C165" s="154" t="str">
        <f t="shared" si="13"/>
        <v/>
      </c>
      <c r="D165" s="55"/>
      <c r="E165" s="236"/>
      <c r="F165" s="237"/>
      <c r="G165" s="51"/>
    </row>
    <row r="166" spans="1:7" s="52" customFormat="1" x14ac:dyDescent="0.3">
      <c r="A166" s="54"/>
      <c r="B166" s="54"/>
      <c r="C166" s="154" t="str">
        <f t="shared" si="13"/>
        <v/>
      </c>
      <c r="D166" s="55"/>
      <c r="E166" s="236"/>
      <c r="F166" s="237"/>
      <c r="G166" s="51"/>
    </row>
    <row r="167" spans="1:7" s="52" customFormat="1" ht="15" thickBot="1" x14ac:dyDescent="0.35">
      <c r="A167" s="56"/>
      <c r="B167" s="56"/>
      <c r="C167" s="155" t="str">
        <f t="shared" si="13"/>
        <v/>
      </c>
      <c r="D167" s="57"/>
      <c r="E167" s="238"/>
      <c r="F167" s="239"/>
      <c r="G167" s="51"/>
    </row>
    <row r="168" spans="1:7" s="52" customFormat="1" ht="15" thickBot="1" x14ac:dyDescent="0.35">
      <c r="A168" s="111" t="s">
        <v>27</v>
      </c>
      <c r="B168" s="84">
        <f>SUM(B160:B167)</f>
        <v>45</v>
      </c>
      <c r="C168" s="111" t="str">
        <f xml:space="preserve"> setValueToTime(B168)</f>
        <v>3h45min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27</v>
      </c>
      <c r="C170" s="163"/>
      <c r="D170" s="82" t="s">
        <v>15</v>
      </c>
      <c r="E170" s="94">
        <v>45345</v>
      </c>
      <c r="F170" s="126"/>
      <c r="G170" s="46"/>
    </row>
    <row r="171" spans="1:7" s="47" customFormat="1" ht="30" customHeight="1" thickBot="1" x14ac:dyDescent="0.3">
      <c r="A171" s="80" t="s">
        <v>5</v>
      </c>
      <c r="B171" s="150" t="s">
        <v>38</v>
      </c>
      <c r="C171" s="151"/>
      <c r="D171" s="80" t="s">
        <v>13</v>
      </c>
      <c r="E171" s="232" t="s">
        <v>14</v>
      </c>
      <c r="F171" s="233"/>
      <c r="G171" s="46"/>
    </row>
    <row r="172" spans="1:7" s="52" customFormat="1" x14ac:dyDescent="0.3">
      <c r="A172" s="48" t="s">
        <v>55</v>
      </c>
      <c r="B172" s="49">
        <v>36</v>
      </c>
      <c r="C172" s="152" t="str">
        <f xml:space="preserve"> IF(B172="","",setValueToTime(B172))</f>
        <v>3h</v>
      </c>
      <c r="D172" s="50"/>
      <c r="E172" s="234"/>
      <c r="F172" s="235"/>
      <c r="G172" s="51"/>
    </row>
    <row r="173" spans="1:7" s="52" customFormat="1" x14ac:dyDescent="0.3">
      <c r="A173" s="53"/>
      <c r="B173" s="54"/>
      <c r="C173" s="153" t="str">
        <f t="shared" ref="C173:C179" si="14" xml:space="preserve"> IF(B173="","",setValueToTime(B173))</f>
        <v/>
      </c>
      <c r="D173" s="55"/>
      <c r="E173" s="236"/>
      <c r="F173" s="237"/>
      <c r="G173" s="51"/>
    </row>
    <row r="174" spans="1:7" s="52" customFormat="1" x14ac:dyDescent="0.3">
      <c r="A174" s="53"/>
      <c r="B174" s="54"/>
      <c r="C174" s="153" t="str">
        <f t="shared" si="14"/>
        <v/>
      </c>
      <c r="D174" s="55"/>
      <c r="E174" s="236"/>
      <c r="F174" s="237"/>
      <c r="G174" s="51"/>
    </row>
    <row r="175" spans="1:7" s="52" customFormat="1" x14ac:dyDescent="0.3">
      <c r="A175" s="53"/>
      <c r="B175" s="54"/>
      <c r="C175" s="153" t="str">
        <f t="shared" si="14"/>
        <v/>
      </c>
      <c r="D175" s="55"/>
      <c r="E175" s="236"/>
      <c r="F175" s="237"/>
      <c r="G175" s="51"/>
    </row>
    <row r="176" spans="1:7" s="52" customFormat="1" x14ac:dyDescent="0.3">
      <c r="A176" s="54"/>
      <c r="B176" s="54"/>
      <c r="C176" s="154" t="str">
        <f t="shared" si="14"/>
        <v/>
      </c>
      <c r="D176" s="55"/>
      <c r="E176" s="236"/>
      <c r="F176" s="237"/>
      <c r="G176" s="51"/>
    </row>
    <row r="177" spans="1:7" s="52" customFormat="1" x14ac:dyDescent="0.3">
      <c r="A177" s="54"/>
      <c r="B177" s="54"/>
      <c r="C177" s="154" t="str">
        <f t="shared" si="14"/>
        <v/>
      </c>
      <c r="D177" s="55"/>
      <c r="E177" s="236"/>
      <c r="F177" s="237"/>
      <c r="G177" s="51"/>
    </row>
    <row r="178" spans="1:7" s="52" customFormat="1" x14ac:dyDescent="0.3">
      <c r="A178" s="54"/>
      <c r="B178" s="54"/>
      <c r="C178" s="154" t="str">
        <f t="shared" si="14"/>
        <v/>
      </c>
      <c r="D178" s="55"/>
      <c r="E178" s="236"/>
      <c r="F178" s="237"/>
      <c r="G178" s="51"/>
    </row>
    <row r="179" spans="1:7" s="52" customFormat="1" ht="15" thickBot="1" x14ac:dyDescent="0.35">
      <c r="A179" s="56"/>
      <c r="B179" s="56"/>
      <c r="C179" s="155" t="str">
        <f t="shared" si="14"/>
        <v/>
      </c>
      <c r="D179" s="57"/>
      <c r="E179" s="238"/>
      <c r="F179" s="239"/>
      <c r="G179" s="51"/>
    </row>
    <row r="180" spans="1:7" s="52" customFormat="1" ht="15" thickBot="1" x14ac:dyDescent="0.35">
      <c r="A180" s="111" t="s">
        <v>27</v>
      </c>
      <c r="B180" s="84">
        <f>SUM(B172:B179)</f>
        <v>36</v>
      </c>
      <c r="C180" s="111" t="str">
        <f xml:space="preserve"> setValueToTime(B180)</f>
        <v>3h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26</v>
      </c>
      <c r="C182" s="163"/>
      <c r="D182" s="82" t="s">
        <v>15</v>
      </c>
      <c r="E182" s="94">
        <v>45345</v>
      </c>
      <c r="F182" s="126"/>
      <c r="G182" s="46"/>
    </row>
    <row r="183" spans="1:7" s="47" customFormat="1" ht="30" customHeight="1" thickBot="1" x14ac:dyDescent="0.3">
      <c r="A183" s="80" t="s">
        <v>5</v>
      </c>
      <c r="B183" s="150" t="s">
        <v>38</v>
      </c>
      <c r="C183" s="151"/>
      <c r="D183" s="80" t="s">
        <v>13</v>
      </c>
      <c r="E183" s="232" t="s">
        <v>14</v>
      </c>
      <c r="F183" s="233"/>
      <c r="G183" s="46"/>
    </row>
    <row r="184" spans="1:7" s="52" customFormat="1" ht="27" x14ac:dyDescent="0.3">
      <c r="A184" s="48" t="s">
        <v>54</v>
      </c>
      <c r="B184" s="49">
        <v>45</v>
      </c>
      <c r="C184" s="152" t="str">
        <f xml:space="preserve"> IF(B184="","",setValueToTime(B184))</f>
        <v>3h45min</v>
      </c>
      <c r="D184" s="50"/>
      <c r="E184" s="234"/>
      <c r="F184" s="235"/>
      <c r="G184" s="51"/>
    </row>
    <row r="185" spans="1:7" s="52" customFormat="1" x14ac:dyDescent="0.3">
      <c r="A185" s="53"/>
      <c r="B185" s="54"/>
      <c r="C185" s="153" t="str">
        <f t="shared" ref="C185:C191" si="15" xml:space="preserve"> IF(B185="","",setValueToTime(B185))</f>
        <v/>
      </c>
      <c r="D185" s="55"/>
      <c r="E185" s="236"/>
      <c r="F185" s="237"/>
      <c r="G185" s="51"/>
    </row>
    <row r="186" spans="1:7" s="52" customFormat="1" x14ac:dyDescent="0.3">
      <c r="A186" s="53"/>
      <c r="B186" s="54"/>
      <c r="C186" s="153" t="str">
        <f t="shared" si="15"/>
        <v/>
      </c>
      <c r="D186" s="55"/>
      <c r="E186" s="236"/>
      <c r="F186" s="237"/>
      <c r="G186" s="51"/>
    </row>
    <row r="187" spans="1:7" s="52" customFormat="1" x14ac:dyDescent="0.3">
      <c r="A187" s="53"/>
      <c r="B187" s="54"/>
      <c r="C187" s="153" t="str">
        <f t="shared" si="15"/>
        <v/>
      </c>
      <c r="D187" s="55"/>
      <c r="E187" s="236"/>
      <c r="F187" s="237"/>
      <c r="G187" s="51"/>
    </row>
    <row r="188" spans="1:7" s="52" customFormat="1" x14ac:dyDescent="0.3">
      <c r="A188" s="54"/>
      <c r="B188" s="54"/>
      <c r="C188" s="154" t="str">
        <f t="shared" si="15"/>
        <v/>
      </c>
      <c r="D188" s="55"/>
      <c r="E188" s="236"/>
      <c r="F188" s="237"/>
      <c r="G188" s="51"/>
    </row>
    <row r="189" spans="1:7" s="52" customFormat="1" x14ac:dyDescent="0.3">
      <c r="A189" s="54"/>
      <c r="B189" s="54"/>
      <c r="C189" s="154" t="str">
        <f t="shared" si="15"/>
        <v/>
      </c>
      <c r="D189" s="55"/>
      <c r="E189" s="236"/>
      <c r="F189" s="237"/>
      <c r="G189" s="51"/>
    </row>
    <row r="190" spans="1:7" s="52" customFormat="1" x14ac:dyDescent="0.3">
      <c r="A190" s="54"/>
      <c r="B190" s="54"/>
      <c r="C190" s="154" t="str">
        <f t="shared" si="15"/>
        <v/>
      </c>
      <c r="D190" s="55"/>
      <c r="E190" s="236"/>
      <c r="F190" s="237"/>
      <c r="G190" s="51"/>
    </row>
    <row r="191" spans="1:7" s="52" customFormat="1" ht="15" thickBot="1" x14ac:dyDescent="0.35">
      <c r="A191" s="56"/>
      <c r="B191" s="56"/>
      <c r="C191" s="155" t="str">
        <f t="shared" si="15"/>
        <v/>
      </c>
      <c r="D191" s="57"/>
      <c r="E191" s="238"/>
      <c r="F191" s="239"/>
      <c r="G191" s="51"/>
    </row>
    <row r="192" spans="1:7" s="52" customFormat="1" ht="15" thickBot="1" x14ac:dyDescent="0.35">
      <c r="A192" s="111" t="s">
        <v>27</v>
      </c>
      <c r="B192" s="84">
        <f>SUM(B184:B191)</f>
        <v>45</v>
      </c>
      <c r="C192" s="111" t="str">
        <f xml:space="preserve"> setValueToTime(B192)</f>
        <v>3h45min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25</v>
      </c>
      <c r="C194" s="163"/>
      <c r="D194" s="82" t="s">
        <v>15</v>
      </c>
      <c r="E194" s="94">
        <v>45344</v>
      </c>
      <c r="F194" s="126"/>
      <c r="G194" s="46"/>
    </row>
    <row r="195" spans="1:7" s="47" customFormat="1" ht="30" customHeight="1" thickBot="1" x14ac:dyDescent="0.3">
      <c r="A195" s="80" t="s">
        <v>5</v>
      </c>
      <c r="B195" s="150" t="s">
        <v>38</v>
      </c>
      <c r="C195" s="151"/>
      <c r="D195" s="80" t="s">
        <v>13</v>
      </c>
      <c r="E195" s="232" t="s">
        <v>14</v>
      </c>
      <c r="F195" s="233"/>
      <c r="G195" s="46"/>
    </row>
    <row r="196" spans="1:7" s="52" customFormat="1" ht="27" x14ac:dyDescent="0.3">
      <c r="A196" s="48" t="s">
        <v>54</v>
      </c>
      <c r="B196" s="49">
        <v>36</v>
      </c>
      <c r="C196" s="152" t="str">
        <f xml:space="preserve"> IF(B196="","",setValueToTime(B196))</f>
        <v>3h</v>
      </c>
      <c r="D196" s="50"/>
      <c r="E196" s="234"/>
      <c r="F196" s="235"/>
      <c r="G196" s="51"/>
    </row>
    <row r="197" spans="1:7" s="52" customFormat="1" x14ac:dyDescent="0.3">
      <c r="A197" s="53"/>
      <c r="B197" s="54"/>
      <c r="C197" s="153" t="str">
        <f t="shared" ref="C197:C203" si="16" xml:space="preserve"> IF(B197="","",setValueToTime(B197))</f>
        <v/>
      </c>
      <c r="D197" s="55"/>
      <c r="E197" s="236"/>
      <c r="F197" s="237"/>
      <c r="G197" s="51"/>
    </row>
    <row r="198" spans="1:7" s="52" customFormat="1" x14ac:dyDescent="0.3">
      <c r="A198" s="53"/>
      <c r="B198" s="54"/>
      <c r="C198" s="153" t="str">
        <f t="shared" si="16"/>
        <v/>
      </c>
      <c r="D198" s="55"/>
      <c r="E198" s="236"/>
      <c r="F198" s="237"/>
      <c r="G198" s="51"/>
    </row>
    <row r="199" spans="1:7" s="52" customFormat="1" x14ac:dyDescent="0.3">
      <c r="A199" s="53"/>
      <c r="B199" s="54"/>
      <c r="C199" s="153" t="str">
        <f t="shared" si="16"/>
        <v/>
      </c>
      <c r="D199" s="55"/>
      <c r="E199" s="236"/>
      <c r="F199" s="237"/>
      <c r="G199" s="51"/>
    </row>
    <row r="200" spans="1:7" s="52" customFormat="1" x14ac:dyDescent="0.3">
      <c r="A200" s="54"/>
      <c r="B200" s="54"/>
      <c r="C200" s="154" t="str">
        <f t="shared" si="16"/>
        <v/>
      </c>
      <c r="D200" s="55"/>
      <c r="E200" s="236"/>
      <c r="F200" s="237"/>
      <c r="G200" s="51"/>
    </row>
    <row r="201" spans="1:7" s="52" customFormat="1" x14ac:dyDescent="0.3">
      <c r="A201" s="54"/>
      <c r="B201" s="54"/>
      <c r="C201" s="154" t="str">
        <f t="shared" si="16"/>
        <v/>
      </c>
      <c r="D201" s="55"/>
      <c r="E201" s="236"/>
      <c r="F201" s="237"/>
      <c r="G201" s="51"/>
    </row>
    <row r="202" spans="1:7" s="52" customFormat="1" x14ac:dyDescent="0.3">
      <c r="A202" s="54"/>
      <c r="B202" s="54"/>
      <c r="C202" s="154" t="str">
        <f t="shared" si="16"/>
        <v/>
      </c>
      <c r="D202" s="55"/>
      <c r="E202" s="236"/>
      <c r="F202" s="237"/>
      <c r="G202" s="51"/>
    </row>
    <row r="203" spans="1:7" s="52" customFormat="1" ht="15" thickBot="1" x14ac:dyDescent="0.35">
      <c r="A203" s="56"/>
      <c r="B203" s="56"/>
      <c r="C203" s="155" t="str">
        <f t="shared" si="16"/>
        <v/>
      </c>
      <c r="D203" s="57"/>
      <c r="E203" s="238"/>
      <c r="F203" s="239"/>
      <c r="G203" s="51"/>
    </row>
    <row r="204" spans="1:7" s="52" customFormat="1" ht="15" thickBot="1" x14ac:dyDescent="0.35">
      <c r="A204" s="111" t="s">
        <v>27</v>
      </c>
      <c r="B204" s="84">
        <f>SUM(B196:B203)</f>
        <v>36</v>
      </c>
      <c r="C204" s="111" t="str">
        <f xml:space="preserve"> setValueToTime(B204)</f>
        <v>3h</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24</v>
      </c>
      <c r="C206" s="163"/>
      <c r="D206" s="82" t="s">
        <v>15</v>
      </c>
      <c r="E206" s="94">
        <v>45343</v>
      </c>
      <c r="F206" s="126"/>
      <c r="G206" s="46"/>
    </row>
    <row r="207" spans="1:7" s="47" customFormat="1" ht="30" customHeight="1" thickBot="1" x14ac:dyDescent="0.3">
      <c r="A207" s="80" t="s">
        <v>5</v>
      </c>
      <c r="B207" s="150" t="s">
        <v>38</v>
      </c>
      <c r="C207" s="151"/>
      <c r="D207" s="80" t="s">
        <v>13</v>
      </c>
      <c r="E207" s="232" t="s">
        <v>14</v>
      </c>
      <c r="F207" s="233"/>
      <c r="G207" s="46"/>
    </row>
    <row r="208" spans="1:7" s="52" customFormat="1" ht="27" x14ac:dyDescent="0.3">
      <c r="A208" s="48" t="s">
        <v>54</v>
      </c>
      <c r="B208" s="49">
        <v>36</v>
      </c>
      <c r="C208" s="152" t="str">
        <f xml:space="preserve"> IF(B208="","",setValueToTime(B208))</f>
        <v>3h</v>
      </c>
      <c r="D208" s="50"/>
      <c r="E208" s="234"/>
      <c r="F208" s="235"/>
      <c r="G208" s="51"/>
    </row>
    <row r="209" spans="1:7" s="52" customFormat="1" x14ac:dyDescent="0.3">
      <c r="A209" s="53"/>
      <c r="B209" s="54"/>
      <c r="C209" s="153" t="str">
        <f t="shared" ref="C209:C215" si="17" xml:space="preserve"> IF(B209="","",setValueToTime(B209))</f>
        <v/>
      </c>
      <c r="D209" s="55"/>
      <c r="E209" s="236"/>
      <c r="F209" s="237"/>
      <c r="G209" s="51"/>
    </row>
    <row r="210" spans="1:7" s="52" customFormat="1" x14ac:dyDescent="0.3">
      <c r="A210" s="53"/>
      <c r="B210" s="54"/>
      <c r="C210" s="153" t="str">
        <f t="shared" si="17"/>
        <v/>
      </c>
      <c r="D210" s="55"/>
      <c r="E210" s="236"/>
      <c r="F210" s="237"/>
      <c r="G210" s="51"/>
    </row>
    <row r="211" spans="1:7" s="52" customFormat="1" x14ac:dyDescent="0.3">
      <c r="A211" s="53"/>
      <c r="B211" s="54"/>
      <c r="C211" s="153" t="str">
        <f t="shared" si="17"/>
        <v/>
      </c>
      <c r="D211" s="55"/>
      <c r="E211" s="236"/>
      <c r="F211" s="237"/>
      <c r="G211" s="51"/>
    </row>
    <row r="212" spans="1:7" s="52" customFormat="1" x14ac:dyDescent="0.3">
      <c r="A212" s="54"/>
      <c r="B212" s="54"/>
      <c r="C212" s="154" t="str">
        <f t="shared" si="17"/>
        <v/>
      </c>
      <c r="D212" s="55"/>
      <c r="E212" s="236"/>
      <c r="F212" s="237"/>
      <c r="G212" s="51"/>
    </row>
    <row r="213" spans="1:7" s="52" customFormat="1" x14ac:dyDescent="0.3">
      <c r="A213" s="54"/>
      <c r="B213" s="54"/>
      <c r="C213" s="154" t="str">
        <f t="shared" si="17"/>
        <v/>
      </c>
      <c r="D213" s="55"/>
      <c r="E213" s="236"/>
      <c r="F213" s="237"/>
      <c r="G213" s="51"/>
    </row>
    <row r="214" spans="1:7" s="52" customFormat="1" x14ac:dyDescent="0.3">
      <c r="A214" s="54"/>
      <c r="B214" s="54"/>
      <c r="C214" s="154" t="str">
        <f t="shared" si="17"/>
        <v/>
      </c>
      <c r="D214" s="55"/>
      <c r="E214" s="236"/>
      <c r="F214" s="237"/>
      <c r="G214" s="51"/>
    </row>
    <row r="215" spans="1:7" s="52" customFormat="1" ht="15" thickBot="1" x14ac:dyDescent="0.35">
      <c r="A215" s="56"/>
      <c r="B215" s="56"/>
      <c r="C215" s="155" t="str">
        <f t="shared" si="17"/>
        <v/>
      </c>
      <c r="D215" s="57"/>
      <c r="E215" s="238"/>
      <c r="F215" s="239"/>
      <c r="G215" s="51"/>
    </row>
    <row r="216" spans="1:7" s="52" customFormat="1" ht="15" thickBot="1" x14ac:dyDescent="0.35">
      <c r="A216" s="111" t="s">
        <v>27</v>
      </c>
      <c r="B216" s="84">
        <f>SUM(B208:B215)</f>
        <v>36</v>
      </c>
      <c r="C216" s="111" t="str">
        <f xml:space="preserve"> setValueToTime(B216)</f>
        <v>3h</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23</v>
      </c>
      <c r="C218" s="163"/>
      <c r="D218" s="82" t="s">
        <v>15</v>
      </c>
      <c r="E218" s="94">
        <v>45343</v>
      </c>
      <c r="F218" s="126"/>
      <c r="G218" s="46"/>
    </row>
    <row r="219" spans="1:7" s="47" customFormat="1" ht="30" customHeight="1" thickBot="1" x14ac:dyDescent="0.3">
      <c r="A219" s="80" t="s">
        <v>5</v>
      </c>
      <c r="B219" s="150" t="s">
        <v>38</v>
      </c>
      <c r="C219" s="151"/>
      <c r="D219" s="80" t="s">
        <v>13</v>
      </c>
      <c r="E219" s="232" t="s">
        <v>14</v>
      </c>
      <c r="F219" s="233"/>
      <c r="G219" s="46"/>
    </row>
    <row r="220" spans="1:7" s="52" customFormat="1" ht="27" x14ac:dyDescent="0.3">
      <c r="A220" s="48" t="s">
        <v>54</v>
      </c>
      <c r="B220" s="49">
        <v>36</v>
      </c>
      <c r="C220" s="152" t="str">
        <f xml:space="preserve"> IF(B220="","",setValueToTime(B220))</f>
        <v>3h</v>
      </c>
      <c r="D220" s="50"/>
      <c r="E220" s="234"/>
      <c r="F220" s="235"/>
      <c r="G220" s="51"/>
    </row>
    <row r="221" spans="1:7" s="52" customFormat="1" x14ac:dyDescent="0.3">
      <c r="A221" s="53"/>
      <c r="B221" s="54"/>
      <c r="C221" s="153" t="str">
        <f t="shared" ref="C221:C227" si="18" xml:space="preserve"> IF(B221="","",setValueToTime(B221))</f>
        <v/>
      </c>
      <c r="D221" s="55"/>
      <c r="E221" s="236"/>
      <c r="F221" s="237"/>
      <c r="G221" s="51"/>
    </row>
    <row r="222" spans="1:7" s="52" customFormat="1" x14ac:dyDescent="0.3">
      <c r="A222" s="53"/>
      <c r="B222" s="54"/>
      <c r="C222" s="153" t="str">
        <f t="shared" si="18"/>
        <v/>
      </c>
      <c r="D222" s="55"/>
      <c r="E222" s="236"/>
      <c r="F222" s="237"/>
      <c r="G222" s="51"/>
    </row>
    <row r="223" spans="1:7" s="52" customFormat="1" x14ac:dyDescent="0.3">
      <c r="A223" s="53"/>
      <c r="B223" s="54"/>
      <c r="C223" s="153" t="str">
        <f t="shared" si="18"/>
        <v/>
      </c>
      <c r="D223" s="55"/>
      <c r="E223" s="236"/>
      <c r="F223" s="237"/>
      <c r="G223" s="51"/>
    </row>
    <row r="224" spans="1:7" s="52" customFormat="1" x14ac:dyDescent="0.3">
      <c r="A224" s="54"/>
      <c r="B224" s="54"/>
      <c r="C224" s="154" t="str">
        <f t="shared" si="18"/>
        <v/>
      </c>
      <c r="D224" s="55"/>
      <c r="E224" s="236"/>
      <c r="F224" s="237"/>
      <c r="G224" s="51"/>
    </row>
    <row r="225" spans="1:7" s="52" customFormat="1" x14ac:dyDescent="0.3">
      <c r="A225" s="54"/>
      <c r="B225" s="54"/>
      <c r="C225" s="154" t="str">
        <f t="shared" si="18"/>
        <v/>
      </c>
      <c r="D225" s="55"/>
      <c r="E225" s="236"/>
      <c r="F225" s="237"/>
      <c r="G225" s="51"/>
    </row>
    <row r="226" spans="1:7" s="52" customFormat="1" x14ac:dyDescent="0.3">
      <c r="A226" s="54"/>
      <c r="B226" s="54"/>
      <c r="C226" s="154" t="str">
        <f t="shared" si="18"/>
        <v/>
      </c>
      <c r="D226" s="55"/>
      <c r="E226" s="236"/>
      <c r="F226" s="237"/>
      <c r="G226" s="51"/>
    </row>
    <row r="227" spans="1:7" s="52" customFormat="1" ht="15" thickBot="1" x14ac:dyDescent="0.35">
      <c r="A227" s="56"/>
      <c r="B227" s="56"/>
      <c r="C227" s="155" t="str">
        <f t="shared" si="18"/>
        <v/>
      </c>
      <c r="D227" s="57"/>
      <c r="E227" s="238"/>
      <c r="F227" s="239"/>
      <c r="G227" s="51"/>
    </row>
    <row r="228" spans="1:7" s="52" customFormat="1" ht="15" thickBot="1" x14ac:dyDescent="0.35">
      <c r="A228" s="111" t="s">
        <v>27</v>
      </c>
      <c r="B228" s="84">
        <f>SUM(B220:B227)</f>
        <v>36</v>
      </c>
      <c r="C228" s="111" t="str">
        <f xml:space="preserve"> setValueToTime(B228)</f>
        <v>3h</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22</v>
      </c>
      <c r="C230" s="163"/>
      <c r="D230" s="82" t="s">
        <v>15</v>
      </c>
      <c r="E230" s="94">
        <v>45341</v>
      </c>
      <c r="F230" s="126"/>
      <c r="G230" s="46"/>
    </row>
    <row r="231" spans="1:7" s="47" customFormat="1" ht="30" customHeight="1" thickBot="1" x14ac:dyDescent="0.3">
      <c r="A231" s="80" t="s">
        <v>5</v>
      </c>
      <c r="B231" s="150" t="s">
        <v>38</v>
      </c>
      <c r="C231" s="151"/>
      <c r="D231" s="80" t="s">
        <v>13</v>
      </c>
      <c r="E231" s="232" t="s">
        <v>14</v>
      </c>
      <c r="F231" s="233"/>
      <c r="G231" s="46"/>
    </row>
    <row r="232" spans="1:7" s="52" customFormat="1" ht="27" x14ac:dyDescent="0.3">
      <c r="A232" s="48" t="s">
        <v>54</v>
      </c>
      <c r="B232" s="49">
        <v>27</v>
      </c>
      <c r="C232" s="152" t="str">
        <f xml:space="preserve"> IF(B232="","",setValueToTime(B232))</f>
        <v>2h15min</v>
      </c>
      <c r="D232" s="50"/>
      <c r="E232" s="234"/>
      <c r="F232" s="235"/>
      <c r="G232" s="51"/>
    </row>
    <row r="233" spans="1:7" s="52" customFormat="1" x14ac:dyDescent="0.3">
      <c r="A233" s="53"/>
      <c r="B233" s="54"/>
      <c r="C233" s="153" t="str">
        <f t="shared" ref="C233:C239" si="19" xml:space="preserve"> IF(B233="","",setValueToTime(B233))</f>
        <v/>
      </c>
      <c r="D233" s="55"/>
      <c r="E233" s="236"/>
      <c r="F233" s="237"/>
      <c r="G233" s="51"/>
    </row>
    <row r="234" spans="1:7" s="52" customFormat="1" x14ac:dyDescent="0.3">
      <c r="A234" s="53"/>
      <c r="B234" s="54"/>
      <c r="C234" s="153" t="str">
        <f t="shared" si="19"/>
        <v/>
      </c>
      <c r="D234" s="55"/>
      <c r="E234" s="236"/>
      <c r="F234" s="237"/>
      <c r="G234" s="51"/>
    </row>
    <row r="235" spans="1:7" s="52" customFormat="1" x14ac:dyDescent="0.3">
      <c r="A235" s="53"/>
      <c r="B235" s="54"/>
      <c r="C235" s="153" t="str">
        <f t="shared" si="19"/>
        <v/>
      </c>
      <c r="D235" s="55"/>
      <c r="E235" s="236"/>
      <c r="F235" s="237"/>
      <c r="G235" s="51"/>
    </row>
    <row r="236" spans="1:7" s="52" customFormat="1" x14ac:dyDescent="0.3">
      <c r="A236" s="54"/>
      <c r="B236" s="54"/>
      <c r="C236" s="154" t="str">
        <f t="shared" si="19"/>
        <v/>
      </c>
      <c r="D236" s="55"/>
      <c r="E236" s="236"/>
      <c r="F236" s="237"/>
      <c r="G236" s="51"/>
    </row>
    <row r="237" spans="1:7" s="52" customFormat="1" x14ac:dyDescent="0.3">
      <c r="A237" s="54"/>
      <c r="B237" s="54"/>
      <c r="C237" s="154" t="str">
        <f t="shared" si="19"/>
        <v/>
      </c>
      <c r="D237" s="55"/>
      <c r="E237" s="236"/>
      <c r="F237" s="237"/>
      <c r="G237" s="51"/>
    </row>
    <row r="238" spans="1:7" s="52" customFormat="1" x14ac:dyDescent="0.3">
      <c r="A238" s="54"/>
      <c r="B238" s="54"/>
      <c r="C238" s="154" t="str">
        <f t="shared" si="19"/>
        <v/>
      </c>
      <c r="D238" s="55"/>
      <c r="E238" s="236"/>
      <c r="F238" s="237"/>
      <c r="G238" s="51"/>
    </row>
    <row r="239" spans="1:7" s="52" customFormat="1" ht="15" thickBot="1" x14ac:dyDescent="0.35">
      <c r="A239" s="56"/>
      <c r="B239" s="56"/>
      <c r="C239" s="155" t="str">
        <f t="shared" si="19"/>
        <v/>
      </c>
      <c r="D239" s="57"/>
      <c r="E239" s="238"/>
      <c r="F239" s="239"/>
      <c r="G239" s="51"/>
    </row>
    <row r="240" spans="1:7" s="52" customFormat="1" ht="15" thickBot="1" x14ac:dyDescent="0.35">
      <c r="A240" s="111" t="s">
        <v>27</v>
      </c>
      <c r="B240" s="84">
        <f>SUM(B232:B239)</f>
        <v>27</v>
      </c>
      <c r="C240" s="111" t="str">
        <f xml:space="preserve"> setValueToTime(B240)</f>
        <v>2h15min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21</v>
      </c>
      <c r="C242" s="163"/>
      <c r="D242" s="82" t="s">
        <v>15</v>
      </c>
      <c r="E242" s="94">
        <v>45341</v>
      </c>
      <c r="F242" s="126"/>
      <c r="G242" s="46"/>
    </row>
    <row r="243" spans="1:7" s="47" customFormat="1" ht="30" customHeight="1" thickBot="1" x14ac:dyDescent="0.3">
      <c r="A243" s="80" t="s">
        <v>5</v>
      </c>
      <c r="B243" s="150" t="s">
        <v>38</v>
      </c>
      <c r="C243" s="151"/>
      <c r="D243" s="80" t="s">
        <v>13</v>
      </c>
      <c r="E243" s="232" t="s">
        <v>14</v>
      </c>
      <c r="F243" s="233"/>
      <c r="G243" s="46"/>
    </row>
    <row r="244" spans="1:7" s="52" customFormat="1" ht="27" x14ac:dyDescent="0.3">
      <c r="A244" s="48" t="s">
        <v>54</v>
      </c>
      <c r="B244" s="49">
        <v>45</v>
      </c>
      <c r="C244" s="152" t="str">
        <f xml:space="preserve"> IF(B244="","",setValueToTime(B244))</f>
        <v>3h45min</v>
      </c>
      <c r="D244" s="50"/>
      <c r="E244" s="234"/>
      <c r="F244" s="235"/>
      <c r="G244" s="51"/>
    </row>
    <row r="245" spans="1:7" s="52" customFormat="1" x14ac:dyDescent="0.3">
      <c r="A245" s="53"/>
      <c r="B245" s="54"/>
      <c r="C245" s="153" t="str">
        <f t="shared" ref="C245:C251" si="20" xml:space="preserve"> IF(B245="","",setValueToTime(B245))</f>
        <v/>
      </c>
      <c r="D245" s="55"/>
      <c r="E245" s="236"/>
      <c r="F245" s="237"/>
      <c r="G245" s="51"/>
    </row>
    <row r="246" spans="1:7" s="52" customFormat="1" x14ac:dyDescent="0.3">
      <c r="A246" s="53"/>
      <c r="B246" s="54"/>
      <c r="C246" s="153" t="str">
        <f t="shared" si="20"/>
        <v/>
      </c>
      <c r="D246" s="55"/>
      <c r="E246" s="236"/>
      <c r="F246" s="237"/>
      <c r="G246" s="51"/>
    </row>
    <row r="247" spans="1:7" s="52" customFormat="1" x14ac:dyDescent="0.3">
      <c r="A247" s="53"/>
      <c r="B247" s="54"/>
      <c r="C247" s="153" t="str">
        <f t="shared" si="20"/>
        <v/>
      </c>
      <c r="D247" s="55"/>
      <c r="E247" s="236"/>
      <c r="F247" s="237"/>
      <c r="G247" s="51"/>
    </row>
    <row r="248" spans="1:7" s="52" customFormat="1" x14ac:dyDescent="0.3">
      <c r="A248" s="54"/>
      <c r="B248" s="54"/>
      <c r="C248" s="154" t="str">
        <f t="shared" si="20"/>
        <v/>
      </c>
      <c r="D248" s="55"/>
      <c r="E248" s="236"/>
      <c r="F248" s="237"/>
      <c r="G248" s="51"/>
    </row>
    <row r="249" spans="1:7" s="52" customFormat="1" x14ac:dyDescent="0.3">
      <c r="A249" s="54"/>
      <c r="B249" s="54"/>
      <c r="C249" s="154" t="str">
        <f t="shared" si="20"/>
        <v/>
      </c>
      <c r="D249" s="55"/>
      <c r="E249" s="236"/>
      <c r="F249" s="237"/>
      <c r="G249" s="51"/>
    </row>
    <row r="250" spans="1:7" s="52" customFormat="1" x14ac:dyDescent="0.3">
      <c r="A250" s="54"/>
      <c r="B250" s="54"/>
      <c r="C250" s="154" t="str">
        <f t="shared" si="20"/>
        <v/>
      </c>
      <c r="D250" s="55"/>
      <c r="E250" s="236"/>
      <c r="F250" s="237"/>
      <c r="G250" s="51"/>
    </row>
    <row r="251" spans="1:7" s="52" customFormat="1" ht="15" thickBot="1" x14ac:dyDescent="0.35">
      <c r="A251" s="56"/>
      <c r="B251" s="56"/>
      <c r="C251" s="155" t="str">
        <f t="shared" si="20"/>
        <v/>
      </c>
      <c r="D251" s="57"/>
      <c r="E251" s="238"/>
      <c r="F251" s="239"/>
      <c r="G251" s="51"/>
    </row>
    <row r="252" spans="1:7" s="52" customFormat="1" ht="15" thickBot="1" x14ac:dyDescent="0.35">
      <c r="A252" s="111" t="s">
        <v>27</v>
      </c>
      <c r="B252" s="84">
        <f>SUM(B244:B251)</f>
        <v>45</v>
      </c>
      <c r="C252" s="111" t="str">
        <f xml:space="preserve"> setValueToTime(B252)</f>
        <v>3h45min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20</v>
      </c>
      <c r="C254" s="163"/>
      <c r="D254" s="82" t="s">
        <v>15</v>
      </c>
      <c r="E254" s="94">
        <v>45331</v>
      </c>
      <c r="F254" s="126"/>
      <c r="G254" s="46"/>
    </row>
    <row r="255" spans="1:7" s="47" customFormat="1" ht="30" customHeight="1" thickBot="1" x14ac:dyDescent="0.3">
      <c r="A255" s="80" t="s">
        <v>5</v>
      </c>
      <c r="B255" s="150" t="s">
        <v>38</v>
      </c>
      <c r="C255" s="151"/>
      <c r="D255" s="80" t="s">
        <v>13</v>
      </c>
      <c r="E255" s="232" t="s">
        <v>14</v>
      </c>
      <c r="F255" s="233"/>
      <c r="G255" s="46"/>
    </row>
    <row r="256" spans="1:7" s="52" customFormat="1" ht="40.5" x14ac:dyDescent="0.3">
      <c r="A256" s="48" t="s">
        <v>50</v>
      </c>
      <c r="B256" s="49">
        <v>36</v>
      </c>
      <c r="C256" s="152" t="str">
        <f xml:space="preserve"> IF(B256="","",setValueToTime(B256))</f>
        <v>3h</v>
      </c>
      <c r="D256" s="50"/>
      <c r="E256" s="234"/>
      <c r="F256" s="235"/>
      <c r="G256" s="51"/>
    </row>
    <row r="257" spans="1:7" s="52" customFormat="1" x14ac:dyDescent="0.3">
      <c r="A257" s="53"/>
      <c r="B257" s="54"/>
      <c r="C257" s="153" t="str">
        <f t="shared" ref="C257:C263" si="21" xml:space="preserve"> IF(B257="","",setValueToTime(B257))</f>
        <v/>
      </c>
      <c r="D257" s="55"/>
      <c r="E257" s="236"/>
      <c r="F257" s="237"/>
      <c r="G257" s="51"/>
    </row>
    <row r="258" spans="1:7" s="52" customFormat="1" x14ac:dyDescent="0.3">
      <c r="A258" s="53"/>
      <c r="B258" s="54"/>
      <c r="C258" s="153" t="str">
        <f t="shared" si="21"/>
        <v/>
      </c>
      <c r="D258" s="55"/>
      <c r="E258" s="236"/>
      <c r="F258" s="237"/>
      <c r="G258" s="51"/>
    </row>
    <row r="259" spans="1:7" s="52" customFormat="1" x14ac:dyDescent="0.3">
      <c r="A259" s="53"/>
      <c r="B259" s="54"/>
      <c r="C259" s="153" t="str">
        <f t="shared" si="21"/>
        <v/>
      </c>
      <c r="D259" s="55"/>
      <c r="E259" s="236"/>
      <c r="F259" s="237"/>
      <c r="G259" s="51"/>
    </row>
    <row r="260" spans="1:7" s="52" customFormat="1" x14ac:dyDescent="0.3">
      <c r="A260" s="54"/>
      <c r="B260" s="54"/>
      <c r="C260" s="154" t="str">
        <f t="shared" si="21"/>
        <v/>
      </c>
      <c r="D260" s="55"/>
      <c r="E260" s="236"/>
      <c r="F260" s="237"/>
      <c r="G260" s="51"/>
    </row>
    <row r="261" spans="1:7" s="52" customFormat="1" x14ac:dyDescent="0.3">
      <c r="A261" s="54"/>
      <c r="B261" s="54"/>
      <c r="C261" s="154" t="str">
        <f t="shared" si="21"/>
        <v/>
      </c>
      <c r="D261" s="55"/>
      <c r="E261" s="236"/>
      <c r="F261" s="237"/>
      <c r="G261" s="51"/>
    </row>
    <row r="262" spans="1:7" s="52" customFormat="1" x14ac:dyDescent="0.3">
      <c r="A262" s="54"/>
      <c r="B262" s="54"/>
      <c r="C262" s="154" t="str">
        <f t="shared" si="21"/>
        <v/>
      </c>
      <c r="D262" s="55"/>
      <c r="E262" s="236"/>
      <c r="F262" s="237"/>
      <c r="G262" s="51"/>
    </row>
    <row r="263" spans="1:7" s="52" customFormat="1" ht="15" thickBot="1" x14ac:dyDescent="0.35">
      <c r="A263" s="56"/>
      <c r="B263" s="56"/>
      <c r="C263" s="155" t="str">
        <f t="shared" si="21"/>
        <v/>
      </c>
      <c r="D263" s="57"/>
      <c r="E263" s="238"/>
      <c r="F263" s="239"/>
      <c r="G263" s="51"/>
    </row>
    <row r="264" spans="1:7" s="52" customFormat="1" ht="15" thickBot="1" x14ac:dyDescent="0.35">
      <c r="A264" s="111" t="s">
        <v>27</v>
      </c>
      <c r="B264" s="84">
        <f>SUM(B256:B263)</f>
        <v>36</v>
      </c>
      <c r="C264" s="111" t="str">
        <f xml:space="preserve"> setValueToTime(B264)</f>
        <v>3h</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19</v>
      </c>
      <c r="C266" s="163"/>
      <c r="D266" s="82" t="s">
        <v>15</v>
      </c>
      <c r="E266" s="94">
        <v>45331</v>
      </c>
      <c r="F266" s="126"/>
      <c r="G266" s="46"/>
    </row>
    <row r="267" spans="1:7" s="47" customFormat="1" ht="30" customHeight="1" thickBot="1" x14ac:dyDescent="0.3">
      <c r="A267" s="80" t="s">
        <v>5</v>
      </c>
      <c r="B267" s="150" t="s">
        <v>38</v>
      </c>
      <c r="C267" s="151"/>
      <c r="D267" s="80" t="s">
        <v>13</v>
      </c>
      <c r="E267" s="232" t="s">
        <v>14</v>
      </c>
      <c r="F267" s="233"/>
      <c r="G267" s="46"/>
    </row>
    <row r="268" spans="1:7" s="52" customFormat="1" ht="40.5" x14ac:dyDescent="0.3">
      <c r="A268" s="48" t="s">
        <v>50</v>
      </c>
      <c r="B268" s="49">
        <v>45</v>
      </c>
      <c r="C268" s="152" t="str">
        <f xml:space="preserve"> IF(B268="","",setValueToTime(B268))</f>
        <v>3h45min</v>
      </c>
      <c r="D268" s="50"/>
      <c r="E268" s="234"/>
      <c r="F268" s="235"/>
      <c r="G268" s="51"/>
    </row>
    <row r="269" spans="1:7" s="52" customFormat="1" x14ac:dyDescent="0.3">
      <c r="A269" s="53"/>
      <c r="B269" s="54"/>
      <c r="C269" s="153" t="str">
        <f t="shared" ref="C269:C275" si="22" xml:space="preserve"> IF(B269="","",setValueToTime(B269))</f>
        <v/>
      </c>
      <c r="D269" s="55"/>
      <c r="E269" s="236"/>
      <c r="F269" s="237"/>
      <c r="G269" s="51"/>
    </row>
    <row r="270" spans="1:7" s="52" customFormat="1" x14ac:dyDescent="0.3">
      <c r="A270" s="53"/>
      <c r="B270" s="54"/>
      <c r="C270" s="153" t="str">
        <f t="shared" si="22"/>
        <v/>
      </c>
      <c r="D270" s="55"/>
      <c r="E270" s="236"/>
      <c r="F270" s="237"/>
      <c r="G270" s="51"/>
    </row>
    <row r="271" spans="1:7" s="52" customFormat="1" x14ac:dyDescent="0.3">
      <c r="A271" s="53"/>
      <c r="B271" s="54"/>
      <c r="C271" s="153" t="str">
        <f t="shared" si="22"/>
        <v/>
      </c>
      <c r="D271" s="55"/>
      <c r="E271" s="236"/>
      <c r="F271" s="237"/>
      <c r="G271" s="51"/>
    </row>
    <row r="272" spans="1:7" s="52" customFormat="1" x14ac:dyDescent="0.3">
      <c r="A272" s="54"/>
      <c r="B272" s="54"/>
      <c r="C272" s="154" t="str">
        <f t="shared" si="22"/>
        <v/>
      </c>
      <c r="D272" s="55"/>
      <c r="E272" s="236"/>
      <c r="F272" s="237"/>
      <c r="G272" s="51"/>
    </row>
    <row r="273" spans="1:7" s="52" customFormat="1" x14ac:dyDescent="0.3">
      <c r="A273" s="54"/>
      <c r="B273" s="54"/>
      <c r="C273" s="154" t="str">
        <f t="shared" si="22"/>
        <v/>
      </c>
      <c r="D273" s="55"/>
      <c r="E273" s="236"/>
      <c r="F273" s="237"/>
      <c r="G273" s="51"/>
    </row>
    <row r="274" spans="1:7" s="52" customFormat="1" x14ac:dyDescent="0.3">
      <c r="A274" s="54"/>
      <c r="B274" s="54"/>
      <c r="C274" s="154" t="str">
        <f t="shared" si="22"/>
        <v/>
      </c>
      <c r="D274" s="55"/>
      <c r="E274" s="236"/>
      <c r="F274" s="237"/>
      <c r="G274" s="51"/>
    </row>
    <row r="275" spans="1:7" s="52" customFormat="1" ht="15" thickBot="1" x14ac:dyDescent="0.35">
      <c r="A275" s="56"/>
      <c r="B275" s="56"/>
      <c r="C275" s="155" t="str">
        <f t="shared" si="22"/>
        <v/>
      </c>
      <c r="D275" s="57"/>
      <c r="E275" s="238"/>
      <c r="F275" s="239"/>
      <c r="G275" s="51"/>
    </row>
    <row r="276" spans="1:7" s="52" customFormat="1" ht="15" thickBot="1" x14ac:dyDescent="0.35">
      <c r="A276" s="111" t="s">
        <v>27</v>
      </c>
      <c r="B276" s="84">
        <f>SUM(B268:B275)</f>
        <v>45</v>
      </c>
      <c r="C276" s="111" t="str">
        <f xml:space="preserve"> setValueToTime(B276)</f>
        <v>3h45min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18</v>
      </c>
      <c r="C278" s="163"/>
      <c r="D278" s="82" t="s">
        <v>15</v>
      </c>
      <c r="E278" s="94">
        <v>45330</v>
      </c>
      <c r="F278" s="126"/>
      <c r="G278" s="46"/>
    </row>
    <row r="279" spans="1:7" s="47" customFormat="1" ht="30" customHeight="1" thickBot="1" x14ac:dyDescent="0.3">
      <c r="A279" s="80" t="s">
        <v>5</v>
      </c>
      <c r="B279" s="150" t="s">
        <v>38</v>
      </c>
      <c r="C279" s="151"/>
      <c r="D279" s="80" t="s">
        <v>13</v>
      </c>
      <c r="E279" s="232" t="s">
        <v>14</v>
      </c>
      <c r="F279" s="233"/>
      <c r="G279" s="46"/>
    </row>
    <row r="280" spans="1:7" s="52" customFormat="1" ht="40.5" x14ac:dyDescent="0.3">
      <c r="A280" s="48" t="s">
        <v>50</v>
      </c>
      <c r="B280" s="49">
        <v>36</v>
      </c>
      <c r="C280" s="152" t="str">
        <f xml:space="preserve"> IF(B280="","",setValueToTime(B280))</f>
        <v>3h</v>
      </c>
      <c r="D280" s="50"/>
      <c r="E280" s="234"/>
      <c r="F280" s="235"/>
      <c r="G280" s="51"/>
    </row>
    <row r="281" spans="1:7" s="52" customFormat="1" x14ac:dyDescent="0.3">
      <c r="A281" s="53"/>
      <c r="B281" s="54"/>
      <c r="C281" s="153" t="str">
        <f t="shared" ref="C281:C287" si="23" xml:space="preserve"> IF(B281="","",setValueToTime(B281))</f>
        <v/>
      </c>
      <c r="D281" s="55"/>
      <c r="E281" s="236"/>
      <c r="F281" s="237"/>
      <c r="G281" s="51"/>
    </row>
    <row r="282" spans="1:7" s="52" customFormat="1" x14ac:dyDescent="0.3">
      <c r="A282" s="53"/>
      <c r="B282" s="54"/>
      <c r="C282" s="153" t="str">
        <f t="shared" si="23"/>
        <v/>
      </c>
      <c r="D282" s="55"/>
      <c r="E282" s="236"/>
      <c r="F282" s="237"/>
      <c r="G282" s="51"/>
    </row>
    <row r="283" spans="1:7" s="52" customFormat="1" x14ac:dyDescent="0.3">
      <c r="A283" s="53"/>
      <c r="B283" s="54"/>
      <c r="C283" s="153" t="str">
        <f t="shared" si="23"/>
        <v/>
      </c>
      <c r="D283" s="55"/>
      <c r="E283" s="236"/>
      <c r="F283" s="237"/>
      <c r="G283" s="51"/>
    </row>
    <row r="284" spans="1:7" s="52" customFormat="1" x14ac:dyDescent="0.3">
      <c r="A284" s="54"/>
      <c r="B284" s="54"/>
      <c r="C284" s="154" t="str">
        <f t="shared" si="23"/>
        <v/>
      </c>
      <c r="D284" s="55"/>
      <c r="E284" s="236"/>
      <c r="F284" s="237"/>
      <c r="G284" s="51"/>
    </row>
    <row r="285" spans="1:7" s="52" customFormat="1" x14ac:dyDescent="0.3">
      <c r="A285" s="54"/>
      <c r="B285" s="54"/>
      <c r="C285" s="154" t="str">
        <f t="shared" si="23"/>
        <v/>
      </c>
      <c r="D285" s="55"/>
      <c r="E285" s="236"/>
      <c r="F285" s="237"/>
      <c r="G285" s="51"/>
    </row>
    <row r="286" spans="1:7" s="52" customFormat="1" x14ac:dyDescent="0.3">
      <c r="A286" s="54"/>
      <c r="B286" s="54"/>
      <c r="C286" s="154" t="str">
        <f t="shared" si="23"/>
        <v/>
      </c>
      <c r="D286" s="55"/>
      <c r="E286" s="236"/>
      <c r="F286" s="237"/>
      <c r="G286" s="51"/>
    </row>
    <row r="287" spans="1:7" s="52" customFormat="1" ht="15" thickBot="1" x14ac:dyDescent="0.35">
      <c r="A287" s="56"/>
      <c r="B287" s="56"/>
      <c r="C287" s="155" t="str">
        <f t="shared" si="23"/>
        <v/>
      </c>
      <c r="D287" s="57"/>
      <c r="E287" s="238"/>
      <c r="F287" s="239"/>
      <c r="G287" s="51"/>
    </row>
    <row r="288" spans="1:7" s="52" customFormat="1" ht="15" thickBot="1" x14ac:dyDescent="0.35">
      <c r="A288" s="111" t="s">
        <v>27</v>
      </c>
      <c r="B288" s="84">
        <f>SUM(B280:B287)</f>
        <v>36</v>
      </c>
      <c r="C288" s="111" t="str">
        <f xml:space="preserve"> setValueToTime(B288)</f>
        <v>3h</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17</v>
      </c>
      <c r="C290" s="163"/>
      <c r="D290" s="82" t="s">
        <v>15</v>
      </c>
      <c r="E290" s="94">
        <v>45329</v>
      </c>
      <c r="F290" s="126"/>
      <c r="G290" s="46"/>
    </row>
    <row r="291" spans="1:7" s="47" customFormat="1" ht="30" customHeight="1" thickBot="1" x14ac:dyDescent="0.3">
      <c r="A291" s="80" t="s">
        <v>5</v>
      </c>
      <c r="B291" s="150" t="s">
        <v>38</v>
      </c>
      <c r="C291" s="151"/>
      <c r="D291" s="80" t="s">
        <v>13</v>
      </c>
      <c r="E291" s="232" t="s">
        <v>14</v>
      </c>
      <c r="F291" s="233"/>
      <c r="G291" s="46"/>
    </row>
    <row r="292" spans="1:7" s="52" customFormat="1" ht="40.5" x14ac:dyDescent="0.3">
      <c r="A292" s="48" t="s">
        <v>50</v>
      </c>
      <c r="B292" s="49">
        <v>36</v>
      </c>
      <c r="C292" s="152" t="str">
        <f xml:space="preserve"> IF(B292="","",setValueToTime(B292))</f>
        <v>3h</v>
      </c>
      <c r="D292" s="50"/>
      <c r="E292" s="234"/>
      <c r="F292" s="235"/>
      <c r="G292" s="51"/>
    </row>
    <row r="293" spans="1:7" s="52" customFormat="1" x14ac:dyDescent="0.3">
      <c r="A293" s="53"/>
      <c r="B293" s="54"/>
      <c r="C293" s="153" t="str">
        <f t="shared" ref="C293:C299" si="24" xml:space="preserve"> IF(B293="","",setValueToTime(B293))</f>
        <v/>
      </c>
      <c r="D293" s="55"/>
      <c r="E293" s="236"/>
      <c r="F293" s="237"/>
      <c r="G293" s="51"/>
    </row>
    <row r="294" spans="1:7" s="52" customFormat="1" x14ac:dyDescent="0.3">
      <c r="A294" s="53"/>
      <c r="B294" s="54"/>
      <c r="C294" s="153" t="str">
        <f t="shared" si="24"/>
        <v/>
      </c>
      <c r="D294" s="55"/>
      <c r="E294" s="236"/>
      <c r="F294" s="237"/>
      <c r="G294" s="51"/>
    </row>
    <row r="295" spans="1:7" s="52" customFormat="1" x14ac:dyDescent="0.3">
      <c r="A295" s="53"/>
      <c r="B295" s="54"/>
      <c r="C295" s="153" t="str">
        <f t="shared" si="24"/>
        <v/>
      </c>
      <c r="D295" s="55"/>
      <c r="E295" s="236"/>
      <c r="F295" s="237"/>
      <c r="G295" s="51"/>
    </row>
    <row r="296" spans="1:7" s="52" customFormat="1" x14ac:dyDescent="0.3">
      <c r="A296" s="54"/>
      <c r="B296" s="54"/>
      <c r="C296" s="154" t="str">
        <f t="shared" si="24"/>
        <v/>
      </c>
      <c r="D296" s="55"/>
      <c r="E296" s="236"/>
      <c r="F296" s="237"/>
      <c r="G296" s="51"/>
    </row>
    <row r="297" spans="1:7" s="52" customFormat="1" x14ac:dyDescent="0.3">
      <c r="A297" s="54"/>
      <c r="B297" s="54"/>
      <c r="C297" s="154" t="str">
        <f t="shared" si="24"/>
        <v/>
      </c>
      <c r="D297" s="55"/>
      <c r="E297" s="236"/>
      <c r="F297" s="237"/>
      <c r="G297" s="51"/>
    </row>
    <row r="298" spans="1:7" s="52" customFormat="1" x14ac:dyDescent="0.3">
      <c r="A298" s="54"/>
      <c r="B298" s="54"/>
      <c r="C298" s="154" t="str">
        <f t="shared" si="24"/>
        <v/>
      </c>
      <c r="D298" s="55"/>
      <c r="E298" s="236"/>
      <c r="F298" s="237"/>
      <c r="G298" s="51"/>
    </row>
    <row r="299" spans="1:7" s="52" customFormat="1" ht="15" thickBot="1" x14ac:dyDescent="0.35">
      <c r="A299" s="56"/>
      <c r="B299" s="56"/>
      <c r="C299" s="155" t="str">
        <f t="shared" si="24"/>
        <v/>
      </c>
      <c r="D299" s="57"/>
      <c r="E299" s="238"/>
      <c r="F299" s="239"/>
      <c r="G299" s="51"/>
    </row>
    <row r="300" spans="1:7" s="52" customFormat="1" ht="15" thickBot="1" x14ac:dyDescent="0.35">
      <c r="A300" s="111" t="s">
        <v>27</v>
      </c>
      <c r="B300" s="84">
        <f>SUM(B292:B299)</f>
        <v>36</v>
      </c>
      <c r="C300" s="111" t="str">
        <f xml:space="preserve"> setValueToTime(B300)</f>
        <v>3h</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16</v>
      </c>
      <c r="C302" s="163"/>
      <c r="D302" s="82" t="s">
        <v>15</v>
      </c>
      <c r="E302" s="94">
        <v>45329</v>
      </c>
      <c r="F302" s="126"/>
      <c r="G302" s="46"/>
    </row>
    <row r="303" spans="1:7" s="47" customFormat="1" ht="30" customHeight="1" thickBot="1" x14ac:dyDescent="0.3">
      <c r="A303" s="80" t="s">
        <v>5</v>
      </c>
      <c r="B303" s="150" t="s">
        <v>38</v>
      </c>
      <c r="C303" s="151"/>
      <c r="D303" s="80" t="s">
        <v>13</v>
      </c>
      <c r="E303" s="232" t="s">
        <v>14</v>
      </c>
      <c r="F303" s="233"/>
      <c r="G303" s="46"/>
    </row>
    <row r="304" spans="1:7" s="52" customFormat="1" ht="27" x14ac:dyDescent="0.3">
      <c r="A304" s="48" t="s">
        <v>49</v>
      </c>
      <c r="B304" s="49">
        <v>18</v>
      </c>
      <c r="C304" s="152" t="str">
        <f xml:space="preserve"> IF(B304="","",setValueToTime(B304))</f>
        <v>1h30min</v>
      </c>
      <c r="D304" s="50" t="s">
        <v>101</v>
      </c>
      <c r="E304" s="234"/>
      <c r="F304" s="235"/>
      <c r="G304" s="51"/>
    </row>
    <row r="305" spans="1:7" s="52" customFormat="1" ht="40.5" x14ac:dyDescent="0.3">
      <c r="A305" s="53" t="s">
        <v>50</v>
      </c>
      <c r="B305" s="54">
        <v>18</v>
      </c>
      <c r="C305" s="153" t="str">
        <f t="shared" ref="C305:C311" si="25" xml:space="preserve"> IF(B305="","",setValueToTime(B305))</f>
        <v>1h30min</v>
      </c>
      <c r="D305" s="55"/>
      <c r="E305" s="236"/>
      <c r="F305" s="237"/>
      <c r="G305" s="51"/>
    </row>
    <row r="306" spans="1:7" s="52" customFormat="1" x14ac:dyDescent="0.3">
      <c r="A306" s="53"/>
      <c r="B306" s="54"/>
      <c r="C306" s="153" t="str">
        <f t="shared" si="25"/>
        <v/>
      </c>
      <c r="D306" s="55"/>
      <c r="E306" s="236"/>
      <c r="F306" s="237"/>
      <c r="G306" s="51"/>
    </row>
    <row r="307" spans="1:7" s="52" customFormat="1" x14ac:dyDescent="0.3">
      <c r="A307" s="53"/>
      <c r="B307" s="54"/>
      <c r="C307" s="153" t="str">
        <f t="shared" si="25"/>
        <v/>
      </c>
      <c r="D307" s="55"/>
      <c r="E307" s="236"/>
      <c r="F307" s="237"/>
      <c r="G307" s="51"/>
    </row>
    <row r="308" spans="1:7" s="52" customFormat="1" x14ac:dyDescent="0.3">
      <c r="A308" s="54"/>
      <c r="B308" s="54"/>
      <c r="C308" s="154" t="str">
        <f t="shared" si="25"/>
        <v/>
      </c>
      <c r="D308" s="55"/>
      <c r="E308" s="236"/>
      <c r="F308" s="237"/>
      <c r="G308" s="51"/>
    </row>
    <row r="309" spans="1:7" s="52" customFormat="1" x14ac:dyDescent="0.3">
      <c r="A309" s="54"/>
      <c r="B309" s="54"/>
      <c r="C309" s="154" t="str">
        <f t="shared" si="25"/>
        <v/>
      </c>
      <c r="D309" s="55"/>
      <c r="E309" s="236"/>
      <c r="F309" s="237"/>
      <c r="G309" s="51"/>
    </row>
    <row r="310" spans="1:7" s="52" customFormat="1" x14ac:dyDescent="0.3">
      <c r="A310" s="54"/>
      <c r="B310" s="54"/>
      <c r="C310" s="154" t="str">
        <f t="shared" si="25"/>
        <v/>
      </c>
      <c r="D310" s="55"/>
      <c r="E310" s="236"/>
      <c r="F310" s="237"/>
      <c r="G310" s="51"/>
    </row>
    <row r="311" spans="1:7" s="52" customFormat="1" ht="15" thickBot="1" x14ac:dyDescent="0.35">
      <c r="A311" s="56"/>
      <c r="B311" s="56"/>
      <c r="C311" s="155" t="str">
        <f t="shared" si="25"/>
        <v/>
      </c>
      <c r="D311" s="57"/>
      <c r="E311" s="238"/>
      <c r="F311" s="239"/>
      <c r="G311" s="51"/>
    </row>
    <row r="312" spans="1:7" s="52" customFormat="1" ht="15" thickBot="1" x14ac:dyDescent="0.35">
      <c r="A312" s="111" t="s">
        <v>27</v>
      </c>
      <c r="B312" s="84">
        <f>SUM(B304:B311)</f>
        <v>36</v>
      </c>
      <c r="C312" s="111" t="str">
        <f xml:space="preserve"> setValueToTime(B312)</f>
        <v>3h</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15</v>
      </c>
      <c r="C314" s="163"/>
      <c r="D314" s="82" t="s">
        <v>15</v>
      </c>
      <c r="E314" s="94">
        <v>45327</v>
      </c>
      <c r="F314" s="126"/>
      <c r="G314" s="46"/>
    </row>
    <row r="315" spans="1:7" s="47" customFormat="1" ht="30" customHeight="1" thickBot="1" x14ac:dyDescent="0.3">
      <c r="A315" s="80" t="s">
        <v>5</v>
      </c>
      <c r="B315" s="150" t="s">
        <v>38</v>
      </c>
      <c r="C315" s="151"/>
      <c r="D315" s="80" t="s">
        <v>13</v>
      </c>
      <c r="E315" s="232" t="s">
        <v>14</v>
      </c>
      <c r="F315" s="233"/>
      <c r="G315" s="46"/>
    </row>
    <row r="316" spans="1:7" s="52" customFormat="1" ht="40.5" x14ac:dyDescent="0.3">
      <c r="A316" s="48" t="s">
        <v>48</v>
      </c>
      <c r="B316" s="49">
        <v>27</v>
      </c>
      <c r="C316" s="152" t="str">
        <f xml:space="preserve"> IF(B316="","",setValueToTime(B316))</f>
        <v>2h15min</v>
      </c>
      <c r="D316" s="50" t="s">
        <v>78</v>
      </c>
      <c r="E316" s="234"/>
      <c r="F316" s="235"/>
      <c r="G316" s="51"/>
    </row>
    <row r="317" spans="1:7" s="52" customFormat="1" x14ac:dyDescent="0.3">
      <c r="A317" s="53"/>
      <c r="B317" s="54"/>
      <c r="C317" s="153" t="str">
        <f t="shared" ref="C317:C323" si="26" xml:space="preserve"> IF(B317="","",setValueToTime(B317))</f>
        <v/>
      </c>
      <c r="D317" s="55"/>
      <c r="E317" s="236"/>
      <c r="F317" s="237"/>
      <c r="G317" s="51"/>
    </row>
    <row r="318" spans="1:7" s="52" customFormat="1" x14ac:dyDescent="0.3">
      <c r="A318" s="53"/>
      <c r="B318" s="54"/>
      <c r="C318" s="153" t="str">
        <f t="shared" si="26"/>
        <v/>
      </c>
      <c r="D318" s="55"/>
      <c r="E318" s="236"/>
      <c r="F318" s="237"/>
      <c r="G318" s="51"/>
    </row>
    <row r="319" spans="1:7" s="52" customFormat="1" x14ac:dyDescent="0.3">
      <c r="A319" s="53"/>
      <c r="B319" s="54"/>
      <c r="C319" s="153" t="str">
        <f t="shared" si="26"/>
        <v/>
      </c>
      <c r="D319" s="55"/>
      <c r="E319" s="236"/>
      <c r="F319" s="237"/>
      <c r="G319" s="51"/>
    </row>
    <row r="320" spans="1:7" s="52" customFormat="1" x14ac:dyDescent="0.3">
      <c r="A320" s="54"/>
      <c r="B320" s="54"/>
      <c r="C320" s="154" t="str">
        <f t="shared" si="26"/>
        <v/>
      </c>
      <c r="D320" s="55"/>
      <c r="E320" s="236"/>
      <c r="F320" s="237"/>
      <c r="G320" s="51"/>
    </row>
    <row r="321" spans="1:7" s="52" customFormat="1" x14ac:dyDescent="0.3">
      <c r="A321" s="54"/>
      <c r="B321" s="54"/>
      <c r="C321" s="154" t="str">
        <f t="shared" si="26"/>
        <v/>
      </c>
      <c r="D321" s="55"/>
      <c r="E321" s="236"/>
      <c r="F321" s="237"/>
      <c r="G321" s="51"/>
    </row>
    <row r="322" spans="1:7" s="52" customFormat="1" x14ac:dyDescent="0.3">
      <c r="A322" s="54"/>
      <c r="B322" s="54"/>
      <c r="C322" s="154" t="str">
        <f t="shared" si="26"/>
        <v/>
      </c>
      <c r="D322" s="55"/>
      <c r="E322" s="236"/>
      <c r="F322" s="237"/>
      <c r="G322" s="51"/>
    </row>
    <row r="323" spans="1:7" s="52" customFormat="1" ht="15" thickBot="1" x14ac:dyDescent="0.35">
      <c r="A323" s="56"/>
      <c r="B323" s="56"/>
      <c r="C323" s="155" t="str">
        <f t="shared" si="26"/>
        <v/>
      </c>
      <c r="D323" s="57"/>
      <c r="E323" s="238"/>
      <c r="F323" s="239"/>
      <c r="G323" s="51"/>
    </row>
    <row r="324" spans="1:7" s="52" customFormat="1" ht="15" thickBot="1" x14ac:dyDescent="0.35">
      <c r="A324" s="111" t="s">
        <v>27</v>
      </c>
      <c r="B324" s="84">
        <f>SUM(B316:B323)</f>
        <v>27</v>
      </c>
      <c r="C324" s="111" t="str">
        <f xml:space="preserve"> setValueToTime(B324)</f>
        <v>2h15min</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14</v>
      </c>
      <c r="C326" s="163"/>
      <c r="D326" s="82" t="s">
        <v>15</v>
      </c>
      <c r="E326" s="94">
        <v>45327</v>
      </c>
      <c r="F326" s="126"/>
      <c r="G326" s="46"/>
    </row>
    <row r="327" spans="1:7" s="47" customFormat="1" ht="30" customHeight="1" thickBot="1" x14ac:dyDescent="0.3">
      <c r="A327" s="80" t="s">
        <v>5</v>
      </c>
      <c r="B327" s="150" t="s">
        <v>38</v>
      </c>
      <c r="C327" s="151"/>
      <c r="D327" s="80" t="s">
        <v>13</v>
      </c>
      <c r="E327" s="232" t="s">
        <v>14</v>
      </c>
      <c r="F327" s="233"/>
      <c r="G327" s="46"/>
    </row>
    <row r="328" spans="1:7" s="52" customFormat="1" ht="40.5" x14ac:dyDescent="0.3">
      <c r="A328" s="48" t="s">
        <v>48</v>
      </c>
      <c r="B328" s="49">
        <v>45</v>
      </c>
      <c r="C328" s="152" t="str">
        <f xml:space="preserve"> IF(B328="","",setValueToTime(B328))</f>
        <v>3h45min</v>
      </c>
      <c r="D328" s="50" t="s">
        <v>78</v>
      </c>
      <c r="E328" s="234"/>
      <c r="F328" s="235"/>
      <c r="G328" s="51"/>
    </row>
    <row r="329" spans="1:7" s="52" customFormat="1" x14ac:dyDescent="0.3">
      <c r="A329" s="53"/>
      <c r="B329" s="54"/>
      <c r="C329" s="153" t="str">
        <f t="shared" ref="C329:C335" si="27" xml:space="preserve"> IF(B329="","",setValueToTime(B329))</f>
        <v/>
      </c>
      <c r="D329" s="55"/>
      <c r="E329" s="236"/>
      <c r="F329" s="237"/>
      <c r="G329" s="51"/>
    </row>
    <row r="330" spans="1:7" s="52" customFormat="1" x14ac:dyDescent="0.3">
      <c r="A330" s="53"/>
      <c r="B330" s="54"/>
      <c r="C330" s="153" t="str">
        <f t="shared" si="27"/>
        <v/>
      </c>
      <c r="D330" s="55"/>
      <c r="E330" s="236"/>
      <c r="F330" s="237"/>
      <c r="G330" s="51"/>
    </row>
    <row r="331" spans="1:7" s="52" customFormat="1" x14ac:dyDescent="0.3">
      <c r="A331" s="53"/>
      <c r="B331" s="54"/>
      <c r="C331" s="153" t="str">
        <f t="shared" si="27"/>
        <v/>
      </c>
      <c r="D331" s="55"/>
      <c r="E331" s="236"/>
      <c r="F331" s="237"/>
      <c r="G331" s="51"/>
    </row>
    <row r="332" spans="1:7" s="52" customFormat="1" x14ac:dyDescent="0.3">
      <c r="A332" s="54"/>
      <c r="B332" s="54"/>
      <c r="C332" s="154" t="str">
        <f t="shared" si="27"/>
        <v/>
      </c>
      <c r="D332" s="55"/>
      <c r="E332" s="236"/>
      <c r="F332" s="237"/>
      <c r="G332" s="51"/>
    </row>
    <row r="333" spans="1:7" s="52" customFormat="1" x14ac:dyDescent="0.3">
      <c r="A333" s="54"/>
      <c r="B333" s="54"/>
      <c r="C333" s="154" t="str">
        <f t="shared" si="27"/>
        <v/>
      </c>
      <c r="D333" s="55"/>
      <c r="E333" s="236"/>
      <c r="F333" s="237"/>
      <c r="G333" s="51"/>
    </row>
    <row r="334" spans="1:7" s="52" customFormat="1" x14ac:dyDescent="0.3">
      <c r="A334" s="54"/>
      <c r="B334" s="54"/>
      <c r="C334" s="154" t="str">
        <f t="shared" si="27"/>
        <v/>
      </c>
      <c r="D334" s="55"/>
      <c r="E334" s="236"/>
      <c r="F334" s="237"/>
      <c r="G334" s="51"/>
    </row>
    <row r="335" spans="1:7" s="52" customFormat="1" ht="15" thickBot="1" x14ac:dyDescent="0.35">
      <c r="A335" s="56"/>
      <c r="B335" s="56"/>
      <c r="C335" s="155" t="str">
        <f t="shared" si="27"/>
        <v/>
      </c>
      <c r="D335" s="57"/>
      <c r="E335" s="238"/>
      <c r="F335" s="239"/>
      <c r="G335" s="51"/>
    </row>
    <row r="336" spans="1:7" s="52" customFormat="1" ht="15" thickBot="1" x14ac:dyDescent="0.35">
      <c r="A336" s="111" t="s">
        <v>27</v>
      </c>
      <c r="B336" s="84">
        <f>SUM(B328:B335)</f>
        <v>45</v>
      </c>
      <c r="C336" s="111" t="str">
        <f xml:space="preserve"> setValueToTime(B336)</f>
        <v>3h45min</v>
      </c>
      <c r="D336" s="120"/>
      <c r="E336" s="230"/>
      <c r="F336" s="231"/>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13</v>
      </c>
      <c r="C338" s="163"/>
      <c r="D338" s="82" t="s">
        <v>15</v>
      </c>
      <c r="E338" s="94">
        <v>45324</v>
      </c>
      <c r="F338" s="126"/>
      <c r="G338" s="46"/>
    </row>
    <row r="339" spans="1:7" s="47" customFormat="1" ht="30" customHeight="1" thickBot="1" x14ac:dyDescent="0.3">
      <c r="A339" s="80" t="s">
        <v>5</v>
      </c>
      <c r="B339" s="150" t="s">
        <v>38</v>
      </c>
      <c r="C339" s="151"/>
      <c r="D339" s="80" t="s">
        <v>13</v>
      </c>
      <c r="E339" s="232" t="s">
        <v>14</v>
      </c>
      <c r="F339" s="233"/>
      <c r="G339" s="46"/>
    </row>
    <row r="340" spans="1:7" s="52" customFormat="1" ht="27" x14ac:dyDescent="0.3">
      <c r="A340" s="48" t="s">
        <v>47</v>
      </c>
      <c r="B340" s="49">
        <v>36</v>
      </c>
      <c r="C340" s="152" t="str">
        <f xml:space="preserve"> IF(B340="","",setValueToTime(B340))</f>
        <v>3h</v>
      </c>
      <c r="D340" s="50" t="s">
        <v>76</v>
      </c>
      <c r="E340" s="234"/>
      <c r="F340" s="235"/>
      <c r="G340" s="51"/>
    </row>
    <row r="341" spans="1:7" s="52" customFormat="1" x14ac:dyDescent="0.3">
      <c r="A341" s="53"/>
      <c r="B341" s="54"/>
      <c r="C341" s="153" t="str">
        <f t="shared" ref="C341:C347" si="28" xml:space="preserve"> IF(B341="","",setValueToTime(B341))</f>
        <v/>
      </c>
      <c r="D341" s="55"/>
      <c r="E341" s="236"/>
      <c r="F341" s="237"/>
      <c r="G341" s="51"/>
    </row>
    <row r="342" spans="1:7" s="52" customFormat="1" x14ac:dyDescent="0.3">
      <c r="A342" s="53"/>
      <c r="B342" s="54"/>
      <c r="C342" s="153" t="str">
        <f t="shared" si="28"/>
        <v/>
      </c>
      <c r="D342" s="55"/>
      <c r="E342" s="236"/>
      <c r="F342" s="237"/>
      <c r="G342" s="51"/>
    </row>
    <row r="343" spans="1:7" s="52" customFormat="1" x14ac:dyDescent="0.3">
      <c r="A343" s="53"/>
      <c r="B343" s="54"/>
      <c r="C343" s="153" t="str">
        <f t="shared" si="28"/>
        <v/>
      </c>
      <c r="D343" s="55"/>
      <c r="E343" s="236"/>
      <c r="F343" s="237"/>
      <c r="G343" s="51"/>
    </row>
    <row r="344" spans="1:7" s="52" customFormat="1" x14ac:dyDescent="0.3">
      <c r="A344" s="54"/>
      <c r="B344" s="54"/>
      <c r="C344" s="154" t="str">
        <f t="shared" si="28"/>
        <v/>
      </c>
      <c r="D344" s="55"/>
      <c r="E344" s="236"/>
      <c r="F344" s="237"/>
      <c r="G344" s="51"/>
    </row>
    <row r="345" spans="1:7" s="52" customFormat="1" x14ac:dyDescent="0.3">
      <c r="A345" s="54"/>
      <c r="B345" s="54"/>
      <c r="C345" s="154" t="str">
        <f t="shared" si="28"/>
        <v/>
      </c>
      <c r="D345" s="55"/>
      <c r="E345" s="236"/>
      <c r="F345" s="237"/>
      <c r="G345" s="51"/>
    </row>
    <row r="346" spans="1:7" s="52" customFormat="1" x14ac:dyDescent="0.3">
      <c r="A346" s="54"/>
      <c r="B346" s="54"/>
      <c r="C346" s="154" t="str">
        <f t="shared" si="28"/>
        <v/>
      </c>
      <c r="D346" s="55"/>
      <c r="E346" s="236"/>
      <c r="F346" s="237"/>
      <c r="G346" s="51"/>
    </row>
    <row r="347" spans="1:7" s="52" customFormat="1" ht="15" thickBot="1" x14ac:dyDescent="0.35">
      <c r="A347" s="56"/>
      <c r="B347" s="56"/>
      <c r="C347" s="155" t="str">
        <f t="shared" si="28"/>
        <v/>
      </c>
      <c r="D347" s="57"/>
      <c r="E347" s="238"/>
      <c r="F347" s="239"/>
      <c r="G347" s="51"/>
    </row>
    <row r="348" spans="1:7" s="52" customFormat="1" ht="15" thickBot="1" x14ac:dyDescent="0.35">
      <c r="A348" s="111" t="s">
        <v>27</v>
      </c>
      <c r="B348" s="84">
        <f>SUM(B340:B347)</f>
        <v>36</v>
      </c>
      <c r="C348" s="111" t="str">
        <f xml:space="preserve"> setValueToTime(B348)</f>
        <v>3h</v>
      </c>
      <c r="D348" s="120"/>
      <c r="E348" s="230"/>
      <c r="F348" s="231"/>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12</v>
      </c>
      <c r="C350" s="163"/>
      <c r="D350" s="82" t="s">
        <v>15</v>
      </c>
      <c r="E350" s="94">
        <v>45324</v>
      </c>
      <c r="F350" s="126"/>
      <c r="G350" s="46"/>
    </row>
    <row r="351" spans="1:7" s="47" customFormat="1" ht="30" customHeight="1" thickBot="1" x14ac:dyDescent="0.3">
      <c r="A351" s="80" t="s">
        <v>5</v>
      </c>
      <c r="B351" s="150" t="s">
        <v>38</v>
      </c>
      <c r="C351" s="151"/>
      <c r="D351" s="80" t="s">
        <v>13</v>
      </c>
      <c r="E351" s="232" t="s">
        <v>14</v>
      </c>
      <c r="F351" s="233"/>
      <c r="G351" s="46"/>
    </row>
    <row r="352" spans="1:7" s="52" customFormat="1" x14ac:dyDescent="0.3">
      <c r="A352" s="48" t="s">
        <v>4</v>
      </c>
      <c r="B352" s="49">
        <v>45</v>
      </c>
      <c r="C352" s="152" t="str">
        <f xml:space="preserve"> IF(B352="","",setValueToTime(B352))</f>
        <v>3h45min</v>
      </c>
      <c r="D352" s="50" t="s">
        <v>77</v>
      </c>
      <c r="E352" s="234"/>
      <c r="F352" s="235"/>
      <c r="G352" s="51"/>
    </row>
    <row r="353" spans="1:7" s="52" customFormat="1" x14ac:dyDescent="0.3">
      <c r="A353" s="53"/>
      <c r="B353" s="54"/>
      <c r="C353" s="153" t="str">
        <f t="shared" ref="C353:C359" si="29" xml:space="preserve"> IF(B353="","",setValueToTime(B353))</f>
        <v/>
      </c>
      <c r="D353" s="55"/>
      <c r="E353" s="236"/>
      <c r="F353" s="237"/>
      <c r="G353" s="51"/>
    </row>
    <row r="354" spans="1:7" s="52" customFormat="1" x14ac:dyDescent="0.3">
      <c r="A354" s="53"/>
      <c r="B354" s="54"/>
      <c r="C354" s="153" t="str">
        <f t="shared" si="29"/>
        <v/>
      </c>
      <c r="D354" s="55"/>
      <c r="E354" s="236"/>
      <c r="F354" s="237"/>
      <c r="G354" s="51"/>
    </row>
    <row r="355" spans="1:7" s="52" customFormat="1" x14ac:dyDescent="0.3">
      <c r="A355" s="53"/>
      <c r="B355" s="54"/>
      <c r="C355" s="153" t="str">
        <f t="shared" si="29"/>
        <v/>
      </c>
      <c r="D355" s="55"/>
      <c r="E355" s="236"/>
      <c r="F355" s="237"/>
      <c r="G355" s="51"/>
    </row>
    <row r="356" spans="1:7" s="52" customFormat="1" x14ac:dyDescent="0.3">
      <c r="A356" s="54"/>
      <c r="B356" s="54"/>
      <c r="C356" s="154" t="str">
        <f t="shared" si="29"/>
        <v/>
      </c>
      <c r="D356" s="55"/>
      <c r="E356" s="236"/>
      <c r="F356" s="237"/>
      <c r="G356" s="51"/>
    </row>
    <row r="357" spans="1:7" s="52" customFormat="1" x14ac:dyDescent="0.3">
      <c r="A357" s="54"/>
      <c r="B357" s="54"/>
      <c r="C357" s="154" t="str">
        <f t="shared" si="29"/>
        <v/>
      </c>
      <c r="D357" s="55"/>
      <c r="E357" s="236"/>
      <c r="F357" s="237"/>
      <c r="G357" s="51"/>
    </row>
    <row r="358" spans="1:7" s="52" customFormat="1" x14ac:dyDescent="0.3">
      <c r="A358" s="54"/>
      <c r="B358" s="54"/>
      <c r="C358" s="154" t="str">
        <f t="shared" si="29"/>
        <v/>
      </c>
      <c r="D358" s="55"/>
      <c r="E358" s="236"/>
      <c r="F358" s="237"/>
      <c r="G358" s="51"/>
    </row>
    <row r="359" spans="1:7" s="52" customFormat="1" ht="15" thickBot="1" x14ac:dyDescent="0.35">
      <c r="A359" s="56"/>
      <c r="B359" s="56"/>
      <c r="C359" s="155" t="str">
        <f t="shared" si="29"/>
        <v/>
      </c>
      <c r="D359" s="57"/>
      <c r="E359" s="238"/>
      <c r="F359" s="239"/>
      <c r="G359" s="51"/>
    </row>
    <row r="360" spans="1:7" s="52" customFormat="1" ht="15" thickBot="1" x14ac:dyDescent="0.35">
      <c r="A360" s="111" t="s">
        <v>27</v>
      </c>
      <c r="B360" s="84">
        <f>SUM(B352:B359)</f>
        <v>45</v>
      </c>
      <c r="C360" s="111" t="str">
        <f xml:space="preserve"> setValueToTime(B360)</f>
        <v>3h45min</v>
      </c>
      <c r="D360" s="120"/>
      <c r="E360" s="230"/>
      <c r="F360" s="231"/>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11</v>
      </c>
      <c r="C362" s="163"/>
      <c r="D362" s="82" t="s">
        <v>15</v>
      </c>
      <c r="E362" s="94">
        <v>45323</v>
      </c>
      <c r="F362" s="126"/>
      <c r="G362" s="46"/>
    </row>
    <row r="363" spans="1:7" s="47" customFormat="1" ht="30" customHeight="1" thickBot="1" x14ac:dyDescent="0.3">
      <c r="A363" s="80" t="s">
        <v>5</v>
      </c>
      <c r="B363" s="150" t="s">
        <v>38</v>
      </c>
      <c r="C363" s="151"/>
      <c r="D363" s="80" t="s">
        <v>13</v>
      </c>
      <c r="E363" s="232" t="s">
        <v>14</v>
      </c>
      <c r="F363" s="233"/>
      <c r="G363" s="46"/>
    </row>
    <row r="364" spans="1:7" s="52" customFormat="1" x14ac:dyDescent="0.3">
      <c r="A364" s="48" t="s">
        <v>44</v>
      </c>
      <c r="B364" s="49">
        <v>36</v>
      </c>
      <c r="C364" s="152" t="str">
        <f xml:space="preserve"> IF(B364="","",setValueToTime(B364))</f>
        <v>3h</v>
      </c>
      <c r="D364" s="50" t="s">
        <v>75</v>
      </c>
      <c r="E364" s="234"/>
      <c r="F364" s="235"/>
      <c r="G364" s="51"/>
    </row>
    <row r="365" spans="1:7" s="52" customFormat="1" x14ac:dyDescent="0.3">
      <c r="A365" s="53"/>
      <c r="B365" s="54"/>
      <c r="C365" s="153" t="str">
        <f t="shared" ref="C365:C371" si="30" xml:space="preserve"> IF(B365="","",setValueToTime(B365))</f>
        <v/>
      </c>
      <c r="D365" s="55"/>
      <c r="E365" s="236"/>
      <c r="F365" s="237"/>
      <c r="G365" s="51"/>
    </row>
    <row r="366" spans="1:7" s="52" customFormat="1" x14ac:dyDescent="0.3">
      <c r="A366" s="53"/>
      <c r="B366" s="54"/>
      <c r="C366" s="153" t="str">
        <f t="shared" si="30"/>
        <v/>
      </c>
      <c r="D366" s="55"/>
      <c r="E366" s="236"/>
      <c r="F366" s="237"/>
      <c r="G366" s="51"/>
    </row>
    <row r="367" spans="1:7" s="52" customFormat="1" x14ac:dyDescent="0.3">
      <c r="A367" s="53"/>
      <c r="B367" s="54"/>
      <c r="C367" s="153" t="str">
        <f t="shared" si="30"/>
        <v/>
      </c>
      <c r="D367" s="55"/>
      <c r="E367" s="236"/>
      <c r="F367" s="237"/>
      <c r="G367" s="51"/>
    </row>
    <row r="368" spans="1:7" s="52" customFormat="1" x14ac:dyDescent="0.3">
      <c r="A368" s="54"/>
      <c r="B368" s="54"/>
      <c r="C368" s="154" t="str">
        <f t="shared" si="30"/>
        <v/>
      </c>
      <c r="D368" s="55"/>
      <c r="E368" s="236"/>
      <c r="F368" s="237"/>
      <c r="G368" s="51"/>
    </row>
    <row r="369" spans="1:7" s="52" customFormat="1" x14ac:dyDescent="0.3">
      <c r="A369" s="54"/>
      <c r="B369" s="54"/>
      <c r="C369" s="154" t="str">
        <f t="shared" si="30"/>
        <v/>
      </c>
      <c r="D369" s="55"/>
      <c r="E369" s="236"/>
      <c r="F369" s="237"/>
      <c r="G369" s="51"/>
    </row>
    <row r="370" spans="1:7" s="52" customFormat="1" x14ac:dyDescent="0.3">
      <c r="A370" s="54"/>
      <c r="B370" s="54"/>
      <c r="C370" s="154" t="str">
        <f t="shared" si="30"/>
        <v/>
      </c>
      <c r="D370" s="55"/>
      <c r="E370" s="236"/>
      <c r="F370" s="237"/>
      <c r="G370" s="51"/>
    </row>
    <row r="371" spans="1:7" s="52" customFormat="1" ht="15" thickBot="1" x14ac:dyDescent="0.35">
      <c r="A371" s="56"/>
      <c r="B371" s="56"/>
      <c r="C371" s="155" t="str">
        <f t="shared" si="30"/>
        <v/>
      </c>
      <c r="D371" s="57"/>
      <c r="E371" s="238"/>
      <c r="F371" s="239"/>
      <c r="G371" s="51"/>
    </row>
    <row r="372" spans="1:7" s="52" customFormat="1" ht="15" thickBot="1" x14ac:dyDescent="0.35">
      <c r="A372" s="111" t="s">
        <v>27</v>
      </c>
      <c r="B372" s="84">
        <f>SUM(B364:B371)</f>
        <v>36</v>
      </c>
      <c r="C372" s="111" t="str">
        <f xml:space="preserve"> setValueToTime(B372)</f>
        <v>3h</v>
      </c>
      <c r="D372" s="120"/>
      <c r="E372" s="230"/>
      <c r="F372" s="231"/>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10</v>
      </c>
      <c r="C374" s="163"/>
      <c r="D374" s="82" t="s">
        <v>15</v>
      </c>
      <c r="E374" s="94">
        <v>45322</v>
      </c>
      <c r="F374" s="126"/>
      <c r="G374" s="46"/>
    </row>
    <row r="375" spans="1:7" s="47" customFormat="1" ht="30" customHeight="1" thickBot="1" x14ac:dyDescent="0.3">
      <c r="A375" s="80" t="s">
        <v>5</v>
      </c>
      <c r="B375" s="150" t="s">
        <v>38</v>
      </c>
      <c r="C375" s="151"/>
      <c r="D375" s="80" t="s">
        <v>13</v>
      </c>
      <c r="E375" s="232" t="s">
        <v>14</v>
      </c>
      <c r="F375" s="233"/>
      <c r="G375" s="46"/>
    </row>
    <row r="376" spans="1:7" s="52" customFormat="1" ht="27" x14ac:dyDescent="0.3">
      <c r="A376" s="48" t="s">
        <v>45</v>
      </c>
      <c r="B376" s="49">
        <v>36</v>
      </c>
      <c r="C376" s="152" t="str">
        <f xml:space="preserve"> IF(B376="","",setValueToTime(B376))</f>
        <v>3h</v>
      </c>
      <c r="D376" s="50" t="s">
        <v>74</v>
      </c>
      <c r="E376" s="234"/>
      <c r="F376" s="235"/>
      <c r="G376" s="51"/>
    </row>
    <row r="377" spans="1:7" s="52" customFormat="1" x14ac:dyDescent="0.3">
      <c r="A377" s="53"/>
      <c r="B377" s="54"/>
      <c r="C377" s="153" t="str">
        <f t="shared" ref="C377:C383" si="31" xml:space="preserve"> IF(B377="","",setValueToTime(B377))</f>
        <v/>
      </c>
      <c r="D377" s="55"/>
      <c r="E377" s="236"/>
      <c r="F377" s="237"/>
      <c r="G377" s="51"/>
    </row>
    <row r="378" spans="1:7" s="52" customFormat="1" x14ac:dyDescent="0.3">
      <c r="A378" s="53"/>
      <c r="B378" s="54"/>
      <c r="C378" s="153" t="str">
        <f t="shared" si="31"/>
        <v/>
      </c>
      <c r="D378" s="55"/>
      <c r="E378" s="236"/>
      <c r="F378" s="237"/>
      <c r="G378" s="51"/>
    </row>
    <row r="379" spans="1:7" s="52" customFormat="1" x14ac:dyDescent="0.3">
      <c r="A379" s="53"/>
      <c r="B379" s="54"/>
      <c r="C379" s="153" t="str">
        <f t="shared" si="31"/>
        <v/>
      </c>
      <c r="D379" s="55"/>
      <c r="E379" s="236"/>
      <c r="F379" s="237"/>
      <c r="G379" s="51"/>
    </row>
    <row r="380" spans="1:7" s="52" customFormat="1" x14ac:dyDescent="0.3">
      <c r="A380" s="54"/>
      <c r="B380" s="54"/>
      <c r="C380" s="154" t="str">
        <f t="shared" si="31"/>
        <v/>
      </c>
      <c r="D380" s="55"/>
      <c r="E380" s="236"/>
      <c r="F380" s="237"/>
      <c r="G380" s="51"/>
    </row>
    <row r="381" spans="1:7" s="52" customFormat="1" x14ac:dyDescent="0.3">
      <c r="A381" s="54"/>
      <c r="B381" s="54"/>
      <c r="C381" s="154" t="str">
        <f t="shared" si="31"/>
        <v/>
      </c>
      <c r="D381" s="55"/>
      <c r="E381" s="236"/>
      <c r="F381" s="237"/>
      <c r="G381" s="51"/>
    </row>
    <row r="382" spans="1:7" s="52" customFormat="1" x14ac:dyDescent="0.3">
      <c r="A382" s="54"/>
      <c r="B382" s="54"/>
      <c r="C382" s="154" t="str">
        <f t="shared" si="31"/>
        <v/>
      </c>
      <c r="D382" s="55"/>
      <c r="E382" s="236"/>
      <c r="F382" s="237"/>
      <c r="G382" s="51"/>
    </row>
    <row r="383" spans="1:7" s="52" customFormat="1" ht="15" thickBot="1" x14ac:dyDescent="0.35">
      <c r="A383" s="56"/>
      <c r="B383" s="56"/>
      <c r="C383" s="155" t="str">
        <f t="shared" si="31"/>
        <v/>
      </c>
      <c r="D383" s="57"/>
      <c r="E383" s="238"/>
      <c r="F383" s="239"/>
      <c r="G383" s="51"/>
    </row>
    <row r="384" spans="1:7" s="52" customFormat="1" ht="15" thickBot="1" x14ac:dyDescent="0.35">
      <c r="A384" s="111" t="s">
        <v>27</v>
      </c>
      <c r="B384" s="84">
        <f>SUM(B376:B383)</f>
        <v>36</v>
      </c>
      <c r="C384" s="111" t="str">
        <f xml:space="preserve"> setValueToTime(B384)</f>
        <v>3h</v>
      </c>
      <c r="D384" s="120"/>
      <c r="E384" s="230"/>
      <c r="F384" s="231"/>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9</v>
      </c>
      <c r="C386" s="163"/>
      <c r="D386" s="82" t="s">
        <v>15</v>
      </c>
      <c r="E386" s="94">
        <v>45322</v>
      </c>
      <c r="F386" s="126"/>
      <c r="G386" s="46"/>
    </row>
    <row r="387" spans="1:7" s="47" customFormat="1" ht="30" customHeight="1" thickBot="1" x14ac:dyDescent="0.3">
      <c r="A387" s="80" t="s">
        <v>5</v>
      </c>
      <c r="B387" s="150" t="s">
        <v>38</v>
      </c>
      <c r="C387" s="151"/>
      <c r="D387" s="80" t="s">
        <v>13</v>
      </c>
      <c r="E387" s="232" t="s">
        <v>14</v>
      </c>
      <c r="F387" s="233"/>
      <c r="G387" s="46"/>
    </row>
    <row r="388" spans="1:7" s="52" customFormat="1" ht="27" x14ac:dyDescent="0.3">
      <c r="A388" s="48" t="s">
        <v>45</v>
      </c>
      <c r="B388" s="49">
        <v>36</v>
      </c>
      <c r="C388" s="152" t="str">
        <f xml:space="preserve"> IF(B388="","",setValueToTime(B388))</f>
        <v>3h</v>
      </c>
      <c r="D388" s="50" t="s">
        <v>74</v>
      </c>
      <c r="E388" s="234"/>
      <c r="F388" s="235"/>
      <c r="G388" s="51"/>
    </row>
    <row r="389" spans="1:7" s="52" customFormat="1" x14ac:dyDescent="0.3">
      <c r="A389" s="53"/>
      <c r="B389" s="54"/>
      <c r="C389" s="153" t="str">
        <f t="shared" ref="C389:C395" si="32" xml:space="preserve"> IF(B389="","",setValueToTime(B389))</f>
        <v/>
      </c>
      <c r="D389" s="55"/>
      <c r="E389" s="236"/>
      <c r="F389" s="237"/>
      <c r="G389" s="51"/>
    </row>
    <row r="390" spans="1:7" s="52" customFormat="1" x14ac:dyDescent="0.3">
      <c r="A390" s="53"/>
      <c r="B390" s="54"/>
      <c r="C390" s="153" t="str">
        <f t="shared" si="32"/>
        <v/>
      </c>
      <c r="D390" s="55"/>
      <c r="E390" s="236"/>
      <c r="F390" s="237"/>
      <c r="G390" s="51"/>
    </row>
    <row r="391" spans="1:7" s="52" customFormat="1" x14ac:dyDescent="0.3">
      <c r="A391" s="53"/>
      <c r="B391" s="54"/>
      <c r="C391" s="153" t="str">
        <f t="shared" si="32"/>
        <v/>
      </c>
      <c r="D391" s="55"/>
      <c r="E391" s="236"/>
      <c r="F391" s="237"/>
      <c r="G391" s="51"/>
    </row>
    <row r="392" spans="1:7" s="52" customFormat="1" x14ac:dyDescent="0.3">
      <c r="A392" s="54"/>
      <c r="B392" s="54"/>
      <c r="C392" s="154" t="str">
        <f t="shared" si="32"/>
        <v/>
      </c>
      <c r="D392" s="55"/>
      <c r="E392" s="236"/>
      <c r="F392" s="237"/>
      <c r="G392" s="51"/>
    </row>
    <row r="393" spans="1:7" s="52" customFormat="1" x14ac:dyDescent="0.3">
      <c r="A393" s="54"/>
      <c r="B393" s="54"/>
      <c r="C393" s="154" t="str">
        <f t="shared" si="32"/>
        <v/>
      </c>
      <c r="D393" s="55"/>
      <c r="E393" s="236"/>
      <c r="F393" s="237"/>
      <c r="G393" s="51"/>
    </row>
    <row r="394" spans="1:7" s="52" customFormat="1" x14ac:dyDescent="0.3">
      <c r="A394" s="54"/>
      <c r="B394" s="54"/>
      <c r="C394" s="154" t="str">
        <f t="shared" si="32"/>
        <v/>
      </c>
      <c r="D394" s="55"/>
      <c r="E394" s="236"/>
      <c r="F394" s="237"/>
      <c r="G394" s="51"/>
    </row>
    <row r="395" spans="1:7" s="52" customFormat="1" ht="15" thickBot="1" x14ac:dyDescent="0.35">
      <c r="A395" s="56"/>
      <c r="B395" s="56"/>
      <c r="C395" s="155" t="str">
        <f t="shared" si="32"/>
        <v/>
      </c>
      <c r="D395" s="57"/>
      <c r="E395" s="238"/>
      <c r="F395" s="239"/>
      <c r="G395" s="51"/>
    </row>
    <row r="396" spans="1:7" s="52" customFormat="1" ht="15" thickBot="1" x14ac:dyDescent="0.35">
      <c r="A396" s="111" t="s">
        <v>27</v>
      </c>
      <c r="B396" s="84">
        <f>SUM(B388:B395)</f>
        <v>36</v>
      </c>
      <c r="C396" s="111" t="str">
        <f xml:space="preserve"> setValueToTime(B396)</f>
        <v>3h</v>
      </c>
      <c r="D396" s="120"/>
      <c r="E396" s="230"/>
      <c r="F396" s="231"/>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8</v>
      </c>
      <c r="C398" s="163"/>
      <c r="D398" s="82" t="s">
        <v>15</v>
      </c>
      <c r="E398" s="94">
        <v>45320</v>
      </c>
      <c r="F398" s="126"/>
      <c r="G398" s="46"/>
    </row>
    <row r="399" spans="1:7" s="47" customFormat="1" ht="30" customHeight="1" thickBot="1" x14ac:dyDescent="0.3">
      <c r="A399" s="80" t="s">
        <v>5</v>
      </c>
      <c r="B399" s="150" t="s">
        <v>38</v>
      </c>
      <c r="C399" s="151"/>
      <c r="D399" s="80" t="s">
        <v>13</v>
      </c>
      <c r="E399" s="232" t="s">
        <v>14</v>
      </c>
      <c r="F399" s="233"/>
      <c r="G399" s="46"/>
    </row>
    <row r="400" spans="1:7" s="52" customFormat="1" ht="27" x14ac:dyDescent="0.3">
      <c r="A400" s="48" t="s">
        <v>45</v>
      </c>
      <c r="B400" s="49">
        <v>27</v>
      </c>
      <c r="C400" s="152" t="str">
        <f xml:space="preserve"> IF(B400="","",setValueToTime(B400))</f>
        <v>2h15min</v>
      </c>
      <c r="D400" s="50" t="s">
        <v>74</v>
      </c>
      <c r="E400" s="234"/>
      <c r="F400" s="235"/>
      <c r="G400" s="51"/>
    </row>
    <row r="401" spans="1:7" s="52" customFormat="1" x14ac:dyDescent="0.3">
      <c r="A401" s="53"/>
      <c r="B401" s="54"/>
      <c r="C401" s="153" t="str">
        <f t="shared" ref="C401:C407" si="33" xml:space="preserve"> IF(B401="","",setValueToTime(B401))</f>
        <v/>
      </c>
      <c r="D401" s="55"/>
      <c r="E401" s="236"/>
      <c r="F401" s="237"/>
      <c r="G401" s="51"/>
    </row>
    <row r="402" spans="1:7" s="52" customFormat="1" x14ac:dyDescent="0.3">
      <c r="A402" s="53"/>
      <c r="B402" s="54"/>
      <c r="C402" s="153" t="str">
        <f t="shared" si="33"/>
        <v/>
      </c>
      <c r="D402" s="55"/>
      <c r="E402" s="236"/>
      <c r="F402" s="237"/>
      <c r="G402" s="51"/>
    </row>
    <row r="403" spans="1:7" s="52" customFormat="1" x14ac:dyDescent="0.3">
      <c r="A403" s="53"/>
      <c r="B403" s="54"/>
      <c r="C403" s="153" t="str">
        <f t="shared" si="33"/>
        <v/>
      </c>
      <c r="D403" s="55"/>
      <c r="E403" s="236"/>
      <c r="F403" s="237"/>
      <c r="G403" s="51"/>
    </row>
    <row r="404" spans="1:7" s="52" customFormat="1" x14ac:dyDescent="0.3">
      <c r="A404" s="54"/>
      <c r="B404" s="54"/>
      <c r="C404" s="154" t="str">
        <f t="shared" si="33"/>
        <v/>
      </c>
      <c r="D404" s="55"/>
      <c r="E404" s="236"/>
      <c r="F404" s="237"/>
      <c r="G404" s="51"/>
    </row>
    <row r="405" spans="1:7" s="52" customFormat="1" x14ac:dyDescent="0.3">
      <c r="A405" s="54"/>
      <c r="B405" s="54"/>
      <c r="C405" s="154" t="str">
        <f t="shared" si="33"/>
        <v/>
      </c>
      <c r="D405" s="55"/>
      <c r="E405" s="236"/>
      <c r="F405" s="237"/>
      <c r="G405" s="51"/>
    </row>
    <row r="406" spans="1:7" s="52" customFormat="1" x14ac:dyDescent="0.3">
      <c r="A406" s="54"/>
      <c r="B406" s="54"/>
      <c r="C406" s="154" t="str">
        <f t="shared" si="33"/>
        <v/>
      </c>
      <c r="D406" s="55"/>
      <c r="E406" s="236"/>
      <c r="F406" s="237"/>
      <c r="G406" s="51"/>
    </row>
    <row r="407" spans="1:7" s="52" customFormat="1" ht="15" thickBot="1" x14ac:dyDescent="0.35">
      <c r="A407" s="56"/>
      <c r="B407" s="56"/>
      <c r="C407" s="155" t="str">
        <f t="shared" si="33"/>
        <v/>
      </c>
      <c r="D407" s="57"/>
      <c r="E407" s="238"/>
      <c r="F407" s="239"/>
      <c r="G407" s="51"/>
    </row>
    <row r="408" spans="1:7" s="52" customFormat="1" ht="15" thickBot="1" x14ac:dyDescent="0.35">
      <c r="A408" s="111" t="s">
        <v>27</v>
      </c>
      <c r="B408" s="84">
        <f>SUM(B400:B407)</f>
        <v>27</v>
      </c>
      <c r="C408" s="111" t="str">
        <f xml:space="preserve"> setValueToTime(B408)</f>
        <v>2h15min</v>
      </c>
      <c r="D408" s="120"/>
      <c r="E408" s="230"/>
      <c r="F408" s="231"/>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7</v>
      </c>
      <c r="C410" s="163"/>
      <c r="D410" s="82" t="s">
        <v>15</v>
      </c>
      <c r="E410" s="94">
        <v>45320</v>
      </c>
      <c r="F410" s="126"/>
      <c r="G410" s="46"/>
    </row>
    <row r="411" spans="1:7" s="47" customFormat="1" ht="30" customHeight="1" thickBot="1" x14ac:dyDescent="0.3">
      <c r="A411" s="80" t="s">
        <v>5</v>
      </c>
      <c r="B411" s="150" t="s">
        <v>38</v>
      </c>
      <c r="C411" s="151"/>
      <c r="D411" s="80" t="s">
        <v>13</v>
      </c>
      <c r="E411" s="232" t="s">
        <v>14</v>
      </c>
      <c r="F411" s="233"/>
      <c r="G411" s="46"/>
    </row>
    <row r="412" spans="1:7" s="52" customFormat="1" ht="27" x14ac:dyDescent="0.3">
      <c r="A412" s="48" t="s">
        <v>45</v>
      </c>
      <c r="B412" s="49">
        <v>45</v>
      </c>
      <c r="C412" s="152" t="str">
        <f xml:space="preserve"> IF(B412="","",setValueToTime(B412))</f>
        <v>3h45min</v>
      </c>
      <c r="D412" s="50" t="s">
        <v>74</v>
      </c>
      <c r="E412" s="234"/>
      <c r="F412" s="235"/>
      <c r="G412" s="51"/>
    </row>
    <row r="413" spans="1:7" s="52" customFormat="1" x14ac:dyDescent="0.3">
      <c r="A413" s="53"/>
      <c r="B413" s="54"/>
      <c r="C413" s="153" t="str">
        <f t="shared" ref="C413:C419" si="34" xml:space="preserve"> IF(B413="","",setValueToTime(B413))</f>
        <v/>
      </c>
      <c r="D413" s="55"/>
      <c r="E413" s="236"/>
      <c r="F413" s="237"/>
      <c r="G413" s="51"/>
    </row>
    <row r="414" spans="1:7" s="52" customFormat="1" x14ac:dyDescent="0.3">
      <c r="A414" s="53"/>
      <c r="B414" s="54"/>
      <c r="C414" s="153" t="str">
        <f t="shared" si="34"/>
        <v/>
      </c>
      <c r="D414" s="55"/>
      <c r="E414" s="236"/>
      <c r="F414" s="237"/>
      <c r="G414" s="51"/>
    </row>
    <row r="415" spans="1:7" s="52" customFormat="1" x14ac:dyDescent="0.3">
      <c r="A415" s="53"/>
      <c r="B415" s="54"/>
      <c r="C415" s="153" t="str">
        <f t="shared" si="34"/>
        <v/>
      </c>
      <c r="D415" s="55"/>
      <c r="E415" s="236"/>
      <c r="F415" s="237"/>
      <c r="G415" s="51"/>
    </row>
    <row r="416" spans="1:7" s="52" customFormat="1" x14ac:dyDescent="0.3">
      <c r="A416" s="54"/>
      <c r="B416" s="54"/>
      <c r="C416" s="154" t="str">
        <f t="shared" si="34"/>
        <v/>
      </c>
      <c r="D416" s="55"/>
      <c r="E416" s="236"/>
      <c r="F416" s="237"/>
      <c r="G416" s="51"/>
    </row>
    <row r="417" spans="1:7" s="52" customFormat="1" x14ac:dyDescent="0.3">
      <c r="A417" s="54"/>
      <c r="B417" s="54"/>
      <c r="C417" s="154" t="str">
        <f t="shared" si="34"/>
        <v/>
      </c>
      <c r="D417" s="55"/>
      <c r="E417" s="236"/>
      <c r="F417" s="237"/>
      <c r="G417" s="51"/>
    </row>
    <row r="418" spans="1:7" s="52" customFormat="1" x14ac:dyDescent="0.3">
      <c r="A418" s="54"/>
      <c r="B418" s="54"/>
      <c r="C418" s="154" t="str">
        <f t="shared" si="34"/>
        <v/>
      </c>
      <c r="D418" s="55"/>
      <c r="E418" s="236"/>
      <c r="F418" s="237"/>
      <c r="G418" s="51"/>
    </row>
    <row r="419" spans="1:7" s="52" customFormat="1" ht="15" thickBot="1" x14ac:dyDescent="0.35">
      <c r="A419" s="56"/>
      <c r="B419" s="56"/>
      <c r="C419" s="155" t="str">
        <f t="shared" si="34"/>
        <v/>
      </c>
      <c r="D419" s="57"/>
      <c r="E419" s="238"/>
      <c r="F419" s="239"/>
      <c r="G419" s="51"/>
    </row>
    <row r="420" spans="1:7" s="52" customFormat="1" ht="15" thickBot="1" x14ac:dyDescent="0.35">
      <c r="A420" s="111" t="s">
        <v>27</v>
      </c>
      <c r="B420" s="84">
        <f>SUM(B412:B419)</f>
        <v>45</v>
      </c>
      <c r="C420" s="111" t="str">
        <f xml:space="preserve"> setValueToTime(B420)</f>
        <v>3h45min</v>
      </c>
      <c r="D420" s="120"/>
      <c r="E420" s="230"/>
      <c r="F420" s="231"/>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6</v>
      </c>
      <c r="C422" s="163"/>
      <c r="D422" s="82" t="s">
        <v>15</v>
      </c>
      <c r="E422" s="94">
        <v>45317</v>
      </c>
      <c r="F422" s="126"/>
      <c r="G422" s="46"/>
    </row>
    <row r="423" spans="1:7" s="47" customFormat="1" ht="30" customHeight="1" thickBot="1" x14ac:dyDescent="0.3">
      <c r="A423" s="80" t="s">
        <v>5</v>
      </c>
      <c r="B423" s="150" t="s">
        <v>38</v>
      </c>
      <c r="C423" s="151"/>
      <c r="D423" s="80" t="s">
        <v>13</v>
      </c>
      <c r="E423" s="232" t="s">
        <v>14</v>
      </c>
      <c r="F423" s="233"/>
      <c r="G423" s="46"/>
    </row>
    <row r="424" spans="1:7" s="52" customFormat="1" ht="27" x14ac:dyDescent="0.3">
      <c r="A424" s="48" t="s">
        <v>43</v>
      </c>
      <c r="B424" s="49">
        <v>30</v>
      </c>
      <c r="C424" s="152" t="str">
        <f xml:space="preserve"> IF(B424="","",setValueToTime(B424))</f>
        <v>2h30min</v>
      </c>
      <c r="D424" s="50" t="s">
        <v>72</v>
      </c>
      <c r="E424" s="234"/>
      <c r="F424" s="235"/>
      <c r="G424" s="51"/>
    </row>
    <row r="425" spans="1:7" s="52" customFormat="1" x14ac:dyDescent="0.3">
      <c r="A425" s="53" t="s">
        <v>43</v>
      </c>
      <c r="B425" s="54">
        <v>15</v>
      </c>
      <c r="C425" s="153" t="str">
        <f t="shared" ref="C425" si="35" xml:space="preserve"> IF(B425="","",setValueToTime(B425))</f>
        <v>1h15min</v>
      </c>
      <c r="D425" s="55" t="s">
        <v>73</v>
      </c>
      <c r="E425" s="236"/>
      <c r="F425" s="237"/>
      <c r="G425" s="51"/>
    </row>
    <row r="426" spans="1:7" s="52" customFormat="1" x14ac:dyDescent="0.3">
      <c r="A426" s="53"/>
      <c r="B426" s="54"/>
      <c r="C426" s="153" t="str">
        <f t="shared" ref="C426:C431" si="36" xml:space="preserve"> IF(B426="","",setValueToTime(B426))</f>
        <v/>
      </c>
      <c r="D426" s="55"/>
      <c r="E426" s="236"/>
      <c r="F426" s="237"/>
      <c r="G426" s="51"/>
    </row>
    <row r="427" spans="1:7" s="52" customFormat="1" x14ac:dyDescent="0.3">
      <c r="A427" s="53"/>
      <c r="B427" s="54"/>
      <c r="C427" s="153" t="str">
        <f t="shared" si="36"/>
        <v/>
      </c>
      <c r="D427" s="55"/>
      <c r="E427" s="236"/>
      <c r="F427" s="237"/>
      <c r="G427" s="51"/>
    </row>
    <row r="428" spans="1:7" s="52" customFormat="1" x14ac:dyDescent="0.3">
      <c r="A428" s="54"/>
      <c r="B428" s="54"/>
      <c r="C428" s="154" t="str">
        <f t="shared" si="36"/>
        <v/>
      </c>
      <c r="D428" s="55"/>
      <c r="E428" s="236"/>
      <c r="F428" s="237"/>
      <c r="G428" s="51"/>
    </row>
    <row r="429" spans="1:7" s="52" customFormat="1" x14ac:dyDescent="0.3">
      <c r="A429" s="54"/>
      <c r="B429" s="54"/>
      <c r="C429" s="154" t="str">
        <f t="shared" si="36"/>
        <v/>
      </c>
      <c r="D429" s="55"/>
      <c r="E429" s="236"/>
      <c r="F429" s="237"/>
      <c r="G429" s="51"/>
    </row>
    <row r="430" spans="1:7" s="52" customFormat="1" x14ac:dyDescent="0.3">
      <c r="A430" s="54"/>
      <c r="B430" s="54"/>
      <c r="C430" s="154" t="str">
        <f t="shared" si="36"/>
        <v/>
      </c>
      <c r="D430" s="55"/>
      <c r="E430" s="236"/>
      <c r="F430" s="237"/>
      <c r="G430" s="51"/>
    </row>
    <row r="431" spans="1:7" s="52" customFormat="1" ht="15" thickBot="1" x14ac:dyDescent="0.35">
      <c r="A431" s="56"/>
      <c r="B431" s="56"/>
      <c r="C431" s="155" t="str">
        <f t="shared" si="36"/>
        <v/>
      </c>
      <c r="D431" s="57"/>
      <c r="E431" s="238"/>
      <c r="F431" s="239"/>
      <c r="G431" s="51"/>
    </row>
    <row r="432" spans="1:7" s="52" customFormat="1" ht="15" thickBot="1" x14ac:dyDescent="0.35">
      <c r="A432" s="111" t="s">
        <v>27</v>
      </c>
      <c r="B432" s="84">
        <f>SUM(B424:B431)</f>
        <v>45</v>
      </c>
      <c r="C432" s="111" t="str">
        <f xml:space="preserve"> setValueToTime(B432)</f>
        <v>3h45min</v>
      </c>
      <c r="D432" s="120"/>
      <c r="E432" s="230"/>
      <c r="F432" s="231"/>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5</v>
      </c>
      <c r="C434" s="163"/>
      <c r="D434" s="82" t="s">
        <v>15</v>
      </c>
      <c r="E434" s="94">
        <v>45316</v>
      </c>
      <c r="F434" s="126"/>
      <c r="G434" s="46"/>
    </row>
    <row r="435" spans="1:7" s="47" customFormat="1" ht="30" customHeight="1" thickBot="1" x14ac:dyDescent="0.3">
      <c r="A435" s="80" t="s">
        <v>5</v>
      </c>
      <c r="B435" s="150" t="s">
        <v>38</v>
      </c>
      <c r="C435" s="151"/>
      <c r="D435" s="80" t="s">
        <v>13</v>
      </c>
      <c r="E435" s="232" t="s">
        <v>14</v>
      </c>
      <c r="F435" s="233"/>
      <c r="G435" s="46"/>
    </row>
    <row r="436" spans="1:7" s="52" customFormat="1" x14ac:dyDescent="0.3">
      <c r="A436" s="48" t="s">
        <v>43</v>
      </c>
      <c r="B436" s="49">
        <v>36</v>
      </c>
      <c r="C436" s="152" t="str">
        <f xml:space="preserve"> IF(B436="","",setValueToTime(B436))</f>
        <v>3h</v>
      </c>
      <c r="D436" s="50" t="s">
        <v>71</v>
      </c>
      <c r="E436" s="234"/>
      <c r="F436" s="235"/>
      <c r="G436" s="51"/>
    </row>
    <row r="437" spans="1:7" s="52" customFormat="1" x14ac:dyDescent="0.3">
      <c r="A437" s="53"/>
      <c r="B437" s="54"/>
      <c r="C437" s="153"/>
      <c r="D437" s="55"/>
      <c r="E437" s="236"/>
      <c r="F437" s="237"/>
      <c r="G437" s="51"/>
    </row>
    <row r="438" spans="1:7" s="52" customFormat="1" x14ac:dyDescent="0.3">
      <c r="A438" s="53"/>
      <c r="B438" s="54"/>
      <c r="C438" s="153" t="str">
        <f t="shared" ref="C438:C443" si="37" xml:space="preserve"> IF(B438="","",setValueToTime(B438))</f>
        <v/>
      </c>
      <c r="D438" s="55"/>
      <c r="E438" s="236"/>
      <c r="F438" s="237"/>
      <c r="G438" s="51"/>
    </row>
    <row r="439" spans="1:7" s="52" customFormat="1" x14ac:dyDescent="0.3">
      <c r="A439" s="53"/>
      <c r="B439" s="54"/>
      <c r="C439" s="153" t="str">
        <f t="shared" si="37"/>
        <v/>
      </c>
      <c r="D439" s="55"/>
      <c r="E439" s="236"/>
      <c r="F439" s="237"/>
      <c r="G439" s="51"/>
    </row>
    <row r="440" spans="1:7" s="52" customFormat="1" x14ac:dyDescent="0.3">
      <c r="A440" s="54"/>
      <c r="B440" s="54"/>
      <c r="C440" s="154" t="str">
        <f t="shared" si="37"/>
        <v/>
      </c>
      <c r="D440" s="55"/>
      <c r="E440" s="236"/>
      <c r="F440" s="237"/>
      <c r="G440" s="51"/>
    </row>
    <row r="441" spans="1:7" s="52" customFormat="1" x14ac:dyDescent="0.3">
      <c r="A441" s="54"/>
      <c r="B441" s="54"/>
      <c r="C441" s="154" t="str">
        <f t="shared" si="37"/>
        <v/>
      </c>
      <c r="D441" s="55"/>
      <c r="E441" s="236"/>
      <c r="F441" s="237"/>
      <c r="G441" s="51"/>
    </row>
    <row r="442" spans="1:7" s="52" customFormat="1" x14ac:dyDescent="0.3">
      <c r="A442" s="54"/>
      <c r="B442" s="54"/>
      <c r="C442" s="154" t="str">
        <f t="shared" si="37"/>
        <v/>
      </c>
      <c r="D442" s="55"/>
      <c r="E442" s="236"/>
      <c r="F442" s="237"/>
      <c r="G442" s="51"/>
    </row>
    <row r="443" spans="1:7" s="52" customFormat="1" ht="15" thickBot="1" x14ac:dyDescent="0.35">
      <c r="A443" s="56"/>
      <c r="B443" s="56"/>
      <c r="C443" s="155" t="str">
        <f t="shared" si="37"/>
        <v/>
      </c>
      <c r="D443" s="57"/>
      <c r="E443" s="238"/>
      <c r="F443" s="239"/>
      <c r="G443" s="51"/>
    </row>
    <row r="444" spans="1:7" s="52" customFormat="1" ht="15" thickBot="1" x14ac:dyDescent="0.35">
      <c r="A444" s="111" t="s">
        <v>27</v>
      </c>
      <c r="B444" s="84">
        <f>SUM(B436:B443)</f>
        <v>36</v>
      </c>
      <c r="C444" s="111" t="str">
        <f xml:space="preserve"> setValueToTime(B444)</f>
        <v>3h</v>
      </c>
      <c r="D444" s="120"/>
      <c r="E444" s="230"/>
      <c r="F444" s="231"/>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4</v>
      </c>
      <c r="C446" s="163"/>
      <c r="D446" s="82" t="s">
        <v>15</v>
      </c>
      <c r="E446" s="94">
        <v>45315</v>
      </c>
      <c r="F446" s="126"/>
      <c r="G446" s="46"/>
    </row>
    <row r="447" spans="1:7" s="47" customFormat="1" ht="30" customHeight="1" thickBot="1" x14ac:dyDescent="0.3">
      <c r="A447" s="80" t="s">
        <v>5</v>
      </c>
      <c r="B447" s="150" t="s">
        <v>38</v>
      </c>
      <c r="C447" s="151"/>
      <c r="D447" s="80" t="s">
        <v>13</v>
      </c>
      <c r="E447" s="232" t="s">
        <v>14</v>
      </c>
      <c r="F447" s="233"/>
      <c r="G447" s="46"/>
    </row>
    <row r="448" spans="1:7" s="52" customFormat="1" x14ac:dyDescent="0.3">
      <c r="A448" s="48" t="s">
        <v>43</v>
      </c>
      <c r="B448" s="49">
        <v>36</v>
      </c>
      <c r="C448" s="152" t="str">
        <f xml:space="preserve"> IF(B448="","",setValueToTime(B448))</f>
        <v>3h</v>
      </c>
      <c r="D448" s="50" t="s">
        <v>71</v>
      </c>
      <c r="E448" s="234"/>
      <c r="F448" s="235"/>
      <c r="G448" s="51"/>
    </row>
    <row r="449" spans="1:7" s="52" customFormat="1" x14ac:dyDescent="0.3">
      <c r="A449" s="53"/>
      <c r="B449" s="54"/>
      <c r="C449" s="153"/>
      <c r="D449" s="55"/>
      <c r="E449" s="236"/>
      <c r="F449" s="237"/>
      <c r="G449" s="51"/>
    </row>
    <row r="450" spans="1:7" s="52" customFormat="1" x14ac:dyDescent="0.3">
      <c r="A450" s="53"/>
      <c r="B450" s="54"/>
      <c r="C450" s="153"/>
      <c r="D450"/>
      <c r="E450" s="236"/>
      <c r="F450" s="237"/>
      <c r="G450" s="51"/>
    </row>
    <row r="451" spans="1:7" s="52" customFormat="1" x14ac:dyDescent="0.3">
      <c r="A451" s="53"/>
      <c r="B451" s="54"/>
      <c r="C451" s="153" t="str">
        <f t="shared" ref="C451:C455" si="38" xml:space="preserve"> IF(B451="","",setValueToTime(B451))</f>
        <v/>
      </c>
      <c r="D451" s="55"/>
      <c r="E451" s="236"/>
      <c r="F451" s="237"/>
      <c r="G451" s="51"/>
    </row>
    <row r="452" spans="1:7" s="52" customFormat="1" x14ac:dyDescent="0.3">
      <c r="A452" s="54"/>
      <c r="B452" s="54"/>
      <c r="C452" s="154" t="str">
        <f t="shared" si="38"/>
        <v/>
      </c>
      <c r="D452" s="55"/>
      <c r="E452" s="236"/>
      <c r="F452" s="237"/>
      <c r="G452" s="51"/>
    </row>
    <row r="453" spans="1:7" s="52" customFormat="1" x14ac:dyDescent="0.3">
      <c r="A453" s="54"/>
      <c r="B453" s="54"/>
      <c r="C453" s="154" t="str">
        <f t="shared" si="38"/>
        <v/>
      </c>
      <c r="D453" s="55"/>
      <c r="E453" s="236"/>
      <c r="F453" s="237"/>
      <c r="G453" s="51"/>
    </row>
    <row r="454" spans="1:7" s="52" customFormat="1" x14ac:dyDescent="0.3">
      <c r="A454" s="54"/>
      <c r="B454" s="54"/>
      <c r="C454" s="154" t="str">
        <f t="shared" si="38"/>
        <v/>
      </c>
      <c r="D454" s="55"/>
      <c r="E454" s="236"/>
      <c r="F454" s="237"/>
      <c r="G454" s="51"/>
    </row>
    <row r="455" spans="1:7" s="52" customFormat="1" ht="15" thickBot="1" x14ac:dyDescent="0.35">
      <c r="A455" s="56"/>
      <c r="B455" s="56"/>
      <c r="C455" s="155" t="str">
        <f t="shared" si="38"/>
        <v/>
      </c>
      <c r="D455" s="57"/>
      <c r="E455" s="238"/>
      <c r="F455" s="239"/>
      <c r="G455" s="51"/>
    </row>
    <row r="456" spans="1:7" s="52" customFormat="1" ht="15" thickBot="1" x14ac:dyDescent="0.35">
      <c r="A456" s="111" t="s">
        <v>27</v>
      </c>
      <c r="B456" s="84">
        <f>SUM(B448:B455)</f>
        <v>36</v>
      </c>
      <c r="C456" s="111" t="str">
        <f xml:space="preserve"> setValueToTime(B456)</f>
        <v>3h</v>
      </c>
      <c r="D456" s="120"/>
      <c r="E456" s="230"/>
      <c r="F456" s="231"/>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3</v>
      </c>
      <c r="C458" s="163"/>
      <c r="D458" s="82" t="s">
        <v>15</v>
      </c>
      <c r="E458" s="94">
        <v>45315</v>
      </c>
      <c r="F458" s="126"/>
      <c r="G458" s="46"/>
    </row>
    <row r="459" spans="1:7" s="47" customFormat="1" ht="30" customHeight="1" thickBot="1" x14ac:dyDescent="0.3">
      <c r="A459" s="80" t="s">
        <v>5</v>
      </c>
      <c r="B459" s="150" t="s">
        <v>38</v>
      </c>
      <c r="C459" s="151"/>
      <c r="D459" s="80" t="s">
        <v>13</v>
      </c>
      <c r="E459" s="232" t="s">
        <v>14</v>
      </c>
      <c r="F459" s="233"/>
      <c r="G459" s="46"/>
    </row>
    <row r="460" spans="1:7" s="52" customFormat="1" ht="27" x14ac:dyDescent="0.3">
      <c r="A460" s="48" t="s">
        <v>41</v>
      </c>
      <c r="B460" s="49">
        <v>9</v>
      </c>
      <c r="C460" s="152" t="str">
        <f xml:space="preserve"> IF(B460="","",setValueToTime(B460))</f>
        <v>0h45min</v>
      </c>
      <c r="D460" s="50" t="s">
        <v>68</v>
      </c>
      <c r="E460" s="234"/>
      <c r="F460" s="235"/>
      <c r="G460" s="51"/>
    </row>
    <row r="461" spans="1:7" s="52" customFormat="1" ht="27" x14ac:dyDescent="0.3">
      <c r="A461" s="53" t="s">
        <v>42</v>
      </c>
      <c r="B461" s="54">
        <v>9</v>
      </c>
      <c r="C461" s="153" t="str">
        <f t="shared" ref="C461:C467" si="39" xml:space="preserve"> IF(B461="","",setValueToTime(B461))</f>
        <v>0h45min</v>
      </c>
      <c r="D461" s="55" t="s">
        <v>69</v>
      </c>
      <c r="E461" s="236"/>
      <c r="F461" s="237"/>
      <c r="G461" s="51"/>
    </row>
    <row r="462" spans="1:7" s="52" customFormat="1" ht="27" x14ac:dyDescent="0.3">
      <c r="A462" s="53" t="s">
        <v>46</v>
      </c>
      <c r="B462" s="54">
        <v>18</v>
      </c>
      <c r="C462" s="153" t="str">
        <f t="shared" si="39"/>
        <v>1h30min</v>
      </c>
      <c r="D462" t="s">
        <v>70</v>
      </c>
      <c r="E462" s="236"/>
      <c r="F462" s="237"/>
      <c r="G462" s="51"/>
    </row>
    <row r="463" spans="1:7" s="52" customFormat="1" x14ac:dyDescent="0.3">
      <c r="A463" s="53"/>
      <c r="B463" s="54"/>
      <c r="C463" s="153" t="str">
        <f t="shared" si="39"/>
        <v/>
      </c>
      <c r="D463" s="55"/>
      <c r="E463" s="236"/>
      <c r="F463" s="237"/>
      <c r="G463" s="51"/>
    </row>
    <row r="464" spans="1:7" s="52" customFormat="1" x14ac:dyDescent="0.3">
      <c r="A464" s="54"/>
      <c r="B464" s="54"/>
      <c r="C464" s="154" t="str">
        <f t="shared" si="39"/>
        <v/>
      </c>
      <c r="D464" s="55"/>
      <c r="E464" s="236"/>
      <c r="F464" s="237"/>
      <c r="G464" s="51"/>
    </row>
    <row r="465" spans="1:7" s="52" customFormat="1" x14ac:dyDescent="0.3">
      <c r="A465" s="54"/>
      <c r="B465" s="54"/>
      <c r="C465" s="154" t="str">
        <f t="shared" si="39"/>
        <v/>
      </c>
      <c r="D465" s="55"/>
      <c r="E465" s="236"/>
      <c r="F465" s="237"/>
      <c r="G465" s="51"/>
    </row>
    <row r="466" spans="1:7" s="52" customFormat="1" x14ac:dyDescent="0.3">
      <c r="A466" s="54"/>
      <c r="B466" s="54"/>
      <c r="C466" s="154" t="str">
        <f t="shared" si="39"/>
        <v/>
      </c>
      <c r="D466" s="55"/>
      <c r="E466" s="236"/>
      <c r="F466" s="237"/>
      <c r="G466" s="51"/>
    </row>
    <row r="467" spans="1:7" s="52" customFormat="1" ht="15" thickBot="1" x14ac:dyDescent="0.35">
      <c r="A467" s="56"/>
      <c r="B467" s="56"/>
      <c r="C467" s="155" t="str">
        <f t="shared" si="39"/>
        <v/>
      </c>
      <c r="D467" s="57"/>
      <c r="E467" s="238"/>
      <c r="F467" s="239"/>
      <c r="G467" s="51"/>
    </row>
    <row r="468" spans="1:7" s="52" customFormat="1" ht="15" thickBot="1" x14ac:dyDescent="0.35">
      <c r="A468" s="111" t="s">
        <v>27</v>
      </c>
      <c r="B468" s="84">
        <f>SUM(B460:B467)</f>
        <v>36</v>
      </c>
      <c r="C468" s="111" t="str">
        <f xml:space="preserve"> setValueToTime(B468)</f>
        <v>3h</v>
      </c>
      <c r="D468" s="120"/>
      <c r="E468" s="230"/>
      <c r="F468" s="231"/>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2</v>
      </c>
      <c r="C470" s="163"/>
      <c r="D470" s="82" t="s">
        <v>15</v>
      </c>
      <c r="E470" s="94">
        <v>45313</v>
      </c>
      <c r="F470" s="126"/>
      <c r="G470" s="46"/>
    </row>
    <row r="471" spans="1:7" s="47" customFormat="1" ht="30" customHeight="1" thickBot="1" x14ac:dyDescent="0.3">
      <c r="A471" s="80" t="s">
        <v>5</v>
      </c>
      <c r="B471" s="150" t="s">
        <v>38</v>
      </c>
      <c r="C471" s="151"/>
      <c r="D471" s="80" t="s">
        <v>13</v>
      </c>
      <c r="E471" s="232" t="s">
        <v>14</v>
      </c>
      <c r="F471" s="233"/>
      <c r="G471" s="46"/>
    </row>
    <row r="472" spans="1:7" s="52" customFormat="1" x14ac:dyDescent="0.3">
      <c r="A472" s="48" t="s">
        <v>64</v>
      </c>
      <c r="B472" s="49">
        <v>18</v>
      </c>
      <c r="C472" s="152" t="str">
        <f xml:space="preserve"> IF(B472="","",setValueToTime(B472))</f>
        <v>1h30min</v>
      </c>
      <c r="D472" s="50" t="s">
        <v>67</v>
      </c>
      <c r="E472" s="234"/>
      <c r="F472" s="235"/>
      <c r="G472" s="51"/>
    </row>
    <row r="473" spans="1:7" s="52" customFormat="1" ht="27" x14ac:dyDescent="0.3">
      <c r="A473" s="53" t="s">
        <v>41</v>
      </c>
      <c r="B473" s="54">
        <v>9</v>
      </c>
      <c r="C473" s="153" t="str">
        <f t="shared" ref="C473:C479" si="40" xml:space="preserve"> IF(B473="","",setValueToTime(B473))</f>
        <v>0h45min</v>
      </c>
      <c r="D473" s="55" t="s">
        <v>66</v>
      </c>
      <c r="E473" s="236"/>
      <c r="F473" s="237"/>
      <c r="G473" s="51"/>
    </row>
    <row r="474" spans="1:7" s="52" customFormat="1" x14ac:dyDescent="0.3">
      <c r="A474" s="53"/>
      <c r="B474" s="54"/>
      <c r="C474" s="153" t="str">
        <f t="shared" si="40"/>
        <v/>
      </c>
      <c r="D474" s="55"/>
      <c r="E474" s="236"/>
      <c r="F474" s="237"/>
      <c r="G474" s="51"/>
    </row>
    <row r="475" spans="1:7" s="52" customFormat="1" x14ac:dyDescent="0.3">
      <c r="A475" s="53"/>
      <c r="B475" s="54"/>
      <c r="C475" s="153" t="str">
        <f t="shared" si="40"/>
        <v/>
      </c>
      <c r="D475" s="55"/>
      <c r="E475" s="236"/>
      <c r="F475" s="237"/>
      <c r="G475" s="51"/>
    </row>
    <row r="476" spans="1:7" s="52" customFormat="1" x14ac:dyDescent="0.3">
      <c r="A476" s="54"/>
      <c r="B476" s="54"/>
      <c r="C476" s="154" t="str">
        <f t="shared" si="40"/>
        <v/>
      </c>
      <c r="D476" s="55"/>
      <c r="E476" s="236"/>
      <c r="F476" s="237"/>
      <c r="G476" s="51"/>
    </row>
    <row r="477" spans="1:7" s="52" customFormat="1" x14ac:dyDescent="0.3">
      <c r="A477" s="54"/>
      <c r="B477" s="54"/>
      <c r="C477" s="154" t="str">
        <f t="shared" si="40"/>
        <v/>
      </c>
      <c r="D477" s="55"/>
      <c r="E477" s="236"/>
      <c r="F477" s="237"/>
      <c r="G477" s="51"/>
    </row>
    <row r="478" spans="1:7" s="52" customFormat="1" x14ac:dyDescent="0.3">
      <c r="A478" s="54"/>
      <c r="B478" s="54"/>
      <c r="C478" s="154" t="str">
        <f t="shared" si="40"/>
        <v/>
      </c>
      <c r="D478" s="55"/>
      <c r="E478" s="236"/>
      <c r="F478" s="237"/>
      <c r="G478" s="51"/>
    </row>
    <row r="479" spans="1:7" s="52" customFormat="1" ht="15" thickBot="1" x14ac:dyDescent="0.35">
      <c r="A479" s="56"/>
      <c r="B479" s="56"/>
      <c r="C479" s="155" t="str">
        <f t="shared" si="40"/>
        <v/>
      </c>
      <c r="D479" s="57"/>
      <c r="E479" s="238"/>
      <c r="F479" s="239"/>
      <c r="G479" s="51"/>
    </row>
    <row r="480" spans="1:7" s="52" customFormat="1" ht="15" thickBot="1" x14ac:dyDescent="0.35">
      <c r="A480" s="111" t="s">
        <v>27</v>
      </c>
      <c r="B480" s="84">
        <f>SUM(B472:B479)</f>
        <v>27</v>
      </c>
      <c r="C480" s="111" t="str">
        <f xml:space="preserve"> setValueToTime(B480)</f>
        <v>2h15min</v>
      </c>
      <c r="D480" s="120"/>
      <c r="E480" s="230"/>
      <c r="F480" s="231"/>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1</v>
      </c>
      <c r="C482" s="163"/>
      <c r="D482" s="82" t="s">
        <v>15</v>
      </c>
      <c r="E482" s="94">
        <v>45313</v>
      </c>
      <c r="F482" s="126"/>
      <c r="G482" s="46"/>
    </row>
    <row r="483" spans="1:7" s="47" customFormat="1" ht="30" customHeight="1" thickBot="1" x14ac:dyDescent="0.3">
      <c r="A483" s="80" t="s">
        <v>5</v>
      </c>
      <c r="B483" s="150" t="s">
        <v>38</v>
      </c>
      <c r="C483" s="151"/>
      <c r="D483" s="80" t="s">
        <v>13</v>
      </c>
      <c r="E483" s="232" t="s">
        <v>14</v>
      </c>
      <c r="F483" s="233"/>
      <c r="G483" s="46"/>
    </row>
    <row r="484" spans="1:7" s="52" customFormat="1" x14ac:dyDescent="0.3">
      <c r="A484" s="48" t="s">
        <v>4</v>
      </c>
      <c r="B484" s="49">
        <v>45</v>
      </c>
      <c r="C484" s="152" t="str">
        <f xml:space="preserve"> IF(B484="","",setValueToTime(B484))</f>
        <v>3h45min</v>
      </c>
      <c r="D484" s="50" t="s">
        <v>65</v>
      </c>
      <c r="E484" s="234"/>
      <c r="F484" s="235"/>
      <c r="G484" s="51"/>
    </row>
    <row r="485" spans="1:7" s="52" customFormat="1" x14ac:dyDescent="0.3">
      <c r="A485" s="53"/>
      <c r="B485" s="54"/>
      <c r="C485" s="153" t="str">
        <f t="shared" ref="C485:C491" si="41" xml:space="preserve"> IF(B485="","",setValueToTime(B485))</f>
        <v/>
      </c>
      <c r="D485" s="55"/>
      <c r="E485" s="236"/>
      <c r="F485" s="237"/>
      <c r="G485" s="51"/>
    </row>
    <row r="486" spans="1:7" s="52" customFormat="1" x14ac:dyDescent="0.3">
      <c r="A486" s="53"/>
      <c r="B486" s="54"/>
      <c r="C486" s="153" t="str">
        <f t="shared" si="41"/>
        <v/>
      </c>
      <c r="D486" s="55"/>
      <c r="E486" s="236"/>
      <c r="F486" s="237"/>
      <c r="G486" s="51"/>
    </row>
    <row r="487" spans="1:7" s="52" customFormat="1" x14ac:dyDescent="0.3">
      <c r="A487" s="53"/>
      <c r="B487" s="54"/>
      <c r="C487" s="153" t="str">
        <f t="shared" si="41"/>
        <v/>
      </c>
      <c r="D487" s="55"/>
      <c r="E487" s="236"/>
      <c r="F487" s="237"/>
      <c r="G487" s="51"/>
    </row>
    <row r="488" spans="1:7" s="52" customFormat="1" x14ac:dyDescent="0.3">
      <c r="A488" s="54"/>
      <c r="B488" s="54"/>
      <c r="C488" s="154" t="str">
        <f t="shared" si="41"/>
        <v/>
      </c>
      <c r="D488" s="55"/>
      <c r="E488" s="236"/>
      <c r="F488" s="237"/>
      <c r="G488" s="51"/>
    </row>
    <row r="489" spans="1:7" s="52" customFormat="1" x14ac:dyDescent="0.3">
      <c r="A489" s="54"/>
      <c r="B489" s="54"/>
      <c r="C489" s="154" t="str">
        <f t="shared" si="41"/>
        <v/>
      </c>
      <c r="D489" s="55"/>
      <c r="E489" s="236"/>
      <c r="F489" s="237"/>
      <c r="G489" s="51"/>
    </row>
    <row r="490" spans="1:7" s="52" customFormat="1" x14ac:dyDescent="0.3">
      <c r="A490" s="54"/>
      <c r="B490" s="54"/>
      <c r="C490" s="154" t="str">
        <f t="shared" si="41"/>
        <v/>
      </c>
      <c r="D490" s="55"/>
      <c r="E490" s="236"/>
      <c r="F490" s="237"/>
      <c r="G490" s="51"/>
    </row>
    <row r="491" spans="1:7" s="52" customFormat="1" ht="15" thickBot="1" x14ac:dyDescent="0.35">
      <c r="A491" s="56"/>
      <c r="B491" s="56"/>
      <c r="C491" s="155" t="str">
        <f t="shared" si="41"/>
        <v/>
      </c>
      <c r="D491" s="57"/>
      <c r="E491" s="238"/>
      <c r="F491" s="239"/>
      <c r="G491" s="51"/>
    </row>
    <row r="492" spans="1:7" s="52" customFormat="1" ht="15" thickBot="1" x14ac:dyDescent="0.35">
      <c r="A492" s="111" t="s">
        <v>27</v>
      </c>
      <c r="B492" s="84">
        <f>SUM(B484:B491)</f>
        <v>45</v>
      </c>
      <c r="C492" s="111" t="str">
        <f xml:space="preserve"> setValueToTime(B492)</f>
        <v>3h45min</v>
      </c>
      <c r="D492" s="120"/>
      <c r="E492" s="230"/>
      <c r="F492" s="231"/>
      <c r="G492" s="51"/>
    </row>
    <row r="493" spans="1:7" s="59" customFormat="1" x14ac:dyDescent="0.3">
      <c r="A493" s="79"/>
      <c r="B493" s="79"/>
      <c r="C493" s="79"/>
      <c r="D493" s="79"/>
      <c r="E493" s="79"/>
      <c r="F493" s="79"/>
      <c r="G493" s="58"/>
    </row>
  </sheetData>
  <sheetProtection formatRows="0" insertRows="0" insertHyperlinks="0" deleteRows="0" selectLockedCells="1"/>
  <mergeCells count="41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90:F490"/>
    <mergeCell ref="E491:F491"/>
    <mergeCell ref="E492:F492"/>
    <mergeCell ref="E471:F471"/>
    <mergeCell ref="E472:F472"/>
    <mergeCell ref="E473:F473"/>
    <mergeCell ref="E474:F474"/>
    <mergeCell ref="E475:F475"/>
    <mergeCell ref="E476:F476"/>
    <mergeCell ref="E483:F483"/>
    <mergeCell ref="E484:F484"/>
    <mergeCell ref="E485:F485"/>
    <mergeCell ref="E486:F486"/>
    <mergeCell ref="E487:F487"/>
    <mergeCell ref="E488:F488"/>
    <mergeCell ref="E477:F477"/>
    <mergeCell ref="E478:F478"/>
    <mergeCell ref="E479:F479"/>
    <mergeCell ref="E480:F480"/>
    <mergeCell ref="E489:F489"/>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s>
  <phoneticPr fontId="0" type="noConversion"/>
  <conditionalFormatting sqref="B492">
    <cfRule type="cellIs" dxfId="47" priority="41" operator="greaterThan">
      <formula>60</formula>
    </cfRule>
  </conditionalFormatting>
  <conditionalFormatting sqref="B480">
    <cfRule type="cellIs" dxfId="46" priority="40" operator="greaterThan">
      <formula>60</formula>
    </cfRule>
  </conditionalFormatting>
  <conditionalFormatting sqref="B468">
    <cfRule type="cellIs" dxfId="45" priority="39" operator="greaterThan">
      <formula>60</formula>
    </cfRule>
  </conditionalFormatting>
  <conditionalFormatting sqref="B456">
    <cfRule type="cellIs" dxfId="44" priority="38" operator="greaterThan">
      <formula>60</formula>
    </cfRule>
  </conditionalFormatting>
  <conditionalFormatting sqref="B444">
    <cfRule type="cellIs" dxfId="43" priority="37" operator="greaterThan">
      <formula>60</formula>
    </cfRule>
  </conditionalFormatting>
  <conditionalFormatting sqref="B432">
    <cfRule type="cellIs" dxfId="42" priority="36" operator="greaterThan">
      <formula>60</formula>
    </cfRule>
  </conditionalFormatting>
  <conditionalFormatting sqref="B420">
    <cfRule type="cellIs" dxfId="41" priority="35" operator="greaterThan">
      <formula>60</formula>
    </cfRule>
  </conditionalFormatting>
  <conditionalFormatting sqref="B408">
    <cfRule type="cellIs" dxfId="40" priority="34" operator="greaterThan">
      <formula>60</formula>
    </cfRule>
  </conditionalFormatting>
  <conditionalFormatting sqref="B396">
    <cfRule type="cellIs" dxfId="39" priority="33" operator="greaterThan">
      <formula>60</formula>
    </cfRule>
  </conditionalFormatting>
  <conditionalFormatting sqref="B384">
    <cfRule type="cellIs" dxfId="38" priority="32" operator="greaterThan">
      <formula>60</formula>
    </cfRule>
  </conditionalFormatting>
  <conditionalFormatting sqref="B372">
    <cfRule type="cellIs" dxfId="37" priority="31" operator="greaterThan">
      <formula>60</formula>
    </cfRule>
  </conditionalFormatting>
  <conditionalFormatting sqref="B360">
    <cfRule type="cellIs" dxfId="36" priority="30" operator="greaterThan">
      <formula>60</formula>
    </cfRule>
  </conditionalFormatting>
  <conditionalFormatting sqref="B348">
    <cfRule type="cellIs" dxfId="35" priority="29" operator="greaterThan">
      <formula>60</formula>
    </cfRule>
  </conditionalFormatting>
  <conditionalFormatting sqref="B336">
    <cfRule type="cellIs" dxfId="34" priority="28" operator="greaterThan">
      <formula>60</formula>
    </cfRule>
  </conditionalFormatting>
  <conditionalFormatting sqref="B324">
    <cfRule type="cellIs" dxfId="33" priority="27" operator="greaterThan">
      <formula>60</formula>
    </cfRule>
  </conditionalFormatting>
  <conditionalFormatting sqref="B312">
    <cfRule type="cellIs" dxfId="32" priority="26" operator="greaterThan">
      <formula>60</formula>
    </cfRule>
  </conditionalFormatting>
  <conditionalFormatting sqref="B300">
    <cfRule type="cellIs" dxfId="31" priority="25" operator="greaterThan">
      <formula>60</formula>
    </cfRule>
  </conditionalFormatting>
  <conditionalFormatting sqref="B288">
    <cfRule type="cellIs" dxfId="30" priority="24" operator="greaterThan">
      <formula>60</formula>
    </cfRule>
  </conditionalFormatting>
  <conditionalFormatting sqref="B276">
    <cfRule type="cellIs" dxfId="29" priority="23" operator="greaterThan">
      <formula>60</formula>
    </cfRule>
  </conditionalFormatting>
  <conditionalFormatting sqref="B264">
    <cfRule type="cellIs" dxfId="28" priority="22" operator="greaterThan">
      <formula>60</formula>
    </cfRule>
  </conditionalFormatting>
  <conditionalFormatting sqref="B252">
    <cfRule type="cellIs" dxfId="27" priority="21" operator="greaterThan">
      <formula>60</formula>
    </cfRule>
  </conditionalFormatting>
  <conditionalFormatting sqref="B240">
    <cfRule type="cellIs" dxfId="26" priority="20" operator="greaterThan">
      <formula>60</formula>
    </cfRule>
  </conditionalFormatting>
  <conditionalFormatting sqref="B228">
    <cfRule type="cellIs" dxfId="25" priority="19" operator="greaterThan">
      <formula>60</formula>
    </cfRule>
  </conditionalFormatting>
  <conditionalFormatting sqref="B216">
    <cfRule type="cellIs" dxfId="24" priority="18" operator="greaterThan">
      <formula>60</formula>
    </cfRule>
  </conditionalFormatting>
  <conditionalFormatting sqref="B204">
    <cfRule type="cellIs" dxfId="23" priority="17" operator="greaterThan">
      <formula>60</formula>
    </cfRule>
  </conditionalFormatting>
  <conditionalFormatting sqref="B192">
    <cfRule type="cellIs" dxfId="22" priority="16" operator="greaterThan">
      <formula>60</formula>
    </cfRule>
  </conditionalFormatting>
  <conditionalFormatting sqref="B180">
    <cfRule type="cellIs" dxfId="21" priority="15" operator="greaterThan">
      <formula>60</formula>
    </cfRule>
  </conditionalFormatting>
  <conditionalFormatting sqref="B168">
    <cfRule type="cellIs" dxfId="20" priority="14" operator="greaterThan">
      <formula>60</formula>
    </cfRule>
  </conditionalFormatting>
  <conditionalFormatting sqref="B156">
    <cfRule type="cellIs" dxfId="19" priority="13" operator="greaterThan">
      <formula>60</formula>
    </cfRule>
  </conditionalFormatting>
  <conditionalFormatting sqref="B144">
    <cfRule type="cellIs" dxfId="18" priority="12" operator="greaterThan">
      <formula>60</formula>
    </cfRule>
  </conditionalFormatting>
  <conditionalFormatting sqref="B132">
    <cfRule type="cellIs" dxfId="17" priority="11" operator="greaterThan">
      <formula>60</formula>
    </cfRule>
  </conditionalFormatting>
  <conditionalFormatting sqref="B120">
    <cfRule type="cellIs" dxfId="16" priority="10" operator="greaterThan">
      <formula>60</formula>
    </cfRule>
  </conditionalFormatting>
  <conditionalFormatting sqref="B108">
    <cfRule type="cellIs" dxfId="15" priority="9" operator="greaterThan">
      <formula>60</formula>
    </cfRule>
  </conditionalFormatting>
  <conditionalFormatting sqref="B96">
    <cfRule type="cellIs" dxfId="14" priority="8" operator="greaterThan">
      <formula>60</formula>
    </cfRule>
  </conditionalFormatting>
  <conditionalFormatting sqref="B84">
    <cfRule type="cellIs" dxfId="13" priority="7" operator="greaterThan">
      <formula>60</formula>
    </cfRule>
  </conditionalFormatting>
  <conditionalFormatting sqref="B72">
    <cfRule type="cellIs" dxfId="12" priority="6" operator="greaterThan">
      <formula>60</formula>
    </cfRule>
  </conditionalFormatting>
  <conditionalFormatting sqref="B60">
    <cfRule type="cellIs" dxfId="11" priority="5" operator="greaterThan">
      <formula>60</formula>
    </cfRule>
  </conditionalFormatting>
  <conditionalFormatting sqref="B48">
    <cfRule type="cellIs" dxfId="10" priority="4" operator="greaterThan">
      <formula>60</formula>
    </cfRule>
  </conditionalFormatting>
  <conditionalFormatting sqref="B36">
    <cfRule type="cellIs" dxfId="9" priority="3" operator="greaterThan">
      <formula>60</formula>
    </cfRule>
  </conditionalFormatting>
  <conditionalFormatting sqref="B24">
    <cfRule type="cellIs" dxfId="8" priority="2"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84:B491 B472:B479 B460:B467 B436:B443 B424:B431 B412:B419 B400:B407 B388:B395 B376:B383 B364:B371 B352:B359 B340:B347 B328:B335 B316:B323 B448:B455 B304:B311 B292:B299 B280:B287 B268:B275 B256:B263 B244:B251 B232:B239 B220:B227 B208:B215 B196:B203 B184:B191 B172:B179 B160:B167 B148:B155 B136:B143 B124:B131 B112:B119 B100:B107 B88:B95 B76:B83 B16:B23 B64:B71 B52:B59 B40:B47 B28:B35 B4:B11" xr:uid="{2C432F96-15FC-49B6-B49E-AA4EBEDAAC9C}">
      <formula1>0</formula1>
    </dataValidation>
    <dataValidation type="list" allowBlank="1" showInputMessage="1" showErrorMessage="1" sqref="A484:A491 A472:A479 A460:A467 A436:A443 A424:A431 A412:A419 A400:A407 A388:A395 A376:A383 A364:A371 A352:A359 A340:A347 A328:A335 A316:A323 A448:A455 A304:A311 A292:A299 A280:A287 A268:A275 A256:A263 A244:A251 A232:A239 A220:A227 A208:A215 A196:A203 A184:A191 A172:A179 A160:A167 A148:A155 A136:A143 A124:A131 A112:A119 A100:A107 A88:A95 A76:A83 A16:A23 A64:A71 A52:A59 A40:A47 A28:A35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E8" sqref="E8:F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5</v>
      </c>
      <c r="C2" s="164"/>
      <c r="D2" s="157" t="s">
        <v>15</v>
      </c>
      <c r="E2" s="158" t="s">
        <v>60</v>
      </c>
      <c r="F2" s="159"/>
      <c r="G2" s="46"/>
    </row>
    <row r="3" spans="1:7" s="47" customFormat="1" ht="30" customHeight="1" thickBot="1" x14ac:dyDescent="0.3">
      <c r="A3" s="78" t="s">
        <v>5</v>
      </c>
      <c r="B3" s="161" t="s">
        <v>38</v>
      </c>
      <c r="C3" s="160"/>
      <c r="D3" s="78" t="s">
        <v>13</v>
      </c>
      <c r="E3" s="242" t="s">
        <v>14</v>
      </c>
      <c r="F3" s="243"/>
      <c r="G3" s="46"/>
    </row>
    <row r="4" spans="1:7" s="52" customFormat="1" x14ac:dyDescent="0.3">
      <c r="A4" s="48" t="s">
        <v>43</v>
      </c>
      <c r="B4" s="49">
        <v>7</v>
      </c>
      <c r="C4" s="152" t="str">
        <f xml:space="preserve"> IF(B4="","",setValueToTime(B4))</f>
        <v>0h35min</v>
      </c>
      <c r="D4" s="50" t="s">
        <v>102</v>
      </c>
      <c r="E4" s="234"/>
      <c r="F4" s="235"/>
      <c r="G4" s="51"/>
    </row>
    <row r="5" spans="1:7" s="52" customFormat="1" x14ac:dyDescent="0.3">
      <c r="A5" s="53"/>
      <c r="B5" s="54"/>
      <c r="C5" s="153" t="str">
        <f t="shared" ref="C5:C11" si="0" xml:space="preserve"> IF(B5="","",setValueToTime(B5))</f>
        <v/>
      </c>
      <c r="D5" s="55"/>
      <c r="E5" s="236"/>
      <c r="F5" s="237"/>
      <c r="G5" s="51"/>
    </row>
    <row r="6" spans="1:7" s="52" customFormat="1" x14ac:dyDescent="0.3">
      <c r="A6" s="53"/>
      <c r="B6" s="54"/>
      <c r="C6" s="153" t="str">
        <f t="shared" si="0"/>
        <v/>
      </c>
      <c r="D6" s="55"/>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62" t="s">
        <v>27</v>
      </c>
      <c r="B12" s="83">
        <f>SUM(B4:B11)</f>
        <v>7</v>
      </c>
      <c r="C12" s="162" t="str">
        <f xml:space="preserve"> setValueToTime(B12)</f>
        <v>0h35min</v>
      </c>
      <c r="D12" s="121"/>
      <c r="E12" s="240"/>
      <c r="F12" s="24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4</v>
      </c>
      <c r="C14" s="164"/>
      <c r="D14" s="157" t="s">
        <v>15</v>
      </c>
      <c r="E14" s="158" t="s">
        <v>60</v>
      </c>
      <c r="F14" s="159"/>
      <c r="G14" s="46"/>
    </row>
    <row r="15" spans="1:7" s="47" customFormat="1" ht="30" customHeight="1" thickBot="1" x14ac:dyDescent="0.3">
      <c r="A15" s="78" t="s">
        <v>5</v>
      </c>
      <c r="B15" s="161" t="s">
        <v>38</v>
      </c>
      <c r="C15" s="160"/>
      <c r="D15" s="78" t="s">
        <v>13</v>
      </c>
      <c r="E15" s="242" t="s">
        <v>14</v>
      </c>
      <c r="F15" s="243"/>
      <c r="G15" s="46"/>
    </row>
    <row r="16" spans="1:7" s="52" customFormat="1" x14ac:dyDescent="0.3">
      <c r="A16" s="48" t="s">
        <v>43</v>
      </c>
      <c r="B16" s="49">
        <v>36</v>
      </c>
      <c r="C16" s="152" t="str">
        <f xml:space="preserve"> IF(B16="","",setValueToTime(B16))</f>
        <v>3h</v>
      </c>
      <c r="D16" s="50" t="s">
        <v>71</v>
      </c>
      <c r="E16" s="234"/>
      <c r="F16" s="235"/>
      <c r="G16" s="51"/>
    </row>
    <row r="17" spans="1:7" s="52" customFormat="1" x14ac:dyDescent="0.3">
      <c r="A17" s="53"/>
      <c r="B17" s="54"/>
      <c r="C17" s="153" t="str">
        <f t="shared" ref="C17:C23" si="1" xml:space="preserve"> IF(B17="","",setValueToTime(B17))</f>
        <v/>
      </c>
      <c r="D17" s="55"/>
      <c r="E17" s="236"/>
      <c r="F17" s="237"/>
      <c r="G17" s="51"/>
    </row>
    <row r="18" spans="1:7" s="52" customFormat="1" x14ac:dyDescent="0.3">
      <c r="A18" s="53"/>
      <c r="B18" s="54"/>
      <c r="C18" s="153" t="str">
        <f t="shared" si="1"/>
        <v/>
      </c>
      <c r="D18" s="55"/>
      <c r="E18" s="236"/>
      <c r="F18" s="237"/>
      <c r="G18" s="51"/>
    </row>
    <row r="19" spans="1:7" s="52" customFormat="1" x14ac:dyDescent="0.3">
      <c r="A19" s="53"/>
      <c r="B19" s="54"/>
      <c r="C19" s="153" t="str">
        <f t="shared" si="1"/>
        <v/>
      </c>
      <c r="D19" s="55"/>
      <c r="E19" s="236"/>
      <c r="F19" s="237"/>
      <c r="G19" s="51"/>
    </row>
    <row r="20" spans="1:7" s="52" customFormat="1" x14ac:dyDescent="0.3">
      <c r="A20" s="54"/>
      <c r="B20" s="54"/>
      <c r="C20" s="154" t="str">
        <f t="shared" si="1"/>
        <v/>
      </c>
      <c r="D20" s="55"/>
      <c r="E20" s="236"/>
      <c r="F20" s="237"/>
      <c r="G20" s="51"/>
    </row>
    <row r="21" spans="1:7" s="52" customFormat="1" x14ac:dyDescent="0.3">
      <c r="A21" s="54"/>
      <c r="B21" s="54"/>
      <c r="C21" s="154" t="str">
        <f t="shared" si="1"/>
        <v/>
      </c>
      <c r="D21" s="55"/>
      <c r="E21" s="236"/>
      <c r="F21" s="237"/>
      <c r="G21" s="51"/>
    </row>
    <row r="22" spans="1:7" s="52" customFormat="1" x14ac:dyDescent="0.3">
      <c r="A22" s="54"/>
      <c r="B22" s="54"/>
      <c r="C22" s="154" t="str">
        <f t="shared" si="1"/>
        <v/>
      </c>
      <c r="D22" s="55"/>
      <c r="E22" s="236"/>
      <c r="F22" s="237"/>
      <c r="G22" s="51"/>
    </row>
    <row r="23" spans="1:7" s="52" customFormat="1" ht="15" thickBot="1" x14ac:dyDescent="0.35">
      <c r="A23" s="56"/>
      <c r="B23" s="56"/>
      <c r="C23" s="155" t="str">
        <f t="shared" si="1"/>
        <v/>
      </c>
      <c r="D23" s="57"/>
      <c r="E23" s="238"/>
      <c r="F23" s="239"/>
      <c r="G23" s="51"/>
    </row>
    <row r="24" spans="1:7" s="52" customFormat="1" ht="15" thickBot="1" x14ac:dyDescent="0.35">
      <c r="A24" s="162" t="s">
        <v>27</v>
      </c>
      <c r="B24" s="83">
        <f>SUM(B16:B23)</f>
        <v>36</v>
      </c>
      <c r="C24" s="162" t="str">
        <f xml:space="preserve"> setValueToTime(B24)</f>
        <v>3h</v>
      </c>
      <c r="D24" s="121"/>
      <c r="E24" s="240"/>
      <c r="F24" s="24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3</v>
      </c>
      <c r="C26" s="164"/>
      <c r="D26" s="157" t="s">
        <v>15</v>
      </c>
      <c r="E26" s="158" t="s">
        <v>61</v>
      </c>
      <c r="F26" s="159"/>
      <c r="G26" s="46"/>
    </row>
    <row r="27" spans="1:7" s="47" customFormat="1" ht="30" customHeight="1" thickBot="1" x14ac:dyDescent="0.3">
      <c r="A27" s="78" t="s">
        <v>5</v>
      </c>
      <c r="B27" s="161" t="s">
        <v>38</v>
      </c>
      <c r="C27" s="160"/>
      <c r="D27" s="78" t="s">
        <v>13</v>
      </c>
      <c r="E27" s="242" t="s">
        <v>14</v>
      </c>
      <c r="F27" s="243"/>
      <c r="G27" s="46"/>
    </row>
    <row r="28" spans="1:7" s="52" customFormat="1" ht="27" x14ac:dyDescent="0.3">
      <c r="A28" s="48" t="s">
        <v>41</v>
      </c>
      <c r="B28" s="49">
        <v>9</v>
      </c>
      <c r="C28" s="152" t="str">
        <f xml:space="preserve"> IF(B28="","",setValueToTime(B28))</f>
        <v>0h45min</v>
      </c>
      <c r="D28" s="50" t="s">
        <v>68</v>
      </c>
      <c r="E28" s="234"/>
      <c r="F28" s="235"/>
      <c r="G28" s="51"/>
    </row>
    <row r="29" spans="1:7" s="52" customFormat="1" ht="40.5" x14ac:dyDescent="0.3">
      <c r="A29" s="53" t="s">
        <v>42</v>
      </c>
      <c r="B29" s="54">
        <v>9</v>
      </c>
      <c r="C29" s="153" t="str">
        <f t="shared" ref="C29:C30" si="2" xml:space="preserve"> IF(B29="","",setValueToTime(B29))</f>
        <v>0h45min</v>
      </c>
      <c r="D29" s="55" t="s">
        <v>69</v>
      </c>
      <c r="E29" s="236"/>
      <c r="F29" s="237"/>
      <c r="G29" s="51"/>
    </row>
    <row r="30" spans="1:7" s="52" customFormat="1" ht="40.5" x14ac:dyDescent="0.3">
      <c r="A30" s="53" t="s">
        <v>46</v>
      </c>
      <c r="B30" s="54">
        <v>18</v>
      </c>
      <c r="C30" s="153" t="str">
        <f t="shared" si="2"/>
        <v>1h30min</v>
      </c>
      <c r="D30" t="s">
        <v>70</v>
      </c>
      <c r="E30" s="236"/>
      <c r="F30" s="237"/>
      <c r="G30" s="51"/>
    </row>
    <row r="31" spans="1:7" s="52" customFormat="1" x14ac:dyDescent="0.3">
      <c r="A31" s="53"/>
      <c r="B31" s="54"/>
      <c r="C31" s="153" t="str">
        <f t="shared" ref="C31:C35" si="3" xml:space="preserve"> IF(B31="","",setValueToTime(B31))</f>
        <v/>
      </c>
      <c r="D31" s="55"/>
      <c r="E31" s="236"/>
      <c r="F31" s="237"/>
      <c r="G31" s="51"/>
    </row>
    <row r="32" spans="1:7" s="52" customFormat="1" x14ac:dyDescent="0.3">
      <c r="A32" s="54"/>
      <c r="B32" s="54"/>
      <c r="C32" s="154" t="str">
        <f t="shared" si="3"/>
        <v/>
      </c>
      <c r="D32" s="55"/>
      <c r="E32" s="236"/>
      <c r="F32" s="237"/>
      <c r="G32" s="51"/>
    </row>
    <row r="33" spans="1:7" s="52" customFormat="1" x14ac:dyDescent="0.3">
      <c r="A33" s="54"/>
      <c r="B33" s="54"/>
      <c r="C33" s="154" t="str">
        <f t="shared" si="3"/>
        <v/>
      </c>
      <c r="D33" s="55"/>
      <c r="E33" s="236"/>
      <c r="F33" s="237"/>
      <c r="G33" s="51"/>
    </row>
    <row r="34" spans="1:7" s="52" customFormat="1" x14ac:dyDescent="0.3">
      <c r="A34" s="54"/>
      <c r="B34" s="54"/>
      <c r="C34" s="154" t="str">
        <f t="shared" si="3"/>
        <v/>
      </c>
      <c r="D34" s="55"/>
      <c r="E34" s="236"/>
      <c r="F34" s="237"/>
      <c r="G34" s="51"/>
    </row>
    <row r="35" spans="1:7" s="52" customFormat="1" ht="15" thickBot="1" x14ac:dyDescent="0.35">
      <c r="A35" s="56"/>
      <c r="B35" s="56"/>
      <c r="C35" s="155" t="str">
        <f t="shared" si="3"/>
        <v/>
      </c>
      <c r="D35" s="57"/>
      <c r="E35" s="238"/>
      <c r="F35" s="239"/>
      <c r="G35" s="51"/>
    </row>
    <row r="36" spans="1:7" s="52" customFormat="1" ht="15" thickBot="1" x14ac:dyDescent="0.35">
      <c r="A36" s="162" t="s">
        <v>27</v>
      </c>
      <c r="B36" s="83">
        <f>SUM(B28:B35)</f>
        <v>36</v>
      </c>
      <c r="C36" s="162" t="str">
        <f xml:space="preserve"> setValueToTime(B36)</f>
        <v>3h</v>
      </c>
      <c r="D36" s="121"/>
      <c r="E36" s="240"/>
      <c r="F36" s="24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v>
      </c>
      <c r="C38" s="164"/>
      <c r="D38" s="157" t="s">
        <v>15</v>
      </c>
      <c r="E38" s="158" t="s">
        <v>97</v>
      </c>
      <c r="F38" s="159"/>
      <c r="G38" s="46"/>
    </row>
    <row r="39" spans="1:7" s="47" customFormat="1" ht="30" customHeight="1" thickBot="1" x14ac:dyDescent="0.3">
      <c r="A39" s="78" t="s">
        <v>5</v>
      </c>
      <c r="B39" s="161" t="s">
        <v>38</v>
      </c>
      <c r="C39" s="160"/>
      <c r="D39" s="78" t="s">
        <v>13</v>
      </c>
      <c r="E39" s="242" t="s">
        <v>14</v>
      </c>
      <c r="F39" s="243"/>
      <c r="G39" s="46"/>
    </row>
    <row r="40" spans="1:7" s="52" customFormat="1" x14ac:dyDescent="0.3">
      <c r="A40" s="48" t="s">
        <v>64</v>
      </c>
      <c r="B40" s="49">
        <v>18</v>
      </c>
      <c r="C40" s="152" t="str">
        <f xml:space="preserve"> IF(B40="","",setValueToTime(B40))</f>
        <v>1h30min</v>
      </c>
      <c r="D40" s="50" t="s">
        <v>67</v>
      </c>
      <c r="E40" s="234"/>
      <c r="F40" s="235"/>
      <c r="G40" s="51"/>
    </row>
    <row r="41" spans="1:7" s="52" customFormat="1" ht="27" x14ac:dyDescent="0.3">
      <c r="A41" s="53" t="s">
        <v>41</v>
      </c>
      <c r="B41" s="54">
        <v>18</v>
      </c>
      <c r="C41" s="153" t="str">
        <f t="shared" ref="C41" si="4" xml:space="preserve"> IF(B41="","",setValueToTime(B41))</f>
        <v>1h30min</v>
      </c>
      <c r="D41" s="55" t="s">
        <v>66</v>
      </c>
      <c r="E41" s="236"/>
      <c r="F41" s="237"/>
      <c r="G41" s="51"/>
    </row>
    <row r="42" spans="1:7" s="52" customFormat="1" x14ac:dyDescent="0.3">
      <c r="A42" s="53"/>
      <c r="B42" s="54"/>
      <c r="C42" s="153" t="str">
        <f t="shared" ref="C42:C47" si="5" xml:space="preserve"> IF(B42="","",setValueToTime(B42))</f>
        <v/>
      </c>
      <c r="D42" s="55"/>
      <c r="E42" s="236"/>
      <c r="F42" s="237"/>
      <c r="G42" s="51"/>
    </row>
    <row r="43" spans="1:7" s="52" customFormat="1" x14ac:dyDescent="0.3">
      <c r="A43" s="53"/>
      <c r="B43" s="54"/>
      <c r="C43" s="153" t="str">
        <f t="shared" si="5"/>
        <v/>
      </c>
      <c r="D43" s="55"/>
      <c r="E43" s="236"/>
      <c r="F43" s="237"/>
      <c r="G43" s="51"/>
    </row>
    <row r="44" spans="1:7" s="52" customFormat="1" x14ac:dyDescent="0.3">
      <c r="A44" s="54"/>
      <c r="B44" s="54"/>
      <c r="C44" s="154" t="str">
        <f t="shared" si="5"/>
        <v/>
      </c>
      <c r="D44" s="55"/>
      <c r="E44" s="236"/>
      <c r="F44" s="237"/>
      <c r="G44" s="51"/>
    </row>
    <row r="45" spans="1:7" s="52" customFormat="1" x14ac:dyDescent="0.3">
      <c r="A45" s="54"/>
      <c r="B45" s="54"/>
      <c r="C45" s="154" t="str">
        <f t="shared" si="5"/>
        <v/>
      </c>
      <c r="D45" s="55"/>
      <c r="E45" s="236"/>
      <c r="F45" s="237"/>
      <c r="G45" s="51"/>
    </row>
    <row r="46" spans="1:7" s="52" customFormat="1" x14ac:dyDescent="0.3">
      <c r="A46" s="54"/>
      <c r="B46" s="54"/>
      <c r="C46" s="154" t="str">
        <f t="shared" si="5"/>
        <v/>
      </c>
      <c r="D46" s="55"/>
      <c r="E46" s="236"/>
      <c r="F46" s="237"/>
      <c r="G46" s="51"/>
    </row>
    <row r="47" spans="1:7" s="52" customFormat="1" ht="15" thickBot="1" x14ac:dyDescent="0.35">
      <c r="A47" s="56"/>
      <c r="B47" s="56"/>
      <c r="C47" s="155" t="str">
        <f t="shared" si="5"/>
        <v/>
      </c>
      <c r="D47" s="57"/>
      <c r="E47" s="238"/>
      <c r="F47" s="239"/>
      <c r="G47" s="51"/>
    </row>
    <row r="48" spans="1:7" s="52" customFormat="1" ht="15" thickBot="1" x14ac:dyDescent="0.35">
      <c r="A48" s="162" t="s">
        <v>27</v>
      </c>
      <c r="B48" s="83">
        <f>SUM(B40:B47)</f>
        <v>36</v>
      </c>
      <c r="C48" s="162" t="str">
        <f xml:space="preserve"> setValueToTime(B48)</f>
        <v>3h</v>
      </c>
      <c r="D48" s="121"/>
      <c r="E48" s="240"/>
      <c r="F48" s="24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1</v>
      </c>
      <c r="C50" s="164"/>
      <c r="D50" s="157" t="s">
        <v>15</v>
      </c>
      <c r="E50" s="158" t="s">
        <v>97</v>
      </c>
      <c r="F50" s="159"/>
      <c r="G50" s="46"/>
    </row>
    <row r="51" spans="1:7" s="47" customFormat="1" ht="30" customHeight="1" thickBot="1" x14ac:dyDescent="0.3">
      <c r="A51" s="78" t="s">
        <v>5</v>
      </c>
      <c r="B51" s="161" t="s">
        <v>38</v>
      </c>
      <c r="C51" s="160"/>
      <c r="D51" s="78" t="s">
        <v>13</v>
      </c>
      <c r="E51" s="242" t="s">
        <v>14</v>
      </c>
      <c r="F51" s="243"/>
      <c r="G51" s="46"/>
    </row>
    <row r="52" spans="1:7" s="52" customFormat="1" x14ac:dyDescent="0.3">
      <c r="A52" s="48" t="s">
        <v>4</v>
      </c>
      <c r="B52" s="49">
        <v>45</v>
      </c>
      <c r="C52" s="152" t="str">
        <f xml:space="preserve"> IF(B52="","",setValueToTime(B52))</f>
        <v>3h45min</v>
      </c>
      <c r="D52" s="50" t="s">
        <v>65</v>
      </c>
      <c r="E52" s="234"/>
      <c r="F52" s="235"/>
      <c r="G52" s="51"/>
    </row>
    <row r="53" spans="1:7" s="52" customFormat="1" x14ac:dyDescent="0.3">
      <c r="A53" s="53"/>
      <c r="B53" s="54"/>
      <c r="C53" s="153" t="str">
        <f t="shared" ref="C53:C59" si="6" xml:space="preserve"> IF(B53="","",setValueToTime(B53))</f>
        <v/>
      </c>
      <c r="D53" s="55"/>
      <c r="E53" s="236"/>
      <c r="F53" s="237"/>
      <c r="G53" s="51"/>
    </row>
    <row r="54" spans="1:7" s="52" customFormat="1" x14ac:dyDescent="0.3">
      <c r="A54" s="53"/>
      <c r="B54" s="54"/>
      <c r="C54" s="153" t="str">
        <f t="shared" si="6"/>
        <v/>
      </c>
      <c r="D54" s="55"/>
      <c r="E54" s="236"/>
      <c r="F54" s="237"/>
      <c r="G54" s="51"/>
    </row>
    <row r="55" spans="1:7" s="52" customFormat="1" x14ac:dyDescent="0.3">
      <c r="A55" s="53"/>
      <c r="B55" s="54"/>
      <c r="C55" s="153" t="str">
        <f t="shared" si="6"/>
        <v/>
      </c>
      <c r="D55" s="55"/>
      <c r="E55" s="236"/>
      <c r="F55" s="237"/>
      <c r="G55" s="51"/>
    </row>
    <row r="56" spans="1:7" s="52" customFormat="1" x14ac:dyDescent="0.3">
      <c r="A56" s="54"/>
      <c r="B56" s="54"/>
      <c r="C56" s="154" t="str">
        <f t="shared" si="6"/>
        <v/>
      </c>
      <c r="D56" s="55"/>
      <c r="E56" s="236"/>
      <c r="F56" s="237"/>
      <c r="G56" s="51"/>
    </row>
    <row r="57" spans="1:7" s="52" customFormat="1" x14ac:dyDescent="0.3">
      <c r="A57" s="54"/>
      <c r="B57" s="54"/>
      <c r="C57" s="154" t="str">
        <f t="shared" si="6"/>
        <v/>
      </c>
      <c r="D57" s="55"/>
      <c r="E57" s="236"/>
      <c r="F57" s="237"/>
      <c r="G57" s="51"/>
    </row>
    <row r="58" spans="1:7" s="52" customFormat="1" x14ac:dyDescent="0.3">
      <c r="A58" s="54"/>
      <c r="B58" s="54"/>
      <c r="C58" s="154" t="str">
        <f t="shared" si="6"/>
        <v/>
      </c>
      <c r="D58" s="55"/>
      <c r="E58" s="236"/>
      <c r="F58" s="237"/>
      <c r="G58" s="51"/>
    </row>
    <row r="59" spans="1:7" s="52" customFormat="1" ht="15" thickBot="1" x14ac:dyDescent="0.35">
      <c r="A59" s="56"/>
      <c r="B59" s="56"/>
      <c r="C59" s="155" t="str">
        <f t="shared" si="6"/>
        <v/>
      </c>
      <c r="D59" s="57"/>
      <c r="E59" s="238"/>
      <c r="F59" s="239"/>
      <c r="G59" s="51"/>
    </row>
    <row r="60" spans="1:7" s="52" customFormat="1" ht="15" thickBot="1" x14ac:dyDescent="0.35">
      <c r="A60" s="162" t="s">
        <v>27</v>
      </c>
      <c r="B60" s="83">
        <f>SUM(B52:B59)</f>
        <v>45</v>
      </c>
      <c r="C60" s="162" t="str">
        <f xml:space="preserve"> setValueToTime(B60)</f>
        <v>3h45min</v>
      </c>
      <c r="D60" s="121"/>
      <c r="E60" s="240"/>
      <c r="F60" s="241"/>
      <c r="G60" s="51"/>
    </row>
    <row r="61" spans="1:7" s="59" customFormat="1" x14ac:dyDescent="0.3">
      <c r="A61" s="77"/>
      <c r="B61" s="77"/>
      <c r="C61" s="77"/>
      <c r="D61" s="77"/>
      <c r="E61" s="77"/>
      <c r="F61" s="77"/>
      <c r="G61" s="58"/>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5:F45"/>
    <mergeCell ref="E46:F46"/>
    <mergeCell ref="E47:F47"/>
    <mergeCell ref="E48:F48"/>
    <mergeCell ref="E27:F27"/>
    <mergeCell ref="E28:F28"/>
    <mergeCell ref="E29:F29"/>
    <mergeCell ref="E30:F30"/>
    <mergeCell ref="E31:F31"/>
    <mergeCell ref="E32:F32"/>
    <mergeCell ref="E34:F34"/>
    <mergeCell ref="E35:F35"/>
    <mergeCell ref="E36:F36"/>
    <mergeCell ref="E33:F33"/>
    <mergeCell ref="E57:F57"/>
    <mergeCell ref="E58:F58"/>
    <mergeCell ref="E59:F59"/>
    <mergeCell ref="E60:F60"/>
    <mergeCell ref="E39:F39"/>
    <mergeCell ref="E40:F40"/>
    <mergeCell ref="E41:F41"/>
    <mergeCell ref="E42:F42"/>
    <mergeCell ref="E43:F43"/>
    <mergeCell ref="E44:F44"/>
    <mergeCell ref="E51:F51"/>
    <mergeCell ref="E52:F52"/>
    <mergeCell ref="E53:F53"/>
    <mergeCell ref="E54:F54"/>
    <mergeCell ref="E55:F55"/>
    <mergeCell ref="E56:F56"/>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52:B59 B40:B47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xr:uid="{1F6E1567-7DE2-4833-8445-3860188A5ADF}">
      <formula1>0</formula1>
      <formula2>60</formula2>
    </dataValidation>
    <dataValidation type="list" allowBlank="1" showInputMessage="1" showErrorMessage="1" sqref="A28:A35 A52:A59 A40:A47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2" t="s">
        <v>14</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11" t="s">
        <v>27</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2" t="s">
        <v>14</v>
      </c>
      <c r="F2" s="24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62" t="s">
        <v>27</v>
      </c>
      <c r="B11" s="83">
        <f>SUM(B3:B10)</f>
        <v>0</v>
      </c>
      <c r="C11" s="162" t="str">
        <f xml:space="preserve"> setValueToTime(B11)</f>
        <v>0h</v>
      </c>
      <c r="D11" s="121"/>
      <c r="E11" s="240"/>
      <c r="F11" s="24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2024-01-26T07:37:06Z</dcterms:modified>
</cp:coreProperties>
</file>