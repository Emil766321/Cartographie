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pp50oip\Desktop\Cartographie\3-Documentation\"/>
    </mc:Choice>
  </mc:AlternateContent>
  <xr:revisionPtr revIDLastSave="0" documentId="13_ncr:1_{6F73CFA3-8CC9-4EF8-B3BB-B82AD7E0B6C8}"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B24" i="12"/>
  <c r="C23" i="12"/>
  <c r="C22" i="12"/>
  <c r="C21" i="12"/>
  <c r="C20" i="12"/>
  <c r="C19" i="12"/>
  <c r="C18" i="12"/>
  <c r="C17" i="12"/>
  <c r="B36" i="12"/>
  <c r="C35" i="12"/>
  <c r="C34" i="12"/>
  <c r="C33" i="12"/>
  <c r="C32" i="12"/>
  <c r="C31" i="12"/>
  <c r="C30" i="12"/>
  <c r="C77" i="12"/>
  <c r="B48" i="12"/>
  <c r="C47" i="12"/>
  <c r="C46" i="12"/>
  <c r="C45" i="12"/>
  <c r="C44" i="12"/>
  <c r="C43" i="12"/>
  <c r="C42" i="12"/>
  <c r="C41" i="12"/>
  <c r="B60" i="12"/>
  <c r="C59" i="12"/>
  <c r="C58" i="12"/>
  <c r="C57" i="12"/>
  <c r="C56" i="12"/>
  <c r="C55" i="12"/>
  <c r="C54" i="12"/>
  <c r="C53" i="12"/>
  <c r="B72" i="12"/>
  <c r="C71" i="12"/>
  <c r="C70" i="12"/>
  <c r="C69" i="12"/>
  <c r="C68" i="12"/>
  <c r="C67" i="12"/>
  <c r="C66" i="12"/>
  <c r="B84" i="12"/>
  <c r="C83" i="12"/>
  <c r="C82" i="12"/>
  <c r="C81" i="12"/>
  <c r="C80" i="12"/>
  <c r="C79" i="12"/>
  <c r="C78" i="12"/>
  <c r="B96" i="12"/>
  <c r="C95" i="12"/>
  <c r="C94" i="12"/>
  <c r="C93" i="12"/>
  <c r="C92" i="12"/>
  <c r="C91" i="12"/>
  <c r="C90" i="12"/>
  <c r="B108" i="12"/>
  <c r="C107" i="12"/>
  <c r="C106" i="12"/>
  <c r="C105" i="12"/>
  <c r="C104" i="12"/>
  <c r="C103" i="12"/>
  <c r="C102" i="12"/>
  <c r="B120" i="12"/>
  <c r="C119" i="12"/>
  <c r="C118" i="12"/>
  <c r="C117" i="12"/>
  <c r="C116" i="12"/>
  <c r="C115" i="12"/>
  <c r="C114" i="12"/>
  <c r="C113" i="12"/>
  <c r="B132" i="12"/>
  <c r="C131" i="12"/>
  <c r="C130" i="12"/>
  <c r="C129" i="12"/>
  <c r="C128" i="12"/>
  <c r="C127" i="12"/>
  <c r="C126" i="12"/>
  <c r="C125" i="12"/>
  <c r="B144" i="12"/>
  <c r="C143" i="12"/>
  <c r="C142" i="12"/>
  <c r="C141" i="12"/>
  <c r="C140" i="12"/>
  <c r="C139" i="12"/>
  <c r="C138" i="12"/>
  <c r="C137" i="12"/>
  <c r="B156" i="12"/>
  <c r="C155" i="12"/>
  <c r="C154" i="12"/>
  <c r="C153" i="12"/>
  <c r="C152" i="12"/>
  <c r="C151" i="12"/>
  <c r="C150" i="12"/>
  <c r="B168" i="12"/>
  <c r="C167" i="12"/>
  <c r="C166" i="12"/>
  <c r="C165" i="12"/>
  <c r="C164" i="12"/>
  <c r="C163" i="12"/>
  <c r="C162" i="12"/>
  <c r="C161" i="12"/>
  <c r="B12" i="10"/>
  <c r="C11" i="10"/>
  <c r="C10" i="10"/>
  <c r="C9" i="10"/>
  <c r="C8" i="10"/>
  <c r="C7" i="10"/>
  <c r="C6" i="10"/>
  <c r="C5" i="10"/>
  <c r="B180" i="12"/>
  <c r="C179" i="12"/>
  <c r="C178" i="12"/>
  <c r="C177" i="12"/>
  <c r="C176" i="12"/>
  <c r="B24" i="10"/>
  <c r="C23" i="10"/>
  <c r="C22" i="10"/>
  <c r="C21" i="10"/>
  <c r="C20" i="10"/>
  <c r="C19" i="10"/>
  <c r="C18" i="10"/>
  <c r="C17" i="10"/>
  <c r="B36" i="10"/>
  <c r="C35" i="10"/>
  <c r="C34" i="10"/>
  <c r="C33" i="10"/>
  <c r="C32" i="10"/>
  <c r="C31" i="10"/>
  <c r="C30" i="10"/>
  <c r="C29" i="10"/>
  <c r="B48" i="10"/>
  <c r="C47" i="10"/>
  <c r="C46" i="10"/>
  <c r="C45" i="10"/>
  <c r="C44" i="10"/>
  <c r="C43" i="10"/>
  <c r="C42" i="10"/>
  <c r="C41" i="10"/>
  <c r="B60" i="10"/>
  <c r="C59" i="10"/>
  <c r="C58" i="10"/>
  <c r="C57" i="10"/>
  <c r="C56" i="10"/>
  <c r="C55" i="10"/>
  <c r="C54" i="10"/>
  <c r="C53" i="10"/>
  <c r="B72" i="10"/>
  <c r="C71" i="10"/>
  <c r="C70" i="10"/>
  <c r="C69" i="10"/>
  <c r="C68" i="10"/>
  <c r="C67" i="10"/>
  <c r="C66" i="10"/>
  <c r="C65" i="10"/>
  <c r="B84" i="10"/>
  <c r="C83" i="10"/>
  <c r="C82" i="10"/>
  <c r="C81" i="10"/>
  <c r="C80" i="10"/>
  <c r="C79" i="10"/>
  <c r="C78" i="10"/>
  <c r="C77" i="10"/>
  <c r="B96" i="10"/>
  <c r="C95" i="10"/>
  <c r="C94" i="10"/>
  <c r="C93" i="10"/>
  <c r="C92" i="10"/>
  <c r="C91" i="10"/>
  <c r="C90" i="10"/>
  <c r="C89" i="10"/>
  <c r="B108" i="10"/>
  <c r="C107" i="10"/>
  <c r="C106" i="10"/>
  <c r="C105" i="10"/>
  <c r="C104" i="10"/>
  <c r="C103" i="10"/>
  <c r="C102" i="10"/>
  <c r="B120" i="10"/>
  <c r="C119" i="10"/>
  <c r="C118" i="10"/>
  <c r="C117" i="10"/>
  <c r="C116" i="10"/>
  <c r="C115" i="10"/>
  <c r="C114" i="10"/>
  <c r="B132" i="10"/>
  <c r="C131" i="10"/>
  <c r="C130" i="10"/>
  <c r="C129" i="10"/>
  <c r="C128" i="10"/>
  <c r="C127" i="10"/>
  <c r="C126" i="10"/>
  <c r="C125" i="10"/>
  <c r="B144" i="10"/>
  <c r="C143" i="10"/>
  <c r="C142" i="10"/>
  <c r="C141" i="10"/>
  <c r="C140" i="10"/>
  <c r="C139" i="10"/>
  <c r="C138" i="10"/>
  <c r="C137" i="10"/>
  <c r="B156" i="10"/>
  <c r="C155" i="10"/>
  <c r="C154" i="10"/>
  <c r="C153" i="10"/>
  <c r="C152" i="10"/>
  <c r="C151" i="10"/>
  <c r="C150" i="10"/>
  <c r="C149" i="10"/>
  <c r="B168" i="10"/>
  <c r="C167" i="10"/>
  <c r="C166" i="10"/>
  <c r="C165" i="10"/>
  <c r="C164" i="10"/>
  <c r="C163" i="10"/>
  <c r="C162" i="10"/>
  <c r="C161" i="10"/>
  <c r="B180" i="10"/>
  <c r="C179" i="10"/>
  <c r="C178" i="10"/>
  <c r="C177" i="10"/>
  <c r="C176" i="10"/>
  <c r="C175" i="10"/>
  <c r="C174" i="10"/>
  <c r="C173" i="10"/>
  <c r="B192" i="10"/>
  <c r="C191" i="10"/>
  <c r="C190" i="10"/>
  <c r="C189" i="10"/>
  <c r="C188" i="10"/>
  <c r="C187" i="10"/>
  <c r="C186" i="10"/>
  <c r="C185" i="10"/>
  <c r="B204" i="10"/>
  <c r="C203" i="10"/>
  <c r="C202" i="10"/>
  <c r="C201" i="10"/>
  <c r="C200" i="10"/>
  <c r="C199" i="10"/>
  <c r="C198" i="10"/>
  <c r="C197" i="10"/>
  <c r="B216" i="10"/>
  <c r="C215" i="10"/>
  <c r="C214" i="10"/>
  <c r="C213" i="10"/>
  <c r="C212" i="10"/>
  <c r="C211" i="10"/>
  <c r="C210" i="10"/>
  <c r="C209" i="10"/>
  <c r="B228" i="10"/>
  <c r="C227" i="10"/>
  <c r="C226" i="10"/>
  <c r="C225" i="10"/>
  <c r="C224" i="10"/>
  <c r="C223" i="10"/>
  <c r="C222" i="10"/>
  <c r="C221" i="10"/>
  <c r="B240" i="10"/>
  <c r="C239" i="10"/>
  <c r="C238" i="10"/>
  <c r="C237" i="10"/>
  <c r="C236" i="10"/>
  <c r="C235" i="10"/>
  <c r="C234" i="10"/>
  <c r="C233" i="10"/>
  <c r="B252" i="10"/>
  <c r="C251" i="10"/>
  <c r="C250" i="10"/>
  <c r="C249" i="10"/>
  <c r="C248" i="10"/>
  <c r="C247" i="10"/>
  <c r="C246" i="10"/>
  <c r="C245" i="10"/>
  <c r="B264" i="10"/>
  <c r="C263" i="10"/>
  <c r="C262" i="10"/>
  <c r="C261" i="10"/>
  <c r="C260" i="10"/>
  <c r="C259" i="10"/>
  <c r="C258" i="10"/>
  <c r="C257" i="10"/>
  <c r="B276" i="10"/>
  <c r="C275" i="10"/>
  <c r="C274" i="10"/>
  <c r="C273" i="10"/>
  <c r="C272" i="10"/>
  <c r="C271" i="10"/>
  <c r="C270" i="10"/>
  <c r="C269" i="10"/>
  <c r="B288" i="10"/>
  <c r="C287" i="10"/>
  <c r="C286" i="10"/>
  <c r="C285" i="10"/>
  <c r="C284" i="10"/>
  <c r="C283" i="10"/>
  <c r="C282" i="10"/>
  <c r="C281" i="10"/>
  <c r="B300" i="10"/>
  <c r="C299" i="10"/>
  <c r="C298" i="10"/>
  <c r="C297" i="10"/>
  <c r="C296" i="10"/>
  <c r="C295" i="10"/>
  <c r="C294" i="10"/>
  <c r="C293" i="10"/>
  <c r="B312" i="10"/>
  <c r="C311" i="10"/>
  <c r="C310" i="10"/>
  <c r="C309" i="10"/>
  <c r="C308" i="10"/>
  <c r="C307" i="10"/>
  <c r="C306" i="10"/>
  <c r="B324" i="10"/>
  <c r="C323" i="10"/>
  <c r="C322" i="10"/>
  <c r="C321" i="10"/>
  <c r="C320" i="10"/>
  <c r="C319" i="10"/>
  <c r="C318" i="10"/>
  <c r="B192" i="12"/>
  <c r="C191" i="12"/>
  <c r="C190" i="12"/>
  <c r="C189" i="12"/>
  <c r="C188" i="12"/>
  <c r="C187" i="12"/>
  <c r="B204" i="12"/>
  <c r="C203" i="12"/>
  <c r="C202" i="12"/>
  <c r="C201" i="12"/>
  <c r="C200" i="12"/>
  <c r="C199" i="12"/>
  <c r="B216" i="12"/>
  <c r="C215" i="12"/>
  <c r="C214" i="12"/>
  <c r="C213" i="12"/>
  <c r="C212" i="12"/>
  <c r="C211" i="12"/>
  <c r="C210" i="12"/>
  <c r="B228" i="12"/>
  <c r="C227" i="12"/>
  <c r="C226" i="12"/>
  <c r="C225" i="12"/>
  <c r="C224" i="12"/>
  <c r="C223" i="12"/>
  <c r="C222" i="12"/>
  <c r="C221" i="12"/>
  <c r="B336" i="10"/>
  <c r="C335" i="10"/>
  <c r="C334" i="10"/>
  <c r="C333" i="10"/>
  <c r="C332" i="10"/>
  <c r="C331" i="10"/>
  <c r="C330" i="10"/>
  <c r="C329" i="10"/>
  <c r="B348" i="10"/>
  <c r="C347" i="10"/>
  <c r="C346" i="10"/>
  <c r="C345" i="10"/>
  <c r="C344" i="10"/>
  <c r="C343" i="10"/>
  <c r="C342" i="10"/>
  <c r="C341" i="10"/>
  <c r="B360" i="10"/>
  <c r="C359" i="10"/>
  <c r="C358" i="10"/>
  <c r="C357" i="10"/>
  <c r="C356" i="10"/>
  <c r="C355" i="10"/>
  <c r="C354" i="10"/>
  <c r="C353" i="10"/>
  <c r="B372" i="10"/>
  <c r="C371" i="10"/>
  <c r="C370" i="10"/>
  <c r="C369" i="10"/>
  <c r="C368" i="10"/>
  <c r="C367" i="10"/>
  <c r="C366" i="10"/>
  <c r="C365" i="10"/>
  <c r="B384" i="10"/>
  <c r="C383" i="10"/>
  <c r="C382" i="10"/>
  <c r="C381" i="10"/>
  <c r="C380" i="10"/>
  <c r="C379" i="10"/>
  <c r="C378" i="10"/>
  <c r="C377" i="10"/>
  <c r="B396" i="10"/>
  <c r="C395" i="10"/>
  <c r="C394" i="10"/>
  <c r="C393" i="10"/>
  <c r="C392" i="10"/>
  <c r="C391" i="10"/>
  <c r="C390" i="10"/>
  <c r="C389" i="10"/>
  <c r="B408" i="10"/>
  <c r="C407" i="10"/>
  <c r="C406" i="10"/>
  <c r="C405" i="10"/>
  <c r="C404" i="10"/>
  <c r="C403" i="10"/>
  <c r="C402" i="10"/>
  <c r="C401" i="10"/>
  <c r="B420" i="10"/>
  <c r="C419" i="10"/>
  <c r="C418" i="10"/>
  <c r="C417" i="10"/>
  <c r="C416" i="10"/>
  <c r="C415" i="10"/>
  <c r="C414" i="10"/>
  <c r="C413" i="10"/>
  <c r="B432" i="10"/>
  <c r="C431" i="10"/>
  <c r="C430" i="10"/>
  <c r="C429" i="10"/>
  <c r="C428" i="10"/>
  <c r="C427" i="10"/>
  <c r="C426" i="10"/>
  <c r="C425" i="10"/>
  <c r="B444" i="10"/>
  <c r="C443" i="10"/>
  <c r="C442" i="10"/>
  <c r="C441" i="10"/>
  <c r="C440" i="10"/>
  <c r="C439" i="10"/>
  <c r="C438" i="10"/>
  <c r="B456" i="10"/>
  <c r="C455" i="10"/>
  <c r="C454" i="10"/>
  <c r="C453" i="10"/>
  <c r="C452" i="10"/>
  <c r="C451" i="10"/>
  <c r="C450" i="10"/>
  <c r="B468" i="10"/>
  <c r="C467" i="10"/>
  <c r="C466" i="10"/>
  <c r="C465" i="10"/>
  <c r="C464" i="10"/>
  <c r="C463" i="10"/>
  <c r="B480" i="10"/>
  <c r="C479" i="10"/>
  <c r="C478" i="10"/>
  <c r="C477" i="10"/>
  <c r="C476" i="10"/>
  <c r="C475" i="10"/>
  <c r="B492" i="10"/>
  <c r="C491" i="10"/>
  <c r="C490" i="10"/>
  <c r="C489" i="10"/>
  <c r="C488" i="10"/>
  <c r="C487" i="10"/>
  <c r="C486" i="10"/>
  <c r="B504" i="10"/>
  <c r="C503" i="10"/>
  <c r="C502" i="10"/>
  <c r="C501" i="10"/>
  <c r="C500" i="10"/>
  <c r="C499" i="10"/>
  <c r="C10" i="15"/>
  <c r="C9" i="15"/>
  <c r="C8" i="15"/>
  <c r="C7" i="15"/>
  <c r="C6" i="15"/>
  <c r="C5" i="15"/>
  <c r="C4" i="15"/>
  <c r="C3" i="15"/>
  <c r="B11" i="15"/>
  <c r="C10" i="16"/>
  <c r="C9" i="16"/>
  <c r="C8" i="16"/>
  <c r="C7" i="16"/>
  <c r="C6" i="16"/>
  <c r="C5" i="16"/>
  <c r="C4" i="16"/>
  <c r="C3" i="16"/>
  <c r="B11" i="16"/>
  <c r="C498" i="10"/>
  <c r="C497" i="10"/>
  <c r="C11" i="16"/>
  <c r="C11" i="15"/>
  <c r="C305" i="10"/>
  <c r="C4" i="10"/>
  <c r="C101" i="10"/>
  <c r="C113" i="10"/>
  <c r="C12" i="10"/>
  <c r="C184" i="10"/>
  <c r="C192" i="10"/>
  <c r="C472" i="10"/>
  <c r="C420" i="10"/>
  <c r="C136" i="10"/>
  <c r="C444" i="10"/>
  <c r="C424" i="10"/>
  <c r="C480" i="10"/>
  <c r="C72" i="10"/>
  <c r="C244" i="10"/>
  <c r="C336" i="10"/>
  <c r="C496" i="10"/>
  <c r="C52" i="10"/>
  <c r="C228" i="10"/>
  <c r="C232" i="10"/>
  <c r="C276" i="10"/>
  <c r="C400" i="10"/>
  <c r="C304" i="10"/>
  <c r="C473" i="10"/>
  <c r="C156" i="10"/>
  <c r="C252" i="10"/>
  <c r="C432" i="10"/>
  <c r="C24" i="10"/>
  <c r="C376" i="10"/>
  <c r="C474" i="10"/>
  <c r="C280" i="10"/>
  <c r="C460" i="10"/>
  <c r="C372" i="10"/>
  <c r="C220" i="10"/>
  <c r="C240" i="10"/>
  <c r="C180" i="10"/>
  <c r="C484" i="10"/>
  <c r="C172" i="10"/>
  <c r="C340" i="10"/>
  <c r="C437" i="10"/>
  <c r="C96" i="10"/>
  <c r="C300" i="10"/>
  <c r="C288" i="10"/>
  <c r="C148" i="10"/>
  <c r="C312" i="10"/>
  <c r="C384" i="10"/>
  <c r="C348" i="10"/>
  <c r="C360" i="10"/>
  <c r="C160" i="10"/>
  <c r="C448" i="10"/>
  <c r="C317" i="10"/>
  <c r="C504" i="10"/>
  <c r="C48" i="10"/>
  <c r="C352" i="10"/>
  <c r="C268" i="10"/>
  <c r="C485" i="10"/>
  <c r="C456" i="10"/>
  <c r="C132" i="10"/>
  <c r="C328" i="10"/>
  <c r="C168" i="10"/>
  <c r="C100" i="10"/>
  <c r="C388" i="10"/>
  <c r="C84" i="10"/>
  <c r="C264" i="10"/>
  <c r="C112" i="10"/>
  <c r="C76" i="10"/>
  <c r="C324" i="10"/>
  <c r="C60" i="10"/>
  <c r="C36" i="10"/>
  <c r="C436" i="10"/>
  <c r="C292" i="10"/>
  <c r="C28" i="10"/>
  <c r="C216" i="10"/>
  <c r="C408" i="10"/>
  <c r="C108" i="10"/>
  <c r="C364" i="10"/>
  <c r="C316" i="10"/>
  <c r="C16" i="10"/>
  <c r="C40" i="10"/>
  <c r="C256" i="10"/>
  <c r="C412" i="10"/>
  <c r="C196" i="10"/>
  <c r="C64" i="10"/>
  <c r="C204" i="10"/>
  <c r="C208" i="10"/>
  <c r="C120" i="10"/>
  <c r="C124" i="10"/>
  <c r="C88" i="10"/>
  <c r="C396" i="10"/>
  <c r="C144" i="10"/>
  <c r="C492" i="10"/>
  <c r="C468"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4" i="12"/>
  <c r="C16" i="12"/>
  <c r="C12" i="12"/>
  <c r="C24" i="12"/>
  <c r="C48" i="12"/>
  <c r="C101" i="12"/>
  <c r="C192" i="12"/>
  <c r="C160" i="12"/>
  <c r="C88" i="12"/>
  <c r="C185" i="12"/>
  <c r="C60" i="12"/>
  <c r="C156" i="12"/>
  <c r="C72" i="12"/>
  <c r="C149" i="12"/>
  <c r="C198" i="12"/>
  <c r="C96" i="12"/>
  <c r="C228" i="12"/>
  <c r="C220" i="12"/>
  <c r="C144" i="12"/>
  <c r="C136" i="12"/>
  <c r="C186" i="12"/>
  <c r="C204" i="12"/>
  <c r="C100" i="12"/>
  <c r="C174" i="12"/>
  <c r="C208" i="12"/>
  <c r="C124" i="12"/>
  <c r="C216" i="12"/>
  <c r="C180" i="12"/>
  <c r="C175" i="12"/>
  <c r="C89" i="12"/>
  <c r="C148" i="12"/>
  <c r="C28" i="12"/>
  <c r="C197" i="12"/>
  <c r="C84" i="12"/>
  <c r="C196" i="12"/>
  <c r="C76" i="12"/>
  <c r="C120" i="12"/>
  <c r="C172" i="12"/>
  <c r="C184" i="12"/>
  <c r="C65" i="12"/>
  <c r="C132" i="12"/>
  <c r="C112" i="12"/>
  <c r="C64" i="12"/>
  <c r="C168" i="12"/>
  <c r="C108" i="12"/>
  <c r="C52" i="12"/>
  <c r="C40" i="12"/>
  <c r="C173" i="12"/>
  <c r="C209" i="12"/>
  <c r="C36" i="12"/>
  <c r="C29"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<sst xmlns="http://schemas.openxmlformats.org/spreadsheetml/2006/main" count="1204" uniqueCount="179">
  <si>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</si>
  <si>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</si>
  <si>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</si>
  <si>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</si>
  <si>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</si>
  <si>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</si>
  <si>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</si>
  <si>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</si>
  <si>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</si>
  <si>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</si>
  <si>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</si>
  <si>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</si>
  <si>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</si>
  <si>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</si>
  <si>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</si>
  <si>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</si>
  <si>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</si>
  <si>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</si>
  <si>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</si>
  <si>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</si>
  <si>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</si>
  <si>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</si>
  <si>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</si>
  <si>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</si>
  <si>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</si>
  <si>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</si>
  <si>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</si>
  <si>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</si>
  <si>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</si>
  <si>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</si>
  <si>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</si>
  <si>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</si>
  <si>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</si>
  <si>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</si>
  <si>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</si>
  <si>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</si>
  <si>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</si>
  <si>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</si>
  <si>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</si>
  <si>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P_Appro</t>
  </si>
  <si>
    <t>Du 22.01.2024 au jj.mm.aaaa</t>
  </si>
  <si>
    <t>Informer - Relire l'ancien rapport</t>
  </si>
  <si>
    <t>Informer - Check de ce qui fonctionne déjà</t>
  </si>
  <si>
    <t>Analyse - Planification</t>
  </si>
  <si>
    <t>Analyse - Analyse SWOT</t>
  </si>
  <si>
    <t>Informer - Préformation au VBA</t>
  </si>
  <si>
    <t xml:space="preserve">Analyse - Découpage du travail en plusieurs tâches </t>
  </si>
  <si>
    <t>Conception - Création des tests</t>
  </si>
  <si>
    <t>Conception - Organisation &amp; création de la marche à suivre</t>
  </si>
  <si>
    <t xml:space="preserve">Réalisation - Protection du Formulaire </t>
  </si>
  <si>
    <t>Réalisation - Création de relation avec un panier d'information</t>
  </si>
  <si>
    <t>Réalisation - Créaer des instructions</t>
  </si>
  <si>
    <t>Réalisation - Créer un système de note à ajouter sur les instructions</t>
  </si>
  <si>
    <t>Réalisation - Créer un .exe pour installer le gabarit dans Visio</t>
  </si>
  <si>
    <t>Réalisation - Extraire les données en fichier Excel</t>
  </si>
  <si>
    <t>Test - Test du projet</t>
  </si>
  <si>
    <t>Evaluation - Evaluer le travail effectué</t>
  </si>
  <si>
    <t xml:space="preserve">Documentation - Journal de travail </t>
  </si>
  <si>
    <t>Documentation - Rapport</t>
  </si>
  <si>
    <t xml:space="preserve">Réalisation - Ajouter une fonction pour ecrire dans la forme "Qui" </t>
  </si>
  <si>
    <t>jeudi, 25 janvier 2024</t>
  </si>
  <si>
    <t>mercredi, 24 janvier 2024</t>
  </si>
  <si>
    <t>Aurélien Devaud</t>
  </si>
  <si>
    <t>MID 4</t>
  </si>
  <si>
    <t xml:space="preserve">Discussion </t>
  </si>
  <si>
    <t>Montrer les vidéos et choix du projet</t>
  </si>
  <si>
    <t>Lecture de l'ancien Rapport</t>
  </si>
  <si>
    <t>Discution pour le projet, ce qui doit être fait et comment on va le faire</t>
  </si>
  <si>
    <t>Relecture de l'ancien Rapport</t>
  </si>
  <si>
    <t>Création de la VM &amp; check de ce que les autres avaient déjà fait</t>
  </si>
  <si>
    <t>Discussion avec Emilien sur comment découper les tâches &amp; choix de qui fait quoi</t>
  </si>
  <si>
    <t>Planification initale faite avec Emilien</t>
  </si>
  <si>
    <t>Check de la Planification avec Aurélien pour se mettre d'accord et vérifier le temps que l'on a mis à chaque tâches</t>
  </si>
  <si>
    <t>Modification de ce qu'il faut modifier pour que tout soit correct</t>
  </si>
  <si>
    <t>Recherche sur comment le VBA fonctionne et apprentissage du VBA</t>
  </si>
  <si>
    <t>Analyse SWOT pour notre projet</t>
  </si>
  <si>
    <t>Examen permis de conduire</t>
  </si>
  <si>
    <t>Organisation du travail et des tâches. Création de la marche à suivre.</t>
  </si>
  <si>
    <t>Documentation - Préparation à la présentation</t>
  </si>
  <si>
    <t>Séquence 14</t>
  </si>
  <si>
    <t>lundi, 5 février 2024</t>
  </si>
  <si>
    <t>Séquence 13</t>
  </si>
  <si>
    <t>Séquence 12</t>
  </si>
  <si>
    <t>vendredi, 2 février 2024</t>
  </si>
  <si>
    <t>Séquence 11</t>
  </si>
  <si>
    <t>Séquence 10</t>
  </si>
  <si>
    <t>jeudi, 1 février 2024</t>
  </si>
  <si>
    <t>Séquence 9</t>
  </si>
  <si>
    <t>mercredi, 31 janvier 2024</t>
  </si>
  <si>
    <t>Séquence 8</t>
  </si>
  <si>
    <t>Séquence 7</t>
  </si>
  <si>
    <t>lundi, 29 janvier 2024</t>
  </si>
  <si>
    <t>Séquence 6</t>
  </si>
  <si>
    <t>Séquence 5</t>
  </si>
  <si>
    <t>vendredi, 26 janvier 2024</t>
  </si>
  <si>
    <t>Séquence 4</t>
  </si>
  <si>
    <t>lundi, 22 janvier 2024</t>
  </si>
  <si>
    <t>Mise en place de la protection des formulaires</t>
  </si>
  <si>
    <t>Finnissions de la plannification initiale</t>
  </si>
  <si>
    <t>Réalisation - Mise en commun du code</t>
  </si>
  <si>
    <t>Discussion</t>
  </si>
  <si>
    <t>Préaparation d'un PowerPoint pour la défense</t>
  </si>
  <si>
    <t>Rédaction du rapport au complet</t>
  </si>
  <si>
    <t>Rédaction du journal de travail du projet au propre</t>
  </si>
  <si>
    <t>Ajout dans la rapport de tout ce qui aura déjà été fait</t>
  </si>
  <si>
    <t>Test du projet par rapport aux tests déjà faits</t>
  </si>
  <si>
    <t>Evaluation du Travail effectué</t>
  </si>
  <si>
    <t>Préparation à la mise en commun</t>
  </si>
  <si>
    <t>Mise en commun de toutes les parties du projet</t>
  </si>
  <si>
    <t>Séquence 42</t>
  </si>
  <si>
    <t>vendredi, 8 mars 2024</t>
  </si>
  <si>
    <t>Séquence 41</t>
  </si>
  <si>
    <t>Séquence 40</t>
  </si>
  <si>
    <t>jeudi, 7 mars 2024</t>
  </si>
  <si>
    <t>Séquence 39</t>
  </si>
  <si>
    <t>mercredi, 6 mars 2024</t>
  </si>
  <si>
    <t>Séquence 38</t>
  </si>
  <si>
    <t>Séquence 37</t>
  </si>
  <si>
    <t>lundi, 4 mars 2024</t>
  </si>
  <si>
    <t>Séquence 36</t>
  </si>
  <si>
    <t>Séquence 35</t>
  </si>
  <si>
    <t>vendredi, 1 mars 2024</t>
  </si>
  <si>
    <t>Séquence 34</t>
  </si>
  <si>
    <t>Séquence 33</t>
  </si>
  <si>
    <t>jeudi, 29 février 2024</t>
  </si>
  <si>
    <t>Séquence 32</t>
  </si>
  <si>
    <t>mercredi, 28 février 2024</t>
  </si>
  <si>
    <t>Séquence 31</t>
  </si>
  <si>
    <t>Séquence 30</t>
  </si>
  <si>
    <t>lundi, 26 février 2024</t>
  </si>
  <si>
    <t>Séquence 29</t>
  </si>
  <si>
    <t>Séquence 28</t>
  </si>
  <si>
    <t>vendredi, 23 février 2024</t>
  </si>
  <si>
    <t>Séquence 27</t>
  </si>
  <si>
    <t>Séquence 26</t>
  </si>
  <si>
    <t>jeudi, 22 février 2024</t>
  </si>
  <si>
    <t>Séquence 25</t>
  </si>
  <si>
    <t>mercredi, 21 février 2024</t>
  </si>
  <si>
    <t>Séquence 24</t>
  </si>
  <si>
    <t>Séquence 23</t>
  </si>
  <si>
    <t>lundi, 19 février 2024</t>
  </si>
  <si>
    <t>Séquence 22</t>
  </si>
  <si>
    <t>Séquence 21</t>
  </si>
  <si>
    <t>vendredi, 9 février 2024</t>
  </si>
  <si>
    <t>Séquence 20</t>
  </si>
  <si>
    <t>Séquence 19</t>
  </si>
  <si>
    <t>jeudi, 8 février 2024</t>
  </si>
  <si>
    <t>Séquence 18</t>
  </si>
  <si>
    <t>mercredi, 7 février 2024</t>
  </si>
  <si>
    <t>Séquence 17</t>
  </si>
  <si>
    <t>Séquence 16</t>
  </si>
  <si>
    <t>Séquence 15</t>
  </si>
  <si>
    <t>Planification initiale</t>
  </si>
  <si>
    <t>Présentation du TPI</t>
  </si>
  <si>
    <t>Recherche de chef de projet</t>
  </si>
  <si>
    <t>Mise en commun de la plannification</t>
  </si>
  <si>
    <t>Ajustement de la plannification</t>
  </si>
  <si>
    <t>Explication des fichiers par Émilien et organisation des changements git</t>
  </si>
  <si>
    <t>129h45min</t>
  </si>
  <si>
    <t>14h5min</t>
  </si>
  <si>
    <t>- 115h40min</t>
  </si>
  <si>
    <t>jeudi, 26 janvier 2024</t>
  </si>
  <si>
    <t>Exploration du code et recherches</t>
  </si>
  <si>
    <t>Recherche sur les possibilités de VBA visio</t>
  </si>
  <si>
    <t>Recherche des fonctions de protection</t>
  </si>
  <si>
    <t>Application et test de la protection</t>
  </si>
  <si>
    <t>Mise à jour du journal de travail</t>
  </si>
  <si>
    <t>Autre</t>
  </si>
  <si>
    <t>Nouvelle VM installée</t>
  </si>
  <si>
    <t xml:space="preserve">Recherche sur les liens entre les shapes </t>
  </si>
  <si>
    <t>Recherches dans les documentation Visio sur les créations de flèches et autres</t>
  </si>
  <si>
    <t>Evaluation intermédiaire</t>
  </si>
  <si>
    <t>Refonte de la documentation avec Emilien</t>
  </si>
  <si>
    <t>Organisation des choses à ajouter pour le flux le pour quoi et la et/ou</t>
  </si>
  <si>
    <t>Organisation du comportement des formes</t>
  </si>
  <si>
    <t>Catch-up documentation et mise à l'écrit de la conception</t>
  </si>
  <si>
    <t>Permis de conduire</t>
  </si>
  <si>
    <t>Documentation de la conception des formes et analyses</t>
  </si>
  <si>
    <t>Avancement sur la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</si>
</sst>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0">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57" xfId="0" applyFont="1" applyFill="1" applyBorder="1"/>
    <xf numFmtId="2" fontId="12" fillId="18" borderId="63" xfId="0" applyNumberFormat="1" applyFont="1" applyFill="1" applyBorder="1" applyAlignment="1">
      <alignment horizontal="center" vertical="center"/>
    </xf>
    <xf numFmtId="0" fontId="2" fillId="17" borderId="22" xfId="0" applyFont="1" applyFill="1" applyBorder="1" applyProtection="1"/>
    <xf numFmtId="0" fontId="2" fillId="17" borderId="21" xfId="0" applyFont="1" applyFill="1" applyBorder="1" applyProtection="1"/>
    <xf numFmtId="0" fontId="2" fillId="17" borderId="7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54" xfId="0" applyFont="1" applyFill="1" applyBorder="1"/>
    <xf numFmtId="0" fontId="2" fillId="19" borderId="19" xfId="0" applyFont="1" applyFill="1" applyBorder="1" applyProtection="1"/>
    <xf numFmtId="0" fontId="2" fillId="19" borderId="18" xfId="0" applyFont="1" applyFill="1" applyBorder="1" applyProtection="1"/>
    <xf numFmtId="0" fontId="2" fillId="19" borderId="72" xfId="0" applyFont="1" applyFill="1" applyBorder="1"/>
    <xf numFmtId="0" fontId="2" fillId="0" borderId="1" xfId="0" applyFont="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2" fillId="0" borderId="2" xfId="0" applyFont="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0" fillId="5" borderId="52" xfId="0" applyFill="1" applyBorder="1"/>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6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Informer - Relire l'ancien rapport</c:v>
              </c:pt>
              <c:pt idx="2">
                <c:v>Informer - Check de ce qui fonctionne déjà</c:v>
              </c:pt>
              <c:pt idx="3">
                <c:v>Informer - Préformation au VBA</c:v>
              </c:pt>
              <c:pt idx="4">
                <c:v>Analyse - Découpage du travail en plusieurs tâches </c:v>
              </c:pt>
              <c:pt idx="5">
                <c:v>Analyse - Planification</c:v>
              </c:pt>
              <c:pt idx="6">
                <c:v>Analyse - Analyse SWOT</c:v>
              </c:pt>
              <c:pt idx="7">
                <c:v>Conception - Création des tests</c:v>
              </c:pt>
              <c:pt idx="8">
                <c:v>Conception - Organisation &amp; création de la marche à suivre</c:v>
              </c:pt>
              <c:pt idx="9">
                <c:v>Réalisation - Protection du Formulaire </c:v>
              </c:pt>
              <c:pt idx="10">
                <c:v>Réalisation - Ajouter une fonction pour ecrire dans la forme "Qui" </c:v>
              </c:pt>
              <c:pt idx="11">
                <c:v>Réalisation - Création de relation avec un panier d'information</c:v>
              </c:pt>
              <c:pt idx="12">
                <c:v>Réalisation - Créaer des instructions</c:v>
              </c:pt>
              <c:pt idx="13">
                <c:v>Réalisation - Créer un système de note à ajouter sur les instructions</c:v>
              </c:pt>
              <c:pt idx="14">
                <c:v>Réalisation - Créer un .exe pour installer le gabarit dans Visio</c:v>
              </c:pt>
              <c:pt idx="15">
                <c:v>Réalisation - Extraire les données en fichier Excel</c:v>
              </c:pt>
              <c:pt idx="16">
                <c:v>Réalisation - Mise en commun du code</c:v>
              </c:pt>
              <c:pt idx="17">
                <c:v>Test - Test du projet</c:v>
              </c:pt>
              <c:pt idx="18">
                <c:v>Evaluation - Evaluer le travail effectué</c:v>
              </c:pt>
              <c:pt idx="19">
                <c:v>Documentation - Journal de travail </c:v>
              </c:pt>
              <c:pt idx="20">
                <c:v>Documentation - Rapport</c:v>
              </c:pt>
              <c:pt idx="21">
                <c:v>Discussion</c:v>
              </c:pt>
              <c:pt idx="22">
                <c:v>Documentation - Préparation à la présentation</c:v>
              </c:pt>
            </c:strLit>
          </c:cat>
          <c:val>
            <c:numLit>
              <c:formatCode>General</c:formatCode>
              <c:ptCount val="24"/>
              <c:pt idx="0">
                <c:v>7.5</c:v>
              </c:pt>
              <c:pt idx="1">
                <c:v>1.5</c:v>
              </c:pt>
              <c:pt idx="2">
                <c:v>0.75</c:v>
              </c:pt>
              <c:pt idx="3">
                <c:v>15.75</c:v>
              </c:pt>
              <c:pt idx="4">
                <c:v>1.5</c:v>
              </c:pt>
              <c:pt idx="5">
                <c:v>9.75</c:v>
              </c:pt>
              <c:pt idx="6">
                <c:v>3</c:v>
              </c:pt>
              <c:pt idx="7">
                <c:v>0</c:v>
              </c:pt>
              <c:pt idx="8">
                <c:v>9</c:v>
              </c:pt>
              <c:pt idx="9">
                <c:v>1.5</c:v>
              </c:pt>
              <c:pt idx="10">
                <c:v>0</c:v>
              </c:pt>
              <c:pt idx="11">
                <c:v>20.25</c:v>
              </c:pt>
              <c:pt idx="12">
                <c:v>0</c:v>
              </c:pt>
              <c:pt idx="13">
                <c:v>0</c:v>
              </c:pt>
              <c:pt idx="14">
                <c:v>0</c:v>
              </c:pt>
              <c:pt idx="15">
                <c:v>27.75</c:v>
              </c:pt>
              <c:pt idx="16">
                <c:v>3</c:v>
              </c:pt>
              <c:pt idx="17">
                <c:v>1</c:v>
              </c:pt>
              <c:pt idx="18">
                <c:v>2.75</c:v>
              </c:pt>
              <c:pt idx="19">
                <c:v>3.75</c:v>
              </c:pt>
              <c:pt idx="20">
                <c:v>14.25</c:v>
              </c:pt>
              <c:pt idx="21">
                <c:v>0</c:v>
              </c:pt>
              <c:pt idx="22">
                <c:v>6.75</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6</c:v>
              </c:pt>
              <c:pt idx="1">
                <c:v>2.25</c:v>
              </c:pt>
              <c:pt idx="2">
                <c:v>0.75</c:v>
              </c:pt>
              <c:pt idx="3">
                <c:v>0</c:v>
              </c:pt>
              <c:pt idx="4">
                <c:v>1.5</c:v>
              </c:pt>
              <c:pt idx="5">
                <c:v>3</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0.57999998331069946</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7158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I38" sqref="I38"/>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1" t="s">
        <v>30</v>
      </c>
      <c r="C35" s="201"/>
      <c r="D35" s="201"/>
      <c r="E35" s="107" t="s">
        <v>158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2" t="s">
        <v>31</v>
      </c>
      <c r="C37" s="202"/>
      <c r="D37" s="202"/>
      <c r="E37" s="109" t="s">
        <v>159</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28</v>
      </c>
      <c r="E39" s="174" t="s">
        <v>160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CSD99"/>
  <sheetViews>
    <sheetView showGridLines="0" topLeftCell="A63" zoomScale="70" zoomScaleNormal="70" zoomScaleSheetLayoutView="43" workbookViewId="0">
      <selection activeCell="F94" sqref="F94:CSC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2525" width="1.140625" style="3" customWidth="1"/>
    <col min="2526" max="2526" width="2.7109375" style="3" customWidth="1"/>
    <col min="2527" max="16384" width="11.42578125" style="3"/>
  </cols>
  <sheetData>
    <row r="1" spans="1:2526" ht="35.1" customHeight="1" x14ac:dyDescent="0.25">
      <c r="B1" s="95"/>
      <c r="C1" s="216" t="s">
        <v>29</v>
      </c>
      <c r="D1" s="216"/>
      <c r="E1" s="21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87"/>
      <c r="BLW1" s="87"/>
      <c r="BLX1" s="87"/>
      <c r="BLY1" s="87"/>
      <c r="BLZ1" s="87"/>
      <c r="BMA1" s="87"/>
      <c r="BMB1" s="87"/>
      <c r="BMC1" s="87"/>
      <c r="BMD1" s="87"/>
      <c r="BME1" s="87"/>
      <c r="BMF1" s="87"/>
      <c r="BMG1" s="87"/>
      <c r="BMH1" s="87"/>
      <c r="BMI1" s="87"/>
      <c r="BMJ1" s="87"/>
      <c r="BMK1" s="87"/>
      <c r="BML1" s="87"/>
      <c r="BMM1" s="87"/>
      <c r="BMN1" s="87"/>
      <c r="BMO1" s="87"/>
      <c r="BMP1" s="87"/>
      <c r="BMQ1" s="87"/>
      <c r="BMR1" s="87"/>
      <c r="BMS1" s="87"/>
      <c r="BMT1" s="87"/>
      <c r="BMU1" s="87"/>
      <c r="BMV1" s="87"/>
      <c r="BMW1" s="87"/>
      <c r="BMX1" s="87"/>
      <c r="BMY1" s="87"/>
      <c r="BMZ1" s="87"/>
      <c r="BNA1" s="87"/>
      <c r="BNB1" s="87"/>
      <c r="BNC1" s="87"/>
      <c r="BND1" s="87"/>
      <c r="BNE1" s="87"/>
      <c r="BNF1" s="87"/>
      <c r="BNG1" s="87"/>
      <c r="BNH1" s="87"/>
      <c r="BNI1" s="87"/>
      <c r="BNJ1" s="87"/>
      <c r="BNK1" s="87"/>
      <c r="BNL1" s="87"/>
      <c r="BNM1" s="87"/>
      <c r="BNN1" s="87"/>
      <c r="BNO1" s="87"/>
      <c r="BNP1" s="87"/>
      <c r="BNQ1" s="87"/>
      <c r="BNR1" s="87"/>
      <c r="BNS1" s="87"/>
      <c r="BNT1" s="87"/>
      <c r="BNU1" s="87"/>
      <c r="BNV1" s="87"/>
      <c r="BNW1" s="87"/>
      <c r="BNX1" s="87"/>
      <c r="BNY1" s="87"/>
      <c r="BNZ1" s="87"/>
      <c r="BOA1" s="87"/>
      <c r="BOB1" s="87"/>
      <c r="BOC1" s="87"/>
      <c r="BOD1" s="87"/>
      <c r="BOE1" s="87"/>
      <c r="BOF1" s="87"/>
      <c r="BOG1" s="87"/>
      <c r="BOH1" s="87"/>
      <c r="BOI1" s="87"/>
      <c r="BOJ1" s="87"/>
      <c r="BOK1" s="87"/>
      <c r="BOL1" s="87"/>
      <c r="BOM1" s="87"/>
      <c r="BON1" s="87"/>
      <c r="BOO1" s="87"/>
      <c r="BOP1" s="87"/>
      <c r="BOQ1" s="87"/>
      <c r="BOR1" s="87"/>
      <c r="BOS1" s="87"/>
      <c r="BOT1" s="87"/>
      <c r="BOU1" s="87"/>
      <c r="BOV1" s="87"/>
      <c r="BOW1" s="87"/>
      <c r="BOX1" s="87"/>
      <c r="BOY1" s="87"/>
      <c r="BOZ1" s="87"/>
      <c r="BPA1" s="87"/>
      <c r="BPB1" s="87"/>
      <c r="BPC1" s="87"/>
      <c r="BPD1" s="87"/>
      <c r="BPE1" s="87"/>
      <c r="BPF1" s="87"/>
      <c r="BPG1" s="87"/>
      <c r="BPH1" s="87"/>
      <c r="BPI1" s="87"/>
      <c r="BPJ1" s="87"/>
      <c r="BPK1" s="87"/>
      <c r="BPL1" s="87"/>
      <c r="BPM1" s="87"/>
      <c r="BPN1" s="87"/>
      <c r="BPO1" s="87"/>
      <c r="BPP1" s="87"/>
      <c r="BPQ1" s="87"/>
      <c r="BPR1" s="87"/>
      <c r="BPS1" s="87"/>
      <c r="BPT1" s="87"/>
      <c r="BPU1" s="87"/>
      <c r="BPV1" s="87"/>
      <c r="BPW1" s="87"/>
      <c r="BPX1" s="87"/>
      <c r="BPY1" s="87"/>
      <c r="BPZ1" s="87"/>
      <c r="BQA1" s="87"/>
      <c r="BQB1" s="87"/>
      <c r="BQC1" s="87"/>
      <c r="BQD1" s="87"/>
      <c r="BQE1" s="87"/>
      <c r="BQF1" s="87"/>
      <c r="BQG1" s="87"/>
      <c r="BQH1" s="87"/>
      <c r="BQI1" s="87"/>
      <c r="BQJ1" s="87"/>
      <c r="BQK1" s="87"/>
      <c r="BQL1" s="87"/>
      <c r="BQM1" s="87"/>
      <c r="BQN1" s="87"/>
      <c r="BQO1" s="87"/>
      <c r="BQP1" s="87"/>
      <c r="BQQ1" s="87"/>
      <c r="BQR1" s="87"/>
      <c r="BQS1" s="87"/>
      <c r="BQT1" s="87"/>
      <c r="BQU1" s="87"/>
      <c r="BQV1" s="87"/>
      <c r="BQW1" s="87"/>
      <c r="BQX1" s="87"/>
      <c r="BQY1" s="87"/>
      <c r="BQZ1" s="87"/>
      <c r="BRA1" s="87"/>
      <c r="BRB1" s="87"/>
      <c r="BRC1" s="87"/>
      <c r="BRD1" s="87"/>
      <c r="BRE1" s="87"/>
      <c r="BRF1" s="87"/>
      <c r="BRG1" s="87"/>
      <c r="BRH1" s="87"/>
      <c r="BRI1" s="87"/>
      <c r="BRJ1" s="87"/>
      <c r="BRK1" s="87"/>
      <c r="BRL1" s="87"/>
      <c r="BRM1" s="87"/>
      <c r="BRN1" s="87"/>
      <c r="BRO1" s="87"/>
      <c r="BRP1" s="87"/>
      <c r="BRQ1" s="87"/>
      <c r="BRR1" s="87"/>
      <c r="BRS1" s="87"/>
      <c r="BRT1" s="87"/>
      <c r="BRU1" s="87"/>
      <c r="BRV1" s="87"/>
      <c r="BRW1" s="87"/>
      <c r="BRX1" s="87"/>
      <c r="BRY1" s="87"/>
      <c r="BRZ1" s="87"/>
      <c r="BSA1" s="87"/>
      <c r="BSB1" s="87"/>
      <c r="BSC1" s="87"/>
      <c r="BSD1" s="87"/>
      <c r="BSE1" s="87"/>
      <c r="BSF1" s="87"/>
      <c r="BSG1" s="87"/>
      <c r="BSH1" s="87"/>
      <c r="BSI1" s="87"/>
      <c r="BSJ1" s="87"/>
      <c r="BSK1" s="87"/>
      <c r="BSL1" s="87"/>
      <c r="BSM1" s="87"/>
      <c r="BSN1" s="87"/>
      <c r="BSO1" s="87"/>
      <c r="BSP1" s="87"/>
      <c r="BSQ1" s="87"/>
      <c r="BSR1" s="87"/>
      <c r="BSS1" s="87"/>
      <c r="BST1" s="87"/>
      <c r="BSU1" s="87"/>
      <c r="BSV1" s="87"/>
      <c r="BSW1" s="87"/>
      <c r="BSX1" s="87"/>
      <c r="BSY1" s="87"/>
      <c r="BSZ1" s="87"/>
      <c r="BTA1" s="87"/>
      <c r="BTB1" s="87"/>
      <c r="BTC1" s="87"/>
      <c r="BTD1" s="87"/>
      <c r="BTE1" s="87"/>
      <c r="BTF1" s="87"/>
      <c r="BTG1" s="87"/>
      <c r="BTH1" s="87"/>
      <c r="BTI1" s="87"/>
      <c r="BTJ1" s="87"/>
      <c r="BTK1" s="87"/>
      <c r="BTL1" s="87"/>
      <c r="BTM1" s="87"/>
      <c r="BTN1" s="87"/>
      <c r="BTO1" s="87"/>
      <c r="BTP1" s="87"/>
      <c r="BTQ1" s="87"/>
      <c r="BTR1" s="87"/>
      <c r="BTS1" s="87"/>
      <c r="BTT1" s="87"/>
      <c r="BTU1" s="87"/>
      <c r="BTV1" s="87"/>
      <c r="BTW1" s="87"/>
      <c r="BTX1" s="87"/>
      <c r="BTY1" s="87"/>
      <c r="BTZ1" s="87"/>
      <c r="BUA1" s="87"/>
      <c r="BUB1" s="87"/>
      <c r="BUC1" s="87"/>
      <c r="BUD1" s="87"/>
      <c r="BUE1" s="87"/>
      <c r="BUF1" s="87"/>
      <c r="BUG1" s="87"/>
      <c r="BUH1" s="87"/>
      <c r="BUI1" s="87"/>
      <c r="BUJ1" s="87"/>
      <c r="BUK1" s="87"/>
      <c r="BUL1" s="87"/>
      <c r="BUM1" s="87"/>
      <c r="BUN1" s="87"/>
      <c r="BUO1" s="87"/>
      <c r="BUP1" s="87"/>
      <c r="BUQ1" s="87"/>
      <c r="BUR1" s="87"/>
      <c r="BUS1" s="87"/>
      <c r="BUT1" s="87"/>
      <c r="BUU1" s="87"/>
      <c r="BUV1" s="87"/>
      <c r="BUW1" s="87"/>
      <c r="BUX1" s="87"/>
      <c r="BUY1" s="87"/>
      <c r="BUZ1" s="87"/>
      <c r="BVA1" s="87"/>
      <c r="BVB1" s="87"/>
      <c r="BVC1" s="87"/>
      <c r="BVD1" s="87"/>
      <c r="BVE1" s="87"/>
      <c r="BVF1" s="87"/>
      <c r="BVG1" s="87"/>
      <c r="BVH1" s="87"/>
      <c r="BVI1" s="87"/>
      <c r="BVJ1" s="87"/>
      <c r="BVK1" s="87"/>
      <c r="BVL1" s="87"/>
      <c r="BVM1" s="87"/>
      <c r="BVN1" s="87"/>
      <c r="BVO1" s="87"/>
      <c r="BVP1" s="87"/>
      <c r="BVQ1" s="87"/>
      <c r="BVR1" s="87"/>
      <c r="BVS1" s="87"/>
      <c r="BVT1" s="87"/>
      <c r="BVU1" s="87"/>
      <c r="BVV1" s="87"/>
      <c r="BVW1" s="87"/>
      <c r="BVX1" s="87"/>
      <c r="BVY1" s="87"/>
      <c r="BVZ1" s="87"/>
      <c r="BWA1" s="87"/>
      <c r="BWB1" s="87"/>
      <c r="BWC1" s="87"/>
      <c r="BWD1" s="87"/>
      <c r="BWE1" s="87"/>
      <c r="BWF1" s="87"/>
      <c r="BWG1" s="87"/>
      <c r="BWH1" s="87"/>
      <c r="BWI1" s="87"/>
      <c r="BWJ1" s="87"/>
      <c r="BWK1" s="87"/>
      <c r="BWL1" s="87"/>
      <c r="BWM1" s="87"/>
      <c r="BWN1" s="87"/>
      <c r="BWO1" s="87"/>
      <c r="BWP1" s="87"/>
      <c r="BWQ1" s="87"/>
      <c r="BWR1" s="87"/>
      <c r="BWS1" s="87"/>
      <c r="BWT1" s="87"/>
      <c r="BWU1" s="87"/>
      <c r="BWV1" s="87"/>
      <c r="BWW1" s="87"/>
      <c r="BWX1" s="87"/>
      <c r="BWY1" s="87"/>
      <c r="BWZ1" s="87"/>
      <c r="BXA1" s="87"/>
      <c r="BXB1" s="87"/>
      <c r="BXC1" s="87"/>
      <c r="BXD1" s="87"/>
      <c r="BXE1" s="87"/>
      <c r="BXF1" s="87"/>
      <c r="BXG1" s="87"/>
      <c r="BXH1" s="87"/>
      <c r="BXI1" s="87"/>
      <c r="BXJ1" s="87"/>
      <c r="BXK1" s="87"/>
      <c r="BXL1" s="87"/>
      <c r="BXM1" s="87"/>
      <c r="BXN1" s="87"/>
      <c r="BXO1" s="87"/>
      <c r="BXP1" s="87"/>
      <c r="BXQ1" s="87"/>
      <c r="BXR1" s="87"/>
      <c r="BXS1" s="87"/>
      <c r="BXT1" s="87"/>
      <c r="BXU1" s="87"/>
      <c r="BXV1" s="87"/>
      <c r="BXW1" s="87"/>
      <c r="BXX1" s="87"/>
      <c r="BXY1" s="87"/>
      <c r="BXZ1" s="87"/>
      <c r="BYA1" s="87"/>
      <c r="BYB1" s="87"/>
      <c r="BYC1" s="87"/>
      <c r="BYD1" s="87"/>
      <c r="BYE1" s="87"/>
      <c r="BYF1" s="87"/>
      <c r="BYG1" s="87"/>
      <c r="BYH1" s="87"/>
      <c r="BYI1" s="87"/>
      <c r="BYJ1" s="87"/>
      <c r="BYK1" s="87"/>
      <c r="BYL1" s="87"/>
      <c r="BYM1" s="87"/>
      <c r="BYN1" s="87"/>
      <c r="BYO1" s="87"/>
      <c r="BYP1" s="87"/>
      <c r="BYQ1" s="87"/>
      <c r="BYR1" s="87"/>
      <c r="BYS1" s="87"/>
      <c r="BYT1" s="87"/>
      <c r="BYU1" s="87"/>
      <c r="BYV1" s="87"/>
      <c r="BYW1" s="87"/>
      <c r="BYX1" s="87"/>
      <c r="BYY1" s="87"/>
      <c r="BYZ1" s="87"/>
      <c r="BZA1" s="87"/>
      <c r="BZB1" s="87"/>
      <c r="BZC1" s="87"/>
      <c r="BZD1" s="87"/>
      <c r="BZE1" s="87"/>
      <c r="BZF1" s="87"/>
      <c r="BZG1" s="87"/>
      <c r="BZH1" s="87"/>
      <c r="BZI1" s="87"/>
      <c r="BZJ1" s="87"/>
      <c r="BZK1" s="87"/>
      <c r="BZL1" s="87"/>
      <c r="BZM1" s="87"/>
      <c r="BZN1" s="87"/>
      <c r="BZO1" s="87"/>
      <c r="BZP1" s="87"/>
      <c r="BZQ1" s="87"/>
      <c r="BZR1" s="87"/>
      <c r="BZS1" s="87"/>
      <c r="BZT1" s="87"/>
      <c r="BZU1" s="87"/>
      <c r="BZV1" s="87"/>
      <c r="BZW1" s="87"/>
      <c r="BZX1" s="87"/>
      <c r="BZY1" s="87"/>
      <c r="BZZ1" s="87"/>
      <c r="CAA1" s="87"/>
      <c r="CAB1" s="87"/>
      <c r="CAC1" s="87"/>
      <c r="CAD1" s="87"/>
      <c r="CAE1" s="87"/>
      <c r="CAF1" s="87"/>
      <c r="CAG1" s="87"/>
      <c r="CAH1" s="87"/>
      <c r="CAI1" s="87"/>
      <c r="CAJ1" s="87"/>
      <c r="CAK1" s="87"/>
      <c r="CAL1" s="87"/>
      <c r="CAM1" s="87"/>
      <c r="CAN1" s="87"/>
      <c r="CAO1" s="87"/>
      <c r="CAP1" s="87"/>
      <c r="CAQ1" s="87"/>
      <c r="CAR1" s="87"/>
      <c r="CAS1" s="87"/>
      <c r="CAT1" s="87"/>
      <c r="CAU1" s="87"/>
      <c r="CAV1" s="87"/>
      <c r="CAW1" s="87"/>
      <c r="CAX1" s="87"/>
      <c r="CAY1" s="87"/>
      <c r="CAZ1" s="87"/>
      <c r="CBA1" s="87"/>
      <c r="CBB1" s="87"/>
      <c r="CBC1" s="87"/>
      <c r="CBD1" s="87"/>
      <c r="CBE1" s="87"/>
      <c r="CBF1" s="87"/>
      <c r="CBG1" s="87"/>
      <c r="CBH1" s="87"/>
      <c r="CBI1" s="87"/>
      <c r="CBJ1" s="87"/>
      <c r="CBK1" s="87"/>
      <c r="CBL1" s="87"/>
      <c r="CBM1" s="87"/>
      <c r="CBN1" s="87"/>
      <c r="CBO1" s="87"/>
      <c r="CBP1" s="87"/>
      <c r="CBQ1" s="87"/>
      <c r="CBR1" s="87"/>
      <c r="CBS1" s="87"/>
      <c r="CBT1" s="87"/>
      <c r="CBU1" s="87"/>
      <c r="CBV1" s="87"/>
      <c r="CBW1" s="87"/>
      <c r="CBX1" s="87"/>
      <c r="CBY1" s="87"/>
      <c r="CBZ1" s="87"/>
      <c r="CCA1" s="87"/>
      <c r="CCB1" s="87"/>
      <c r="CCC1" s="87"/>
      <c r="CCD1" s="87"/>
      <c r="CCE1" s="87"/>
      <c r="CCF1" s="87"/>
      <c r="CCG1" s="87"/>
      <c r="CCH1" s="87"/>
      <c r="CCI1" s="87"/>
      <c r="CCJ1" s="87"/>
      <c r="CCK1" s="87"/>
      <c r="CCL1" s="87"/>
      <c r="CCM1" s="87"/>
      <c r="CCN1" s="87"/>
      <c r="CCO1" s="87"/>
      <c r="CCP1" s="87"/>
      <c r="CCQ1" s="87"/>
      <c r="CCR1" s="87"/>
      <c r="CCS1" s="87"/>
      <c r="CCT1" s="87"/>
      <c r="CCU1" s="87"/>
      <c r="CCV1" s="87"/>
      <c r="CCW1" s="87"/>
      <c r="CCX1" s="87"/>
      <c r="CCY1" s="87"/>
      <c r="CCZ1" s="87"/>
      <c r="CDA1" s="87"/>
      <c r="CDB1" s="87"/>
      <c r="CDC1" s="87"/>
      <c r="CDD1" s="87"/>
      <c r="CDE1" s="87"/>
      <c r="CDF1" s="87"/>
      <c r="CDG1" s="87"/>
      <c r="CDH1" s="87"/>
      <c r="CDI1" s="87"/>
      <c r="CDJ1" s="87"/>
      <c r="CDK1" s="87"/>
      <c r="CDL1" s="87"/>
      <c r="CDM1" s="87"/>
      <c r="CDN1" s="87"/>
      <c r="CDO1" s="87"/>
      <c r="CDP1" s="87"/>
      <c r="CDQ1" s="87"/>
      <c r="CDR1" s="87"/>
      <c r="CDS1" s="87"/>
      <c r="CDT1" s="87"/>
      <c r="CDU1" s="87"/>
      <c r="CDV1" s="87"/>
      <c r="CDW1" s="87"/>
      <c r="CDX1" s="87"/>
      <c r="CDY1" s="87"/>
      <c r="CDZ1" s="87"/>
      <c r="CEA1" s="87"/>
      <c r="CEB1" s="87"/>
      <c r="CEC1" s="87"/>
      <c r="CED1" s="87"/>
      <c r="CEE1" s="87"/>
      <c r="CEF1" s="87"/>
      <c r="CEG1" s="87"/>
      <c r="CEH1" s="87"/>
      <c r="CEI1" s="87"/>
      <c r="CEJ1" s="87"/>
      <c r="CEK1" s="87"/>
      <c r="CEL1" s="87"/>
      <c r="CEM1" s="87"/>
      <c r="CEN1" s="87"/>
      <c r="CEO1" s="87"/>
      <c r="CEP1" s="87"/>
      <c r="CEQ1" s="87"/>
      <c r="CER1" s="87"/>
      <c r="CES1" s="87"/>
      <c r="CET1" s="87"/>
      <c r="CEU1" s="87"/>
      <c r="CEV1" s="87"/>
      <c r="CEW1" s="87"/>
      <c r="CEX1" s="87"/>
      <c r="CEY1" s="87"/>
      <c r="CEZ1" s="87"/>
      <c r="CFA1" s="87"/>
      <c r="CFB1" s="87"/>
      <c r="CFC1" s="87"/>
      <c r="CFD1" s="87"/>
      <c r="CFE1" s="87"/>
      <c r="CFF1" s="87"/>
      <c r="CFG1" s="87"/>
      <c r="CFH1" s="87"/>
      <c r="CFI1" s="87"/>
      <c r="CFJ1" s="87"/>
      <c r="CFK1" s="87"/>
      <c r="CFL1" s="87"/>
      <c r="CFM1" s="87"/>
      <c r="CFN1" s="87"/>
      <c r="CFO1" s="87"/>
      <c r="CFP1" s="87"/>
      <c r="CFQ1" s="87"/>
      <c r="CFR1" s="87"/>
      <c r="CFS1" s="87"/>
      <c r="CFT1" s="87"/>
      <c r="CFU1" s="87"/>
      <c r="CFV1" s="87"/>
      <c r="CFW1" s="87"/>
      <c r="CFX1" s="87"/>
      <c r="CFY1" s="87"/>
      <c r="CFZ1" s="87"/>
      <c r="CGA1" s="87"/>
      <c r="CGB1" s="87"/>
      <c r="CGC1" s="87"/>
      <c r="CGD1" s="87"/>
      <c r="CGE1" s="87"/>
      <c r="CGF1" s="87"/>
      <c r="CGG1" s="87"/>
      <c r="CGH1" s="87"/>
      <c r="CGI1" s="87"/>
      <c r="CGJ1" s="87"/>
      <c r="CGK1" s="87"/>
      <c r="CGL1" s="87"/>
      <c r="CGM1" s="87"/>
      <c r="CGN1" s="87"/>
      <c r="CGO1" s="87"/>
      <c r="CGP1" s="87"/>
      <c r="CGQ1" s="87"/>
      <c r="CGR1" s="87"/>
      <c r="CGS1" s="87"/>
      <c r="CGT1" s="87"/>
      <c r="CGU1" s="87"/>
      <c r="CGV1" s="87"/>
      <c r="CGW1" s="87"/>
      <c r="CGX1" s="87"/>
      <c r="CGY1" s="87"/>
      <c r="CGZ1" s="87"/>
      <c r="CHA1" s="87"/>
      <c r="CHB1" s="87"/>
      <c r="CHC1" s="87"/>
      <c r="CHD1" s="87"/>
      <c r="CHE1" s="87"/>
      <c r="CHF1" s="87"/>
      <c r="CHG1" s="87"/>
      <c r="CHH1" s="87"/>
      <c r="CHI1" s="87"/>
      <c r="CHJ1" s="87"/>
      <c r="CHK1" s="87"/>
      <c r="CHL1" s="87"/>
      <c r="CHM1" s="87"/>
      <c r="CHN1" s="87"/>
      <c r="CHO1" s="87"/>
      <c r="CHP1" s="87"/>
      <c r="CHQ1" s="87"/>
      <c r="CHR1" s="87"/>
      <c r="CHS1" s="87"/>
      <c r="CHT1" s="87"/>
      <c r="CHU1" s="87"/>
      <c r="CHV1" s="87"/>
      <c r="CHW1" s="87"/>
      <c r="CHX1" s="87"/>
      <c r="CHY1" s="87"/>
      <c r="CHZ1" s="87"/>
      <c r="CIA1" s="87"/>
      <c r="CIB1" s="87"/>
      <c r="CIC1" s="87"/>
      <c r="CID1" s="87"/>
      <c r="CIE1" s="87"/>
      <c r="CIF1" s="87"/>
      <c r="CIG1" s="87"/>
      <c r="CIH1" s="87"/>
      <c r="CII1" s="87"/>
      <c r="CIJ1" s="87"/>
      <c r="CIK1" s="87"/>
      <c r="CIL1" s="87"/>
      <c r="CIM1" s="87"/>
      <c r="CIN1" s="87"/>
      <c r="CIO1" s="87"/>
      <c r="CIP1" s="87"/>
      <c r="CIQ1" s="87"/>
      <c r="CIR1" s="87"/>
      <c r="CIS1" s="87"/>
      <c r="CIT1" s="87"/>
      <c r="CIU1" s="87"/>
      <c r="CIV1" s="87"/>
      <c r="CIW1" s="87"/>
      <c r="CIX1" s="87"/>
      <c r="CIY1" s="87"/>
      <c r="CIZ1" s="87"/>
      <c r="CJA1" s="87"/>
      <c r="CJB1" s="87"/>
      <c r="CJC1" s="87"/>
      <c r="CJD1" s="87"/>
      <c r="CJE1" s="87"/>
      <c r="CJF1" s="87"/>
      <c r="CJG1" s="87"/>
      <c r="CJH1" s="87"/>
      <c r="CJI1" s="87"/>
      <c r="CJJ1" s="87"/>
      <c r="CJK1" s="87"/>
      <c r="CJL1" s="87"/>
      <c r="CJM1" s="87"/>
      <c r="CJN1" s="87"/>
      <c r="CJO1" s="87"/>
      <c r="CJP1" s="87"/>
      <c r="CJQ1" s="87"/>
      <c r="CJR1" s="87"/>
      <c r="CJS1" s="87"/>
      <c r="CJT1" s="87"/>
      <c r="CJU1" s="87"/>
      <c r="CJV1" s="87"/>
      <c r="CJW1" s="87"/>
      <c r="CJX1" s="87"/>
      <c r="CJY1" s="87"/>
      <c r="CJZ1" s="87"/>
      <c r="CKA1" s="87"/>
      <c r="CKB1" s="87"/>
      <c r="CKC1" s="87"/>
      <c r="CKD1" s="87"/>
      <c r="CKE1" s="87"/>
      <c r="CKF1" s="87"/>
      <c r="CKG1" s="87"/>
      <c r="CKH1" s="87"/>
      <c r="CKI1" s="87"/>
      <c r="CKJ1" s="87"/>
      <c r="CKK1" s="87"/>
      <c r="CKL1" s="87"/>
      <c r="CKM1" s="87"/>
      <c r="CKN1" s="87"/>
      <c r="CKO1" s="87"/>
      <c r="CKP1" s="87"/>
      <c r="CKQ1" s="87"/>
      <c r="CKR1" s="87"/>
      <c r="CKS1" s="87"/>
      <c r="CKT1" s="87"/>
      <c r="CKU1" s="87"/>
      <c r="CKV1" s="87"/>
      <c r="CKW1" s="87"/>
      <c r="CKX1" s="87"/>
      <c r="CKY1" s="87"/>
      <c r="CKZ1" s="87"/>
      <c r="CLA1" s="87"/>
      <c r="CLB1" s="87"/>
      <c r="CLC1" s="87"/>
      <c r="CLD1" s="87"/>
      <c r="CLE1" s="87"/>
      <c r="CLF1" s="87"/>
      <c r="CLG1" s="87"/>
      <c r="CLH1" s="87"/>
      <c r="CLI1" s="87"/>
      <c r="CLJ1" s="87"/>
      <c r="CLK1" s="87"/>
      <c r="CLL1" s="87"/>
      <c r="CLM1" s="87"/>
      <c r="CLN1" s="87"/>
      <c r="CLO1" s="87"/>
      <c r="CLP1" s="87"/>
      <c r="CLQ1" s="87"/>
      <c r="CLR1" s="87"/>
      <c r="CLS1" s="87"/>
      <c r="CLT1" s="87"/>
      <c r="CLU1" s="87"/>
      <c r="CLV1" s="87"/>
      <c r="CLW1" s="87"/>
      <c r="CLX1" s="87"/>
      <c r="CLY1" s="87"/>
      <c r="CLZ1" s="87"/>
      <c r="CMA1" s="87"/>
      <c r="CMB1" s="87"/>
      <c r="CMC1" s="87"/>
      <c r="CMD1" s="87"/>
      <c r="CME1" s="87"/>
      <c r="CMF1" s="87"/>
      <c r="CMG1" s="87"/>
      <c r="CMH1" s="87"/>
      <c r="CMI1" s="87"/>
      <c r="CMJ1" s="87"/>
      <c r="CMK1" s="87"/>
      <c r="CML1" s="87"/>
      <c r="CMM1" s="87"/>
      <c r="CMN1" s="87"/>
      <c r="CMO1" s="87"/>
      <c r="CMP1" s="87"/>
      <c r="CMQ1" s="87"/>
      <c r="CMR1" s="87"/>
      <c r="CMS1" s="87"/>
      <c r="CMT1" s="87"/>
      <c r="CMU1" s="87"/>
      <c r="CMV1" s="87"/>
      <c r="CMW1" s="87"/>
      <c r="CMX1" s="87"/>
      <c r="CMY1" s="87"/>
      <c r="CMZ1" s="87"/>
      <c r="CNA1" s="87"/>
      <c r="CNB1" s="87"/>
      <c r="CNC1" s="87"/>
      <c r="CND1" s="87"/>
      <c r="CNE1" s="87"/>
      <c r="CNF1" s="87"/>
      <c r="CNG1" s="87"/>
      <c r="CNH1" s="87"/>
      <c r="CNI1" s="87"/>
      <c r="CNJ1" s="87"/>
      <c r="CNK1" s="87"/>
      <c r="CNL1" s="87"/>
      <c r="CNM1" s="87"/>
      <c r="CNN1" s="87"/>
      <c r="CNO1" s="87"/>
      <c r="CNP1" s="87"/>
      <c r="CNQ1" s="87"/>
      <c r="CNR1" s="87"/>
      <c r="CNS1" s="87"/>
      <c r="CNT1" s="87"/>
      <c r="CNU1" s="87"/>
      <c r="CNV1" s="87"/>
      <c r="CNW1" s="87"/>
      <c r="CNX1" s="87"/>
      <c r="CNY1" s="87"/>
      <c r="CNZ1" s="87"/>
      <c r="COA1" s="87"/>
      <c r="COB1" s="87"/>
      <c r="COC1" s="87"/>
      <c r="COD1" s="87"/>
      <c r="COE1" s="87"/>
      <c r="COF1" s="87"/>
      <c r="COG1" s="87"/>
      <c r="COH1" s="87"/>
      <c r="COI1" s="87"/>
      <c r="COJ1" s="87"/>
      <c r="COK1" s="87"/>
      <c r="COL1" s="87"/>
      <c r="COM1" s="87"/>
      <c r="CON1" s="87"/>
      <c r="COO1" s="87"/>
      <c r="COP1" s="87"/>
      <c r="COQ1" s="87"/>
      <c r="COR1" s="87"/>
      <c r="COS1" s="87"/>
      <c r="COT1" s="87"/>
      <c r="COU1" s="87"/>
      <c r="COV1" s="87"/>
      <c r="COW1" s="87"/>
      <c r="COX1" s="87"/>
      <c r="COY1" s="87"/>
      <c r="COZ1" s="87"/>
      <c r="CPA1" s="87"/>
      <c r="CPB1" s="87"/>
      <c r="CPC1" s="87"/>
      <c r="CPD1" s="87"/>
      <c r="CPE1" s="87"/>
      <c r="CPF1" s="87"/>
      <c r="CPG1" s="87"/>
      <c r="CPH1" s="87"/>
      <c r="CPI1" s="87"/>
      <c r="CPJ1" s="87"/>
      <c r="CPK1" s="87"/>
      <c r="CPL1" s="87"/>
      <c r="CPM1" s="87"/>
      <c r="CPN1" s="87"/>
      <c r="CPO1" s="87"/>
      <c r="CPP1" s="87"/>
      <c r="CPQ1" s="87"/>
      <c r="CPR1" s="87"/>
      <c r="CPS1" s="87"/>
      <c r="CPT1" s="87"/>
      <c r="CPU1" s="87"/>
      <c r="CPV1" s="87"/>
      <c r="CPW1" s="87"/>
      <c r="CPX1" s="87"/>
      <c r="CPY1" s="87"/>
      <c r="CPZ1" s="87"/>
      <c r="CQA1" s="87"/>
      <c r="CQB1" s="87"/>
      <c r="CQC1" s="87"/>
      <c r="CQD1" s="87"/>
      <c r="CQE1" s="87"/>
      <c r="CQF1" s="87"/>
      <c r="CQG1" s="87"/>
      <c r="CQH1" s="87"/>
      <c r="CQI1" s="87"/>
      <c r="CQJ1" s="87"/>
      <c r="CQK1" s="87"/>
      <c r="CQL1" s="87"/>
      <c r="CQM1" s="87"/>
      <c r="CQN1" s="87"/>
      <c r="CQO1" s="87"/>
      <c r="CQP1" s="87"/>
      <c r="CQQ1" s="87"/>
      <c r="CQR1" s="87"/>
      <c r="CQS1" s="87"/>
      <c r="CQT1" s="87"/>
      <c r="CQU1" s="87"/>
      <c r="CQV1" s="87"/>
      <c r="CQW1" s="87"/>
      <c r="CQX1" s="87"/>
      <c r="CQY1" s="87"/>
      <c r="CQZ1" s="87"/>
      <c r="CRA1" s="87"/>
      <c r="CRB1" s="87"/>
      <c r="CRC1" s="87"/>
      <c r="CRD1" s="87"/>
      <c r="CRE1" s="87"/>
      <c r="CRF1" s="87"/>
      <c r="CRG1" s="87"/>
      <c r="CRH1" s="87"/>
      <c r="CRI1" s="87"/>
      <c r="CRJ1" s="87"/>
      <c r="CRK1" s="87"/>
      <c r="CRL1" s="87"/>
      <c r="CRM1" s="87"/>
      <c r="CRN1" s="87"/>
      <c r="CRO1" s="87"/>
      <c r="CRP1" s="87"/>
      <c r="CRQ1" s="87"/>
      <c r="CRR1" s="87"/>
      <c r="CRS1" s="87"/>
      <c r="CRT1" s="87"/>
      <c r="CRU1" s="87"/>
      <c r="CRV1" s="87"/>
      <c r="CRW1" s="87"/>
      <c r="CRX1" s="87"/>
      <c r="CRY1" s="87"/>
      <c r="CRZ1" s="87"/>
      <c r="CSA1" s="87"/>
      <c r="CSB1" s="87"/>
      <c r="CSC1" s="87"/>
      <c r="CSD1" s="93">
        <v>1</v>
      </c>
    </row>
    <row r="2" spans="1:25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88"/>
      <c r="BLW2" s="88"/>
      <c r="BLX2" s="88"/>
      <c r="BLY2" s="88"/>
      <c r="BLZ2" s="88"/>
      <c r="BMA2" s="88"/>
      <c r="BMB2" s="88"/>
      <c r="BMC2" s="88"/>
      <c r="BMD2" s="88"/>
      <c r="BME2" s="88"/>
      <c r="BMF2" s="88"/>
      <c r="BMG2" s="88"/>
      <c r="BMH2" s="88"/>
      <c r="BMI2" s="88"/>
      <c r="BMJ2" s="88"/>
      <c r="BMK2" s="88"/>
      <c r="BML2" s="88"/>
      <c r="BMM2" s="88"/>
      <c r="BMN2" s="88"/>
      <c r="BMO2" s="88"/>
      <c r="BMP2" s="88"/>
      <c r="BMQ2" s="88"/>
      <c r="BMR2" s="88"/>
      <c r="BMS2" s="88"/>
      <c r="BMT2" s="88"/>
      <c r="BMU2" s="88"/>
      <c r="BMV2" s="88"/>
      <c r="BMW2" s="88"/>
      <c r="BMX2" s="88"/>
      <c r="BMY2" s="88"/>
      <c r="BMZ2" s="88"/>
      <c r="BNA2" s="88"/>
      <c r="BNB2" s="88"/>
      <c r="BNC2" s="88"/>
      <c r="BND2" s="88"/>
      <c r="BNE2" s="88"/>
      <c r="BNF2" s="88"/>
      <c r="BNG2" s="88"/>
      <c r="BNH2" s="88"/>
      <c r="BNI2" s="88"/>
      <c r="BNJ2" s="88"/>
      <c r="BNK2" s="88"/>
      <c r="BNL2" s="88"/>
      <c r="BNM2" s="88"/>
      <c r="BNN2" s="88"/>
      <c r="BNO2" s="88"/>
      <c r="BNP2" s="88"/>
      <c r="BNQ2" s="88"/>
      <c r="BNR2" s="88"/>
      <c r="BNS2" s="88"/>
      <c r="BNT2" s="88"/>
      <c r="BNU2" s="88"/>
      <c r="BNV2" s="88"/>
      <c r="BNW2" s="88"/>
      <c r="BNX2" s="88"/>
      <c r="BNY2" s="88"/>
      <c r="BNZ2" s="88"/>
      <c r="BOA2" s="88"/>
      <c r="BOB2" s="88"/>
      <c r="BOC2" s="88"/>
      <c r="BOD2" s="88"/>
      <c r="BOE2" s="88"/>
      <c r="BOF2" s="88"/>
      <c r="BOG2" s="88"/>
      <c r="BOH2" s="88"/>
      <c r="BOI2" s="88"/>
      <c r="BOJ2" s="88"/>
      <c r="BOK2" s="88"/>
      <c r="BOL2" s="88"/>
      <c r="BOM2" s="88"/>
      <c r="BON2" s="88"/>
      <c r="BOO2" s="88"/>
      <c r="BOP2" s="88"/>
      <c r="BOQ2" s="88"/>
      <c r="BOR2" s="88"/>
      <c r="BOS2" s="88"/>
      <c r="BOT2" s="88"/>
      <c r="BOU2" s="88"/>
      <c r="BOV2" s="88"/>
      <c r="BOW2" s="88"/>
      <c r="BOX2" s="88"/>
      <c r="BOY2" s="88"/>
      <c r="BOZ2" s="88"/>
      <c r="BPA2" s="88"/>
      <c r="BPB2" s="88"/>
      <c r="BPC2" s="88"/>
      <c r="BPD2" s="88"/>
      <c r="BPE2" s="88"/>
      <c r="BPF2" s="88"/>
      <c r="BPG2" s="88"/>
      <c r="BPH2" s="88"/>
      <c r="BPI2" s="88"/>
      <c r="BPJ2" s="88"/>
      <c r="BPK2" s="88"/>
      <c r="BPL2" s="88"/>
      <c r="BPM2" s="88"/>
      <c r="BPN2" s="88"/>
      <c r="BPO2" s="88"/>
      <c r="BPP2" s="88"/>
      <c r="BPQ2" s="88"/>
      <c r="BPR2" s="88"/>
      <c r="BPS2" s="88"/>
      <c r="BPT2" s="88"/>
      <c r="BPU2" s="88"/>
      <c r="BPV2" s="88"/>
      <c r="BPW2" s="88"/>
      <c r="BPX2" s="88"/>
      <c r="BPY2" s="88"/>
      <c r="BPZ2" s="88"/>
      <c r="BQA2" s="88"/>
      <c r="BQB2" s="88"/>
      <c r="BQC2" s="88"/>
      <c r="BQD2" s="88"/>
      <c r="BQE2" s="88"/>
      <c r="BQF2" s="88"/>
      <c r="BQG2" s="88"/>
      <c r="BQH2" s="88"/>
      <c r="BQI2" s="88"/>
      <c r="BQJ2" s="88"/>
      <c r="BQK2" s="88"/>
      <c r="BQL2" s="88"/>
      <c r="BQM2" s="88"/>
      <c r="BQN2" s="88"/>
      <c r="BQO2" s="88"/>
      <c r="BQP2" s="88"/>
      <c r="BQQ2" s="88"/>
      <c r="BQR2" s="88"/>
      <c r="BQS2" s="88"/>
      <c r="BQT2" s="88"/>
      <c r="BQU2" s="88"/>
      <c r="BQV2" s="88"/>
      <c r="BQW2" s="88"/>
      <c r="BQX2" s="88"/>
      <c r="BQY2" s="88"/>
      <c r="BQZ2" s="88"/>
      <c r="BRA2" s="88"/>
      <c r="BRB2" s="88"/>
      <c r="BRC2" s="88"/>
      <c r="BRD2" s="88"/>
      <c r="BRE2" s="88"/>
      <c r="BRF2" s="88"/>
      <c r="BRG2" s="88"/>
      <c r="BRH2" s="88"/>
      <c r="BRI2" s="88"/>
      <c r="BRJ2" s="88"/>
      <c r="BRK2" s="88"/>
      <c r="BRL2" s="88"/>
      <c r="BRM2" s="88"/>
      <c r="BRN2" s="88"/>
      <c r="BRO2" s="88"/>
      <c r="BRP2" s="88"/>
      <c r="BRQ2" s="88"/>
      <c r="BRR2" s="88"/>
      <c r="BRS2" s="88"/>
      <c r="BRT2" s="88"/>
      <c r="BRU2" s="88"/>
      <c r="BRV2" s="88"/>
      <c r="BRW2" s="88"/>
      <c r="BRX2" s="88"/>
      <c r="BRY2" s="88"/>
      <c r="BRZ2" s="88"/>
      <c r="BSA2" s="88"/>
      <c r="BSB2" s="88"/>
      <c r="BSC2" s="88"/>
      <c r="BSD2" s="88"/>
      <c r="BSE2" s="88"/>
      <c r="BSF2" s="88"/>
      <c r="BSG2" s="88"/>
      <c r="BSH2" s="88"/>
      <c r="BSI2" s="88"/>
      <c r="BSJ2" s="88"/>
      <c r="BSK2" s="88"/>
      <c r="BSL2" s="88"/>
      <c r="BSM2" s="88"/>
      <c r="BSN2" s="88"/>
      <c r="BSO2" s="88"/>
      <c r="BSP2" s="88"/>
      <c r="BSQ2" s="88"/>
      <c r="BSR2" s="88"/>
      <c r="BSS2" s="88"/>
      <c r="BST2" s="88"/>
      <c r="BSU2" s="88"/>
      <c r="BSV2" s="88"/>
      <c r="BSW2" s="88"/>
      <c r="BSX2" s="88"/>
      <c r="BSY2" s="88"/>
      <c r="BSZ2" s="88"/>
      <c r="BTA2" s="88"/>
      <c r="BTB2" s="88"/>
      <c r="BTC2" s="88"/>
      <c r="BTD2" s="88"/>
      <c r="BTE2" s="88"/>
      <c r="BTF2" s="88"/>
      <c r="BTG2" s="88"/>
      <c r="BTH2" s="88"/>
      <c r="BTI2" s="88"/>
      <c r="BTJ2" s="88"/>
      <c r="BTK2" s="88"/>
      <c r="BTL2" s="88"/>
      <c r="BTM2" s="88"/>
      <c r="BTN2" s="88"/>
      <c r="BTO2" s="88"/>
      <c r="BTP2" s="88"/>
      <c r="BTQ2" s="88"/>
      <c r="BTR2" s="88"/>
      <c r="BTS2" s="88"/>
      <c r="BTT2" s="88"/>
      <c r="BTU2" s="88"/>
      <c r="BTV2" s="88"/>
      <c r="BTW2" s="88"/>
      <c r="BTX2" s="88"/>
      <c r="BTY2" s="88"/>
      <c r="BTZ2" s="88"/>
      <c r="BUA2" s="88"/>
      <c r="BUB2" s="88"/>
      <c r="BUC2" s="88"/>
      <c r="BUD2" s="88"/>
      <c r="BUE2" s="88"/>
      <c r="BUF2" s="88"/>
      <c r="BUG2" s="88"/>
      <c r="BUH2" s="88"/>
      <c r="BUI2" s="88"/>
      <c r="BUJ2" s="88"/>
      <c r="BUK2" s="88"/>
      <c r="BUL2" s="88"/>
      <c r="BUM2" s="88"/>
      <c r="BUN2" s="88"/>
      <c r="BUO2" s="88"/>
      <c r="BUP2" s="88"/>
      <c r="BUQ2" s="88"/>
      <c r="BUR2" s="88"/>
      <c r="BUS2" s="88"/>
      <c r="BUT2" s="88"/>
      <c r="BUU2" s="88"/>
      <c r="BUV2" s="88"/>
      <c r="BUW2" s="88"/>
      <c r="BUX2" s="88"/>
      <c r="BUY2" s="88"/>
      <c r="BUZ2" s="88"/>
      <c r="BVA2" s="88"/>
      <c r="BVB2" s="88"/>
      <c r="BVC2" s="88"/>
      <c r="BVD2" s="88"/>
      <c r="BVE2" s="88"/>
      <c r="BVF2" s="88"/>
      <c r="BVG2" s="88"/>
      <c r="BVH2" s="88"/>
      <c r="BVI2" s="88"/>
      <c r="BVJ2" s="88"/>
      <c r="BVK2" s="88"/>
      <c r="BVL2" s="88"/>
      <c r="BVM2" s="88"/>
      <c r="BVN2" s="88"/>
      <c r="BVO2" s="88"/>
      <c r="BVP2" s="88"/>
      <c r="BVQ2" s="88"/>
      <c r="BVR2" s="88"/>
      <c r="BVS2" s="88"/>
      <c r="BVT2" s="88"/>
      <c r="BVU2" s="88"/>
      <c r="BVV2" s="88"/>
      <c r="BVW2" s="88"/>
      <c r="BVX2" s="88"/>
      <c r="BVY2" s="88"/>
      <c r="BVZ2" s="88"/>
      <c r="BWA2" s="88"/>
      <c r="BWB2" s="88"/>
      <c r="BWC2" s="88"/>
      <c r="BWD2" s="88"/>
      <c r="BWE2" s="88"/>
      <c r="BWF2" s="88"/>
      <c r="BWG2" s="88"/>
      <c r="BWH2" s="88"/>
      <c r="BWI2" s="88"/>
      <c r="BWJ2" s="88"/>
      <c r="BWK2" s="88"/>
      <c r="BWL2" s="88"/>
      <c r="BWM2" s="88"/>
      <c r="BWN2" s="88"/>
      <c r="BWO2" s="88"/>
      <c r="BWP2" s="88"/>
      <c r="BWQ2" s="88"/>
      <c r="BWR2" s="88"/>
      <c r="BWS2" s="88"/>
      <c r="BWT2" s="88"/>
      <c r="BWU2" s="88"/>
      <c r="BWV2" s="88"/>
      <c r="BWW2" s="88"/>
      <c r="BWX2" s="88"/>
      <c r="BWY2" s="88"/>
      <c r="BWZ2" s="88"/>
      <c r="BXA2" s="88"/>
      <c r="BXB2" s="88"/>
      <c r="BXC2" s="88"/>
      <c r="BXD2" s="88"/>
      <c r="BXE2" s="88"/>
      <c r="BXF2" s="88"/>
      <c r="BXG2" s="88"/>
      <c r="BXH2" s="88"/>
      <c r="BXI2" s="88"/>
      <c r="BXJ2" s="88"/>
      <c r="BXK2" s="88"/>
      <c r="BXL2" s="88"/>
      <c r="BXM2" s="88"/>
      <c r="BXN2" s="88"/>
      <c r="BXO2" s="88"/>
      <c r="BXP2" s="88"/>
      <c r="BXQ2" s="88"/>
      <c r="BXR2" s="88"/>
      <c r="BXS2" s="88"/>
      <c r="BXT2" s="88"/>
      <c r="BXU2" s="88"/>
      <c r="BXV2" s="88"/>
      <c r="BXW2" s="88"/>
      <c r="BXX2" s="88"/>
      <c r="BXY2" s="88"/>
      <c r="BXZ2" s="88"/>
      <c r="BYA2" s="88"/>
      <c r="BYB2" s="88"/>
      <c r="BYC2" s="88"/>
      <c r="BYD2" s="88"/>
      <c r="BYE2" s="88"/>
      <c r="BYF2" s="88"/>
      <c r="BYG2" s="88"/>
      <c r="BYH2" s="88"/>
      <c r="BYI2" s="88"/>
      <c r="BYJ2" s="88"/>
      <c r="BYK2" s="88"/>
      <c r="BYL2" s="88"/>
      <c r="BYM2" s="88"/>
      <c r="BYN2" s="88"/>
      <c r="BYO2" s="88"/>
      <c r="BYP2" s="88"/>
      <c r="BYQ2" s="88"/>
      <c r="BYR2" s="88"/>
      <c r="BYS2" s="88"/>
      <c r="BYT2" s="88"/>
      <c r="BYU2" s="88"/>
      <c r="BYV2" s="88"/>
      <c r="BYW2" s="88"/>
      <c r="BYX2" s="88"/>
      <c r="BYY2" s="88"/>
      <c r="BYZ2" s="88"/>
      <c r="BZA2" s="88"/>
      <c r="BZB2" s="88"/>
      <c r="BZC2" s="88"/>
      <c r="BZD2" s="88"/>
      <c r="BZE2" s="88"/>
      <c r="BZF2" s="88"/>
      <c r="BZG2" s="88"/>
      <c r="BZH2" s="88"/>
      <c r="BZI2" s="88"/>
      <c r="BZJ2" s="88"/>
      <c r="BZK2" s="88"/>
      <c r="BZL2" s="88"/>
      <c r="BZM2" s="88"/>
      <c r="BZN2" s="88"/>
      <c r="BZO2" s="88"/>
      <c r="BZP2" s="88"/>
      <c r="BZQ2" s="88"/>
      <c r="BZR2" s="88"/>
      <c r="BZS2" s="88"/>
      <c r="BZT2" s="88"/>
      <c r="BZU2" s="88"/>
      <c r="BZV2" s="88"/>
      <c r="BZW2" s="88"/>
      <c r="BZX2" s="88"/>
      <c r="BZY2" s="88"/>
      <c r="BZZ2" s="88"/>
      <c r="CAA2" s="88"/>
      <c r="CAB2" s="88"/>
      <c r="CAC2" s="88"/>
      <c r="CAD2" s="88"/>
      <c r="CAE2" s="88"/>
      <c r="CAF2" s="88"/>
      <c r="CAG2" s="88"/>
      <c r="CAH2" s="88"/>
      <c r="CAI2" s="88"/>
      <c r="CAJ2" s="88"/>
      <c r="CAK2" s="88"/>
      <c r="CAL2" s="88"/>
      <c r="CAM2" s="88"/>
      <c r="CAN2" s="88"/>
      <c r="CAO2" s="88"/>
      <c r="CAP2" s="88"/>
      <c r="CAQ2" s="88"/>
      <c r="CAR2" s="88"/>
      <c r="CAS2" s="88"/>
      <c r="CAT2" s="88"/>
      <c r="CAU2" s="88"/>
      <c r="CAV2" s="88"/>
      <c r="CAW2" s="88"/>
      <c r="CAX2" s="88"/>
      <c r="CAY2" s="88"/>
      <c r="CAZ2" s="88"/>
      <c r="CBA2" s="88"/>
      <c r="CBB2" s="88"/>
      <c r="CBC2" s="88"/>
      <c r="CBD2" s="88"/>
      <c r="CBE2" s="88"/>
      <c r="CBF2" s="88"/>
      <c r="CBG2" s="88"/>
      <c r="CBH2" s="88"/>
      <c r="CBI2" s="88"/>
      <c r="CBJ2" s="88"/>
      <c r="CBK2" s="88"/>
      <c r="CBL2" s="88"/>
      <c r="CBM2" s="88"/>
      <c r="CBN2" s="88"/>
      <c r="CBO2" s="88"/>
      <c r="CBP2" s="88"/>
      <c r="CBQ2" s="88"/>
      <c r="CBR2" s="88"/>
      <c r="CBS2" s="88"/>
      <c r="CBT2" s="88"/>
      <c r="CBU2" s="88"/>
      <c r="CBV2" s="88"/>
      <c r="CBW2" s="88"/>
      <c r="CBX2" s="88"/>
      <c r="CBY2" s="88"/>
      <c r="CBZ2" s="88"/>
      <c r="CCA2" s="88"/>
      <c r="CCB2" s="88"/>
      <c r="CCC2" s="88"/>
      <c r="CCD2" s="88"/>
      <c r="CCE2" s="88"/>
      <c r="CCF2" s="88"/>
      <c r="CCG2" s="88"/>
      <c r="CCH2" s="88"/>
      <c r="CCI2" s="88"/>
      <c r="CCJ2" s="88"/>
      <c r="CCK2" s="88"/>
      <c r="CCL2" s="88"/>
      <c r="CCM2" s="88"/>
      <c r="CCN2" s="88"/>
      <c r="CCO2" s="88"/>
      <c r="CCP2" s="88"/>
      <c r="CCQ2" s="88"/>
      <c r="CCR2" s="88"/>
      <c r="CCS2" s="88"/>
      <c r="CCT2" s="88"/>
      <c r="CCU2" s="88"/>
      <c r="CCV2" s="88"/>
      <c r="CCW2" s="88"/>
      <c r="CCX2" s="88"/>
      <c r="CCY2" s="88"/>
      <c r="CCZ2" s="88"/>
      <c r="CDA2" s="88"/>
      <c r="CDB2" s="88"/>
      <c r="CDC2" s="88"/>
      <c r="CDD2" s="88"/>
      <c r="CDE2" s="88"/>
      <c r="CDF2" s="88"/>
      <c r="CDG2" s="88"/>
      <c r="CDH2" s="88"/>
      <c r="CDI2" s="88"/>
      <c r="CDJ2" s="88"/>
      <c r="CDK2" s="88"/>
      <c r="CDL2" s="88"/>
      <c r="CDM2" s="88"/>
      <c r="CDN2" s="88"/>
      <c r="CDO2" s="88"/>
      <c r="CDP2" s="88"/>
      <c r="CDQ2" s="88"/>
      <c r="CDR2" s="88"/>
      <c r="CDS2" s="88"/>
      <c r="CDT2" s="88"/>
      <c r="CDU2" s="88"/>
      <c r="CDV2" s="88"/>
      <c r="CDW2" s="88"/>
      <c r="CDX2" s="88"/>
      <c r="CDY2" s="88"/>
      <c r="CDZ2" s="88"/>
      <c r="CEA2" s="88"/>
      <c r="CEB2" s="88"/>
      <c r="CEC2" s="88"/>
      <c r="CED2" s="88"/>
      <c r="CEE2" s="88"/>
      <c r="CEF2" s="88"/>
      <c r="CEG2" s="88"/>
      <c r="CEH2" s="88"/>
      <c r="CEI2" s="88"/>
      <c r="CEJ2" s="88"/>
      <c r="CEK2" s="88"/>
      <c r="CEL2" s="88"/>
      <c r="CEM2" s="88"/>
      <c r="CEN2" s="88"/>
      <c r="CEO2" s="88"/>
      <c r="CEP2" s="88"/>
      <c r="CEQ2" s="88"/>
      <c r="CER2" s="88"/>
      <c r="CES2" s="88"/>
      <c r="CET2" s="88"/>
      <c r="CEU2" s="88"/>
      <c r="CEV2" s="88"/>
      <c r="CEW2" s="88"/>
      <c r="CEX2" s="88"/>
      <c r="CEY2" s="88"/>
      <c r="CEZ2" s="88"/>
      <c r="CFA2" s="88"/>
      <c r="CFB2" s="88"/>
      <c r="CFC2" s="88"/>
      <c r="CFD2" s="88"/>
      <c r="CFE2" s="88"/>
      <c r="CFF2" s="88"/>
      <c r="CFG2" s="88"/>
      <c r="CFH2" s="88"/>
      <c r="CFI2" s="88"/>
      <c r="CFJ2" s="88"/>
      <c r="CFK2" s="88"/>
      <c r="CFL2" s="88"/>
      <c r="CFM2" s="88"/>
      <c r="CFN2" s="88"/>
      <c r="CFO2" s="88"/>
      <c r="CFP2" s="88"/>
      <c r="CFQ2" s="88"/>
      <c r="CFR2" s="88"/>
      <c r="CFS2" s="88"/>
      <c r="CFT2" s="88"/>
      <c r="CFU2" s="88"/>
      <c r="CFV2" s="88"/>
      <c r="CFW2" s="88"/>
      <c r="CFX2" s="88"/>
      <c r="CFY2" s="88"/>
      <c r="CFZ2" s="88"/>
      <c r="CGA2" s="88"/>
      <c r="CGB2" s="88"/>
      <c r="CGC2" s="88"/>
      <c r="CGD2" s="88"/>
      <c r="CGE2" s="88"/>
      <c r="CGF2" s="88"/>
      <c r="CGG2" s="88"/>
      <c r="CGH2" s="88"/>
      <c r="CGI2" s="88"/>
      <c r="CGJ2" s="88"/>
      <c r="CGK2" s="88"/>
      <c r="CGL2" s="88"/>
      <c r="CGM2" s="88"/>
      <c r="CGN2" s="88"/>
      <c r="CGO2" s="88"/>
      <c r="CGP2" s="88"/>
      <c r="CGQ2" s="88"/>
      <c r="CGR2" s="88"/>
      <c r="CGS2" s="88"/>
      <c r="CGT2" s="88"/>
      <c r="CGU2" s="88"/>
      <c r="CGV2" s="88"/>
      <c r="CGW2" s="88"/>
      <c r="CGX2" s="88"/>
      <c r="CGY2" s="88"/>
      <c r="CGZ2" s="88"/>
      <c r="CHA2" s="88"/>
      <c r="CHB2" s="88"/>
      <c r="CHC2" s="88"/>
      <c r="CHD2" s="88"/>
      <c r="CHE2" s="88"/>
      <c r="CHF2" s="88"/>
      <c r="CHG2" s="88"/>
      <c r="CHH2" s="88"/>
      <c r="CHI2" s="88"/>
      <c r="CHJ2" s="88"/>
      <c r="CHK2" s="88"/>
      <c r="CHL2" s="88"/>
      <c r="CHM2" s="88"/>
      <c r="CHN2" s="88"/>
      <c r="CHO2" s="88"/>
      <c r="CHP2" s="88"/>
      <c r="CHQ2" s="88"/>
      <c r="CHR2" s="88"/>
      <c r="CHS2" s="88"/>
      <c r="CHT2" s="88"/>
      <c r="CHU2" s="88"/>
      <c r="CHV2" s="88"/>
      <c r="CHW2" s="88"/>
      <c r="CHX2" s="88"/>
      <c r="CHY2" s="88"/>
      <c r="CHZ2" s="88"/>
      <c r="CIA2" s="88"/>
      <c r="CIB2" s="88"/>
      <c r="CIC2" s="88"/>
      <c r="CID2" s="88"/>
      <c r="CIE2" s="88"/>
      <c r="CIF2" s="88"/>
      <c r="CIG2" s="88"/>
      <c r="CIH2" s="88"/>
      <c r="CII2" s="88"/>
      <c r="CIJ2" s="88"/>
      <c r="CIK2" s="88"/>
      <c r="CIL2" s="88"/>
      <c r="CIM2" s="88"/>
      <c r="CIN2" s="88"/>
      <c r="CIO2" s="88"/>
      <c r="CIP2" s="88"/>
      <c r="CIQ2" s="88"/>
      <c r="CIR2" s="88"/>
      <c r="CIS2" s="88"/>
      <c r="CIT2" s="88"/>
      <c r="CIU2" s="88"/>
      <c r="CIV2" s="88"/>
      <c r="CIW2" s="88"/>
      <c r="CIX2" s="88"/>
      <c r="CIY2" s="88"/>
      <c r="CIZ2" s="88"/>
      <c r="CJA2" s="88"/>
      <c r="CJB2" s="88"/>
      <c r="CJC2" s="88"/>
      <c r="CJD2" s="88"/>
      <c r="CJE2" s="88"/>
      <c r="CJF2" s="88"/>
      <c r="CJG2" s="88"/>
      <c r="CJH2" s="88"/>
      <c r="CJI2" s="88"/>
      <c r="CJJ2" s="88"/>
      <c r="CJK2" s="88"/>
      <c r="CJL2" s="88"/>
      <c r="CJM2" s="88"/>
      <c r="CJN2" s="88"/>
      <c r="CJO2" s="88"/>
      <c r="CJP2" s="88"/>
      <c r="CJQ2" s="88"/>
      <c r="CJR2" s="88"/>
      <c r="CJS2" s="88"/>
      <c r="CJT2" s="88"/>
      <c r="CJU2" s="88"/>
      <c r="CJV2" s="88"/>
      <c r="CJW2" s="88"/>
      <c r="CJX2" s="88"/>
      <c r="CJY2" s="88"/>
      <c r="CJZ2" s="88"/>
      <c r="CKA2" s="88"/>
      <c r="CKB2" s="88"/>
      <c r="CKC2" s="88"/>
      <c r="CKD2" s="88"/>
      <c r="CKE2" s="88"/>
      <c r="CKF2" s="88"/>
      <c r="CKG2" s="88"/>
      <c r="CKH2" s="88"/>
      <c r="CKI2" s="88"/>
      <c r="CKJ2" s="88"/>
      <c r="CKK2" s="88"/>
      <c r="CKL2" s="88"/>
      <c r="CKM2" s="88"/>
      <c r="CKN2" s="88"/>
      <c r="CKO2" s="88"/>
      <c r="CKP2" s="88"/>
      <c r="CKQ2" s="88"/>
      <c r="CKR2" s="88"/>
      <c r="CKS2" s="88"/>
      <c r="CKT2" s="88"/>
      <c r="CKU2" s="88"/>
      <c r="CKV2" s="88"/>
      <c r="CKW2" s="88"/>
      <c r="CKX2" s="88"/>
      <c r="CKY2" s="88"/>
      <c r="CKZ2" s="88"/>
      <c r="CLA2" s="88"/>
      <c r="CLB2" s="88"/>
      <c r="CLC2" s="88"/>
      <c r="CLD2" s="88"/>
      <c r="CLE2" s="88"/>
      <c r="CLF2" s="88"/>
      <c r="CLG2" s="88"/>
      <c r="CLH2" s="88"/>
      <c r="CLI2" s="88"/>
      <c r="CLJ2" s="88"/>
      <c r="CLK2" s="88"/>
      <c r="CLL2" s="88"/>
      <c r="CLM2" s="88"/>
      <c r="CLN2" s="88"/>
      <c r="CLO2" s="88"/>
      <c r="CLP2" s="88"/>
      <c r="CLQ2" s="88"/>
      <c r="CLR2" s="88"/>
      <c r="CLS2" s="88"/>
      <c r="CLT2" s="88"/>
      <c r="CLU2" s="88"/>
      <c r="CLV2" s="88"/>
      <c r="CLW2" s="88"/>
      <c r="CLX2" s="88"/>
      <c r="CLY2" s="88"/>
      <c r="CLZ2" s="88"/>
      <c r="CMA2" s="88"/>
      <c r="CMB2" s="88"/>
      <c r="CMC2" s="88"/>
      <c r="CMD2" s="88"/>
      <c r="CME2" s="88"/>
      <c r="CMF2" s="88"/>
      <c r="CMG2" s="88"/>
      <c r="CMH2" s="88"/>
      <c r="CMI2" s="88"/>
      <c r="CMJ2" s="88"/>
      <c r="CMK2" s="88"/>
      <c r="CML2" s="88"/>
      <c r="CMM2" s="88"/>
      <c r="CMN2" s="88"/>
      <c r="CMO2" s="88"/>
      <c r="CMP2" s="88"/>
      <c r="CMQ2" s="88"/>
      <c r="CMR2" s="88"/>
      <c r="CMS2" s="88"/>
      <c r="CMT2" s="88"/>
      <c r="CMU2" s="88"/>
      <c r="CMV2" s="88"/>
      <c r="CMW2" s="88"/>
      <c r="CMX2" s="88"/>
      <c r="CMY2" s="88"/>
      <c r="CMZ2" s="88"/>
      <c r="CNA2" s="88"/>
      <c r="CNB2" s="88"/>
      <c r="CNC2" s="88"/>
      <c r="CND2" s="88"/>
      <c r="CNE2" s="88"/>
      <c r="CNF2" s="88"/>
      <c r="CNG2" s="88"/>
      <c r="CNH2" s="88"/>
      <c r="CNI2" s="88"/>
      <c r="CNJ2" s="88"/>
      <c r="CNK2" s="88"/>
      <c r="CNL2" s="88"/>
      <c r="CNM2" s="88"/>
      <c r="CNN2" s="88"/>
      <c r="CNO2" s="88"/>
      <c r="CNP2" s="88"/>
      <c r="CNQ2" s="88"/>
      <c r="CNR2" s="88"/>
      <c r="CNS2" s="88"/>
      <c r="CNT2" s="88"/>
      <c r="CNU2" s="88"/>
      <c r="CNV2" s="88"/>
      <c r="CNW2" s="88"/>
      <c r="CNX2" s="88"/>
      <c r="CNY2" s="88"/>
      <c r="CNZ2" s="88"/>
      <c r="COA2" s="88"/>
      <c r="COB2" s="88"/>
      <c r="COC2" s="88"/>
      <c r="COD2" s="88"/>
      <c r="COE2" s="88"/>
      <c r="COF2" s="88"/>
      <c r="COG2" s="88"/>
      <c r="COH2" s="88"/>
      <c r="COI2" s="88"/>
      <c r="COJ2" s="88"/>
      <c r="COK2" s="88"/>
      <c r="COL2" s="88"/>
      <c r="COM2" s="88"/>
      <c r="CON2" s="88"/>
      <c r="COO2" s="88"/>
      <c r="COP2" s="88"/>
      <c r="COQ2" s="88"/>
      <c r="COR2" s="88"/>
      <c r="COS2" s="88"/>
      <c r="COT2" s="88"/>
      <c r="COU2" s="88"/>
      <c r="COV2" s="88"/>
      <c r="COW2" s="88"/>
      <c r="COX2" s="88"/>
      <c r="COY2" s="88"/>
      <c r="COZ2" s="88"/>
      <c r="CPA2" s="88"/>
      <c r="CPB2" s="88"/>
      <c r="CPC2" s="88"/>
      <c r="CPD2" s="88"/>
      <c r="CPE2" s="88"/>
      <c r="CPF2" s="88"/>
      <c r="CPG2" s="88"/>
      <c r="CPH2" s="88"/>
      <c r="CPI2" s="88"/>
      <c r="CPJ2" s="88"/>
      <c r="CPK2" s="88"/>
      <c r="CPL2" s="88"/>
      <c r="CPM2" s="88"/>
      <c r="CPN2" s="88"/>
      <c r="CPO2" s="88"/>
      <c r="CPP2" s="88"/>
      <c r="CPQ2" s="88"/>
      <c r="CPR2" s="88"/>
      <c r="CPS2" s="88"/>
      <c r="CPT2" s="88"/>
      <c r="CPU2" s="88"/>
      <c r="CPV2" s="88"/>
      <c r="CPW2" s="88"/>
      <c r="CPX2" s="88"/>
      <c r="CPY2" s="88"/>
      <c r="CPZ2" s="88"/>
      <c r="CQA2" s="88"/>
      <c r="CQB2" s="88"/>
      <c r="CQC2" s="88"/>
      <c r="CQD2" s="88"/>
      <c r="CQE2" s="88"/>
      <c r="CQF2" s="88"/>
      <c r="CQG2" s="88"/>
      <c r="CQH2" s="88"/>
      <c r="CQI2" s="88"/>
      <c r="CQJ2" s="88"/>
      <c r="CQK2" s="88"/>
      <c r="CQL2" s="88"/>
      <c r="CQM2" s="88"/>
      <c r="CQN2" s="88"/>
      <c r="CQO2" s="88"/>
      <c r="CQP2" s="88"/>
      <c r="CQQ2" s="88"/>
      <c r="CQR2" s="88"/>
      <c r="CQS2" s="88"/>
      <c r="CQT2" s="88"/>
      <c r="CQU2" s="88"/>
      <c r="CQV2" s="88"/>
      <c r="CQW2" s="88"/>
      <c r="CQX2" s="88"/>
      <c r="CQY2" s="88"/>
      <c r="CQZ2" s="88"/>
      <c r="CRA2" s="88"/>
      <c r="CRB2" s="88"/>
      <c r="CRC2" s="88"/>
      <c r="CRD2" s="88"/>
      <c r="CRE2" s="88"/>
      <c r="CRF2" s="88"/>
      <c r="CRG2" s="88"/>
      <c r="CRH2" s="88"/>
      <c r="CRI2" s="88"/>
      <c r="CRJ2" s="88"/>
      <c r="CRK2" s="88"/>
      <c r="CRL2" s="88"/>
      <c r="CRM2" s="88"/>
      <c r="CRN2" s="88"/>
      <c r="CRO2" s="88"/>
      <c r="CRP2" s="88"/>
      <c r="CRQ2" s="88"/>
      <c r="CRR2" s="88"/>
      <c r="CRS2" s="88"/>
      <c r="CRT2" s="88"/>
      <c r="CRU2" s="88"/>
      <c r="CRV2" s="88"/>
      <c r="CRW2" s="88"/>
      <c r="CRX2" s="88"/>
      <c r="CRY2" s="88"/>
      <c r="CRZ2" s="88"/>
      <c r="CSA2" s="88"/>
      <c r="CSB2" s="88"/>
      <c r="CSC2" s="88"/>
      <c r="CSD2" s="90"/>
    </row>
    <row r="3" spans="1:2526" ht="30" customHeight="1" x14ac:dyDescent="0.25">
      <c r="B3" s="96"/>
      <c r="C3" s="7" t="s">
        <v>0</v>
      </c>
      <c r="D3" s="140"/>
      <c r="E3" s="8" t="s">
        <v>39</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88"/>
      <c r="BLW3" s="88"/>
      <c r="BLX3" s="88"/>
      <c r="BLY3" s="88"/>
      <c r="BLZ3" s="88"/>
      <c r="BMA3" s="88"/>
      <c r="BMB3" s="88"/>
      <c r="BMC3" s="88"/>
      <c r="BMD3" s="88"/>
      <c r="BME3" s="88"/>
      <c r="BMF3" s="88"/>
      <c r="BMG3" s="88"/>
      <c r="BMH3" s="88"/>
      <c r="BMI3" s="88"/>
      <c r="BMJ3" s="88"/>
      <c r="BMK3" s="88"/>
      <c r="BML3" s="88"/>
      <c r="BMM3" s="88"/>
      <c r="BMN3" s="88"/>
      <c r="BMO3" s="88"/>
      <c r="BMP3" s="88"/>
      <c r="BMQ3" s="88"/>
      <c r="BMR3" s="88"/>
      <c r="BMS3" s="88"/>
      <c r="BMT3" s="88"/>
      <c r="BMU3" s="88"/>
      <c r="BMV3" s="88"/>
      <c r="BMW3" s="88"/>
      <c r="BMX3" s="88"/>
      <c r="BMY3" s="88"/>
      <c r="BMZ3" s="88"/>
      <c r="BNA3" s="88"/>
      <c r="BNB3" s="88"/>
      <c r="BNC3" s="88"/>
      <c r="BND3" s="88"/>
      <c r="BNE3" s="88"/>
      <c r="BNF3" s="88"/>
      <c r="BNG3" s="88"/>
      <c r="BNH3" s="88"/>
      <c r="BNI3" s="88"/>
      <c r="BNJ3" s="88"/>
      <c r="BNK3" s="88"/>
      <c r="BNL3" s="88"/>
      <c r="BNM3" s="88"/>
      <c r="BNN3" s="88"/>
      <c r="BNO3" s="88"/>
      <c r="BNP3" s="88"/>
      <c r="BNQ3" s="88"/>
      <c r="BNR3" s="88"/>
      <c r="BNS3" s="88"/>
      <c r="BNT3" s="88"/>
      <c r="BNU3" s="88"/>
      <c r="BNV3" s="88"/>
      <c r="BNW3" s="88"/>
      <c r="BNX3" s="88"/>
      <c r="BNY3" s="88"/>
      <c r="BNZ3" s="88"/>
      <c r="BOA3" s="88"/>
      <c r="BOB3" s="88"/>
      <c r="BOC3" s="88"/>
      <c r="BOD3" s="88"/>
      <c r="BOE3" s="88"/>
      <c r="BOF3" s="88"/>
      <c r="BOG3" s="88"/>
      <c r="BOH3" s="88"/>
      <c r="BOI3" s="88"/>
      <c r="BOJ3" s="88"/>
      <c r="BOK3" s="88"/>
      <c r="BOL3" s="88"/>
      <c r="BOM3" s="88"/>
      <c r="BON3" s="88"/>
      <c r="BOO3" s="88"/>
      <c r="BOP3" s="88"/>
      <c r="BOQ3" s="88"/>
      <c r="BOR3" s="88"/>
      <c r="BOS3" s="88"/>
      <c r="BOT3" s="88"/>
      <c r="BOU3" s="88"/>
      <c r="BOV3" s="88"/>
      <c r="BOW3" s="88"/>
      <c r="BOX3" s="88"/>
      <c r="BOY3" s="88"/>
      <c r="BOZ3" s="88"/>
      <c r="BPA3" s="88"/>
      <c r="BPB3" s="88"/>
      <c r="BPC3" s="88"/>
      <c r="BPD3" s="88"/>
      <c r="BPE3" s="88"/>
      <c r="BPF3" s="88"/>
      <c r="BPG3" s="88"/>
      <c r="BPH3" s="88"/>
      <c r="BPI3" s="88"/>
      <c r="BPJ3" s="88"/>
      <c r="BPK3" s="88"/>
      <c r="BPL3" s="88"/>
      <c r="BPM3" s="88"/>
      <c r="BPN3" s="88"/>
      <c r="BPO3" s="88"/>
      <c r="BPP3" s="88"/>
      <c r="BPQ3" s="88"/>
      <c r="BPR3" s="88"/>
      <c r="BPS3" s="88"/>
      <c r="BPT3" s="88"/>
      <c r="BPU3" s="88"/>
      <c r="BPV3" s="88"/>
      <c r="BPW3" s="88"/>
      <c r="BPX3" s="88"/>
      <c r="BPY3" s="88"/>
      <c r="BPZ3" s="88"/>
      <c r="BQA3" s="88"/>
      <c r="BQB3" s="88"/>
      <c r="BQC3" s="88"/>
      <c r="BQD3" s="88"/>
      <c r="BQE3" s="88"/>
      <c r="BQF3" s="88"/>
      <c r="BQG3" s="88"/>
      <c r="BQH3" s="88"/>
      <c r="BQI3" s="88"/>
      <c r="BQJ3" s="88"/>
      <c r="BQK3" s="88"/>
      <c r="BQL3" s="88"/>
      <c r="BQM3" s="88"/>
      <c r="BQN3" s="88"/>
      <c r="BQO3" s="88"/>
      <c r="BQP3" s="88"/>
      <c r="BQQ3" s="88"/>
      <c r="BQR3" s="88"/>
      <c r="BQS3" s="88"/>
      <c r="BQT3" s="88"/>
      <c r="BQU3" s="88"/>
      <c r="BQV3" s="88"/>
      <c r="BQW3" s="88"/>
      <c r="BQX3" s="88"/>
      <c r="BQY3" s="88"/>
      <c r="BQZ3" s="88"/>
      <c r="BRA3" s="88"/>
      <c r="BRB3" s="88"/>
      <c r="BRC3" s="88"/>
      <c r="BRD3" s="88"/>
      <c r="BRE3" s="88"/>
      <c r="BRF3" s="88"/>
      <c r="BRG3" s="88"/>
      <c r="BRH3" s="88"/>
      <c r="BRI3" s="88"/>
      <c r="BRJ3" s="88"/>
      <c r="BRK3" s="88"/>
      <c r="BRL3" s="88"/>
      <c r="BRM3" s="88"/>
      <c r="BRN3" s="88"/>
      <c r="BRO3" s="88"/>
      <c r="BRP3" s="88"/>
      <c r="BRQ3" s="88"/>
      <c r="BRR3" s="88"/>
      <c r="BRS3" s="88"/>
      <c r="BRT3" s="88"/>
      <c r="BRU3" s="88"/>
      <c r="BRV3" s="88"/>
      <c r="BRW3" s="88"/>
      <c r="BRX3" s="88"/>
      <c r="BRY3" s="88"/>
      <c r="BRZ3" s="88"/>
      <c r="BSA3" s="88"/>
      <c r="BSB3" s="88"/>
      <c r="BSC3" s="88"/>
      <c r="BSD3" s="88"/>
      <c r="BSE3" s="88"/>
      <c r="BSF3" s="88"/>
      <c r="BSG3" s="88"/>
      <c r="BSH3" s="88"/>
      <c r="BSI3" s="88"/>
      <c r="BSJ3" s="88"/>
      <c r="BSK3" s="88"/>
      <c r="BSL3" s="88"/>
      <c r="BSM3" s="88"/>
      <c r="BSN3" s="88"/>
      <c r="BSO3" s="88"/>
      <c r="BSP3" s="88"/>
      <c r="BSQ3" s="88"/>
      <c r="BSR3" s="88"/>
      <c r="BSS3" s="88"/>
      <c r="BST3" s="88"/>
      <c r="BSU3" s="88"/>
      <c r="BSV3" s="88"/>
      <c r="BSW3" s="88"/>
      <c r="BSX3" s="88"/>
      <c r="BSY3" s="88"/>
      <c r="BSZ3" s="88"/>
      <c r="BTA3" s="88"/>
      <c r="BTB3" s="88"/>
      <c r="BTC3" s="88"/>
      <c r="BTD3" s="88"/>
      <c r="BTE3" s="88"/>
      <c r="BTF3" s="88"/>
      <c r="BTG3" s="88"/>
      <c r="BTH3" s="88"/>
      <c r="BTI3" s="88"/>
      <c r="BTJ3" s="88"/>
      <c r="BTK3" s="88"/>
      <c r="BTL3" s="88"/>
      <c r="BTM3" s="88"/>
      <c r="BTN3" s="88"/>
      <c r="BTO3" s="88"/>
      <c r="BTP3" s="88"/>
      <c r="BTQ3" s="88"/>
      <c r="BTR3" s="88"/>
      <c r="BTS3" s="88"/>
      <c r="BTT3" s="88"/>
      <c r="BTU3" s="88"/>
      <c r="BTV3" s="88"/>
      <c r="BTW3" s="88"/>
      <c r="BTX3" s="88"/>
      <c r="BTY3" s="88"/>
      <c r="BTZ3" s="88"/>
      <c r="BUA3" s="88"/>
      <c r="BUB3" s="88"/>
      <c r="BUC3" s="88"/>
      <c r="BUD3" s="88"/>
      <c r="BUE3" s="88"/>
      <c r="BUF3" s="88"/>
      <c r="BUG3" s="88"/>
      <c r="BUH3" s="88"/>
      <c r="BUI3" s="88"/>
      <c r="BUJ3" s="88"/>
      <c r="BUK3" s="88"/>
      <c r="BUL3" s="88"/>
      <c r="BUM3" s="88"/>
      <c r="BUN3" s="88"/>
      <c r="BUO3" s="88"/>
      <c r="BUP3" s="88"/>
      <c r="BUQ3" s="88"/>
      <c r="BUR3" s="88"/>
      <c r="BUS3" s="88"/>
      <c r="BUT3" s="88"/>
      <c r="BUU3" s="88"/>
      <c r="BUV3" s="88"/>
      <c r="BUW3" s="88"/>
      <c r="BUX3" s="88"/>
      <c r="BUY3" s="88"/>
      <c r="BUZ3" s="88"/>
      <c r="BVA3" s="88"/>
      <c r="BVB3" s="88"/>
      <c r="BVC3" s="88"/>
      <c r="BVD3" s="88"/>
      <c r="BVE3" s="88"/>
      <c r="BVF3" s="88"/>
      <c r="BVG3" s="88"/>
      <c r="BVH3" s="88"/>
      <c r="BVI3" s="88"/>
      <c r="BVJ3" s="88"/>
      <c r="BVK3" s="88"/>
      <c r="BVL3" s="88"/>
      <c r="BVM3" s="88"/>
      <c r="BVN3" s="88"/>
      <c r="BVO3" s="88"/>
      <c r="BVP3" s="88"/>
      <c r="BVQ3" s="88"/>
      <c r="BVR3" s="88"/>
      <c r="BVS3" s="88"/>
      <c r="BVT3" s="88"/>
      <c r="BVU3" s="88"/>
      <c r="BVV3" s="88"/>
      <c r="BVW3" s="88"/>
      <c r="BVX3" s="88"/>
      <c r="BVY3" s="88"/>
      <c r="BVZ3" s="88"/>
      <c r="BWA3" s="88"/>
      <c r="BWB3" s="88"/>
      <c r="BWC3" s="88"/>
      <c r="BWD3" s="88"/>
      <c r="BWE3" s="88"/>
      <c r="BWF3" s="88"/>
      <c r="BWG3" s="88"/>
      <c r="BWH3" s="88"/>
      <c r="BWI3" s="88"/>
      <c r="BWJ3" s="88"/>
      <c r="BWK3" s="88"/>
      <c r="BWL3" s="88"/>
      <c r="BWM3" s="88"/>
      <c r="BWN3" s="88"/>
      <c r="BWO3" s="88"/>
      <c r="BWP3" s="88"/>
      <c r="BWQ3" s="88"/>
      <c r="BWR3" s="88"/>
      <c r="BWS3" s="88"/>
      <c r="BWT3" s="88"/>
      <c r="BWU3" s="88"/>
      <c r="BWV3" s="88"/>
      <c r="BWW3" s="88"/>
      <c r="BWX3" s="88"/>
      <c r="BWY3" s="88"/>
      <c r="BWZ3" s="88"/>
      <c r="BXA3" s="88"/>
      <c r="BXB3" s="88"/>
      <c r="BXC3" s="88"/>
      <c r="BXD3" s="88"/>
      <c r="BXE3" s="88"/>
      <c r="BXF3" s="88"/>
      <c r="BXG3" s="88"/>
      <c r="BXH3" s="88"/>
      <c r="BXI3" s="88"/>
      <c r="BXJ3" s="88"/>
      <c r="BXK3" s="88"/>
      <c r="BXL3" s="88"/>
      <c r="BXM3" s="88"/>
      <c r="BXN3" s="88"/>
      <c r="BXO3" s="88"/>
      <c r="BXP3" s="88"/>
      <c r="BXQ3" s="88"/>
      <c r="BXR3" s="88"/>
      <c r="BXS3" s="88"/>
      <c r="BXT3" s="88"/>
      <c r="BXU3" s="88"/>
      <c r="BXV3" s="88"/>
      <c r="BXW3" s="88"/>
      <c r="BXX3" s="88"/>
      <c r="BXY3" s="88"/>
      <c r="BXZ3" s="88"/>
      <c r="BYA3" s="88"/>
      <c r="BYB3" s="88"/>
      <c r="BYC3" s="88"/>
      <c r="BYD3" s="88"/>
      <c r="BYE3" s="88"/>
      <c r="BYF3" s="88"/>
      <c r="BYG3" s="88"/>
      <c r="BYH3" s="88"/>
      <c r="BYI3" s="88"/>
      <c r="BYJ3" s="88"/>
      <c r="BYK3" s="88"/>
      <c r="BYL3" s="88"/>
      <c r="BYM3" s="88"/>
      <c r="BYN3" s="88"/>
      <c r="BYO3" s="88"/>
      <c r="BYP3" s="88"/>
      <c r="BYQ3" s="88"/>
      <c r="BYR3" s="88"/>
      <c r="BYS3" s="88"/>
      <c r="BYT3" s="88"/>
      <c r="BYU3" s="88"/>
      <c r="BYV3" s="88"/>
      <c r="BYW3" s="88"/>
      <c r="BYX3" s="88"/>
      <c r="BYY3" s="88"/>
      <c r="BYZ3" s="88"/>
      <c r="BZA3" s="88"/>
      <c r="BZB3" s="88"/>
      <c r="BZC3" s="88"/>
      <c r="BZD3" s="88"/>
      <c r="BZE3" s="88"/>
      <c r="BZF3" s="88"/>
      <c r="BZG3" s="88"/>
      <c r="BZH3" s="88"/>
      <c r="BZI3" s="88"/>
      <c r="BZJ3" s="88"/>
      <c r="BZK3" s="88"/>
      <c r="BZL3" s="88"/>
      <c r="BZM3" s="88"/>
      <c r="BZN3" s="88"/>
      <c r="BZO3" s="88"/>
      <c r="BZP3" s="88"/>
      <c r="BZQ3" s="88"/>
      <c r="BZR3" s="88"/>
      <c r="BZS3" s="88"/>
      <c r="BZT3" s="88"/>
      <c r="BZU3" s="88"/>
      <c r="BZV3" s="88"/>
      <c r="BZW3" s="88"/>
      <c r="BZX3" s="88"/>
      <c r="BZY3" s="88"/>
      <c r="BZZ3" s="88"/>
      <c r="CAA3" s="88"/>
      <c r="CAB3" s="88"/>
      <c r="CAC3" s="88"/>
      <c r="CAD3" s="88"/>
      <c r="CAE3" s="88"/>
      <c r="CAF3" s="88"/>
      <c r="CAG3" s="88"/>
      <c r="CAH3" s="88"/>
      <c r="CAI3" s="88"/>
      <c r="CAJ3" s="88"/>
      <c r="CAK3" s="88"/>
      <c r="CAL3" s="88"/>
      <c r="CAM3" s="88"/>
      <c r="CAN3" s="88"/>
      <c r="CAO3" s="88"/>
      <c r="CAP3" s="88"/>
      <c r="CAQ3" s="88"/>
      <c r="CAR3" s="88"/>
      <c r="CAS3" s="88"/>
      <c r="CAT3" s="88"/>
      <c r="CAU3" s="88"/>
      <c r="CAV3" s="88"/>
      <c r="CAW3" s="88"/>
      <c r="CAX3" s="88"/>
      <c r="CAY3" s="88"/>
      <c r="CAZ3" s="88"/>
      <c r="CBA3" s="88"/>
      <c r="CBB3" s="88"/>
      <c r="CBC3" s="88"/>
      <c r="CBD3" s="88"/>
      <c r="CBE3" s="88"/>
      <c r="CBF3" s="88"/>
      <c r="CBG3" s="88"/>
      <c r="CBH3" s="88"/>
      <c r="CBI3" s="88"/>
      <c r="CBJ3" s="88"/>
      <c r="CBK3" s="88"/>
      <c r="CBL3" s="88"/>
      <c r="CBM3" s="88"/>
      <c r="CBN3" s="88"/>
      <c r="CBO3" s="88"/>
      <c r="CBP3" s="88"/>
      <c r="CBQ3" s="88"/>
      <c r="CBR3" s="88"/>
      <c r="CBS3" s="88"/>
      <c r="CBT3" s="88"/>
      <c r="CBU3" s="88"/>
      <c r="CBV3" s="88"/>
      <c r="CBW3" s="88"/>
      <c r="CBX3" s="88"/>
      <c r="CBY3" s="88"/>
      <c r="CBZ3" s="88"/>
      <c r="CCA3" s="88"/>
      <c r="CCB3" s="88"/>
      <c r="CCC3" s="88"/>
      <c r="CCD3" s="88"/>
      <c r="CCE3" s="88"/>
      <c r="CCF3" s="88"/>
      <c r="CCG3" s="88"/>
      <c r="CCH3" s="88"/>
      <c r="CCI3" s="88"/>
      <c r="CCJ3" s="88"/>
      <c r="CCK3" s="88"/>
      <c r="CCL3" s="88"/>
      <c r="CCM3" s="88"/>
      <c r="CCN3" s="88"/>
      <c r="CCO3" s="88"/>
      <c r="CCP3" s="88"/>
      <c r="CCQ3" s="88"/>
      <c r="CCR3" s="88"/>
      <c r="CCS3" s="88"/>
      <c r="CCT3" s="88"/>
      <c r="CCU3" s="88"/>
      <c r="CCV3" s="88"/>
      <c r="CCW3" s="88"/>
      <c r="CCX3" s="88"/>
      <c r="CCY3" s="88"/>
      <c r="CCZ3" s="88"/>
      <c r="CDA3" s="88"/>
      <c r="CDB3" s="88"/>
      <c r="CDC3" s="88"/>
      <c r="CDD3" s="88"/>
      <c r="CDE3" s="88"/>
      <c r="CDF3" s="88"/>
      <c r="CDG3" s="88"/>
      <c r="CDH3" s="88"/>
      <c r="CDI3" s="88"/>
      <c r="CDJ3" s="88"/>
      <c r="CDK3" s="88"/>
      <c r="CDL3" s="88"/>
      <c r="CDM3" s="88"/>
      <c r="CDN3" s="88"/>
      <c r="CDO3" s="88"/>
      <c r="CDP3" s="88"/>
      <c r="CDQ3" s="88"/>
      <c r="CDR3" s="88"/>
      <c r="CDS3" s="88"/>
      <c r="CDT3" s="88"/>
      <c r="CDU3" s="88"/>
      <c r="CDV3" s="88"/>
      <c r="CDW3" s="88"/>
      <c r="CDX3" s="88"/>
      <c r="CDY3" s="88"/>
      <c r="CDZ3" s="88"/>
      <c r="CEA3" s="88"/>
      <c r="CEB3" s="88"/>
      <c r="CEC3" s="88"/>
      <c r="CED3" s="88"/>
      <c r="CEE3" s="88"/>
      <c r="CEF3" s="88"/>
      <c r="CEG3" s="88"/>
      <c r="CEH3" s="88"/>
      <c r="CEI3" s="88"/>
      <c r="CEJ3" s="88"/>
      <c r="CEK3" s="88"/>
      <c r="CEL3" s="88"/>
      <c r="CEM3" s="88"/>
      <c r="CEN3" s="88"/>
      <c r="CEO3" s="88"/>
      <c r="CEP3" s="88"/>
      <c r="CEQ3" s="88"/>
      <c r="CER3" s="88"/>
      <c r="CES3" s="88"/>
      <c r="CET3" s="88"/>
      <c r="CEU3" s="88"/>
      <c r="CEV3" s="88"/>
      <c r="CEW3" s="88"/>
      <c r="CEX3" s="88"/>
      <c r="CEY3" s="88"/>
      <c r="CEZ3" s="88"/>
      <c r="CFA3" s="88"/>
      <c r="CFB3" s="88"/>
      <c r="CFC3" s="88"/>
      <c r="CFD3" s="88"/>
      <c r="CFE3" s="88"/>
      <c r="CFF3" s="88"/>
      <c r="CFG3" s="88"/>
      <c r="CFH3" s="88"/>
      <c r="CFI3" s="88"/>
      <c r="CFJ3" s="88"/>
      <c r="CFK3" s="88"/>
      <c r="CFL3" s="88"/>
      <c r="CFM3" s="88"/>
      <c r="CFN3" s="88"/>
      <c r="CFO3" s="88"/>
      <c r="CFP3" s="88"/>
      <c r="CFQ3" s="88"/>
      <c r="CFR3" s="88"/>
      <c r="CFS3" s="88"/>
      <c r="CFT3" s="88"/>
      <c r="CFU3" s="88"/>
      <c r="CFV3" s="88"/>
      <c r="CFW3" s="88"/>
      <c r="CFX3" s="88"/>
      <c r="CFY3" s="88"/>
      <c r="CFZ3" s="88"/>
      <c r="CGA3" s="88"/>
      <c r="CGB3" s="88"/>
      <c r="CGC3" s="88"/>
      <c r="CGD3" s="88"/>
      <c r="CGE3" s="88"/>
      <c r="CGF3" s="88"/>
      <c r="CGG3" s="88"/>
      <c r="CGH3" s="88"/>
      <c r="CGI3" s="88"/>
      <c r="CGJ3" s="88"/>
      <c r="CGK3" s="88"/>
      <c r="CGL3" s="88"/>
      <c r="CGM3" s="88"/>
      <c r="CGN3" s="88"/>
      <c r="CGO3" s="88"/>
      <c r="CGP3" s="88"/>
      <c r="CGQ3" s="88"/>
      <c r="CGR3" s="88"/>
      <c r="CGS3" s="88"/>
      <c r="CGT3" s="88"/>
      <c r="CGU3" s="88"/>
      <c r="CGV3" s="88"/>
      <c r="CGW3" s="88"/>
      <c r="CGX3" s="88"/>
      <c r="CGY3" s="88"/>
      <c r="CGZ3" s="88"/>
      <c r="CHA3" s="88"/>
      <c r="CHB3" s="88"/>
      <c r="CHC3" s="88"/>
      <c r="CHD3" s="88"/>
      <c r="CHE3" s="88"/>
      <c r="CHF3" s="88"/>
      <c r="CHG3" s="88"/>
      <c r="CHH3" s="88"/>
      <c r="CHI3" s="88"/>
      <c r="CHJ3" s="88"/>
      <c r="CHK3" s="88"/>
      <c r="CHL3" s="88"/>
      <c r="CHM3" s="88"/>
      <c r="CHN3" s="88"/>
      <c r="CHO3" s="88"/>
      <c r="CHP3" s="88"/>
      <c r="CHQ3" s="88"/>
      <c r="CHR3" s="88"/>
      <c r="CHS3" s="88"/>
      <c r="CHT3" s="88"/>
      <c r="CHU3" s="88"/>
      <c r="CHV3" s="88"/>
      <c r="CHW3" s="88"/>
      <c r="CHX3" s="88"/>
      <c r="CHY3" s="88"/>
      <c r="CHZ3" s="88"/>
      <c r="CIA3" s="88"/>
      <c r="CIB3" s="88"/>
      <c r="CIC3" s="88"/>
      <c r="CID3" s="88"/>
      <c r="CIE3" s="88"/>
      <c r="CIF3" s="88"/>
      <c r="CIG3" s="88"/>
      <c r="CIH3" s="88"/>
      <c r="CII3" s="88"/>
      <c r="CIJ3" s="88"/>
      <c r="CIK3" s="88"/>
      <c r="CIL3" s="88"/>
      <c r="CIM3" s="88"/>
      <c r="CIN3" s="88"/>
      <c r="CIO3" s="88"/>
      <c r="CIP3" s="88"/>
      <c r="CIQ3" s="88"/>
      <c r="CIR3" s="88"/>
      <c r="CIS3" s="88"/>
      <c r="CIT3" s="88"/>
      <c r="CIU3" s="88"/>
      <c r="CIV3" s="88"/>
      <c r="CIW3" s="88"/>
      <c r="CIX3" s="88"/>
      <c r="CIY3" s="88"/>
      <c r="CIZ3" s="88"/>
      <c r="CJA3" s="88"/>
      <c r="CJB3" s="88"/>
      <c r="CJC3" s="88"/>
      <c r="CJD3" s="88"/>
      <c r="CJE3" s="88"/>
      <c r="CJF3" s="88"/>
      <c r="CJG3" s="88"/>
      <c r="CJH3" s="88"/>
      <c r="CJI3" s="88"/>
      <c r="CJJ3" s="88"/>
      <c r="CJK3" s="88"/>
      <c r="CJL3" s="88"/>
      <c r="CJM3" s="88"/>
      <c r="CJN3" s="88"/>
      <c r="CJO3" s="88"/>
      <c r="CJP3" s="88"/>
      <c r="CJQ3" s="88"/>
      <c r="CJR3" s="88"/>
      <c r="CJS3" s="88"/>
      <c r="CJT3" s="88"/>
      <c r="CJU3" s="88"/>
      <c r="CJV3" s="88"/>
      <c r="CJW3" s="88"/>
      <c r="CJX3" s="88"/>
      <c r="CJY3" s="88"/>
      <c r="CJZ3" s="88"/>
      <c r="CKA3" s="88"/>
      <c r="CKB3" s="88"/>
      <c r="CKC3" s="88"/>
      <c r="CKD3" s="88"/>
      <c r="CKE3" s="88"/>
      <c r="CKF3" s="88"/>
      <c r="CKG3" s="88"/>
      <c r="CKH3" s="88"/>
      <c r="CKI3" s="88"/>
      <c r="CKJ3" s="88"/>
      <c r="CKK3" s="88"/>
      <c r="CKL3" s="88"/>
      <c r="CKM3" s="88"/>
      <c r="CKN3" s="88"/>
      <c r="CKO3" s="88"/>
      <c r="CKP3" s="88"/>
      <c r="CKQ3" s="88"/>
      <c r="CKR3" s="88"/>
      <c r="CKS3" s="88"/>
      <c r="CKT3" s="88"/>
      <c r="CKU3" s="88"/>
      <c r="CKV3" s="88"/>
      <c r="CKW3" s="88"/>
      <c r="CKX3" s="88"/>
      <c r="CKY3" s="88"/>
      <c r="CKZ3" s="88"/>
      <c r="CLA3" s="88"/>
      <c r="CLB3" s="88"/>
      <c r="CLC3" s="88"/>
      <c r="CLD3" s="88"/>
      <c r="CLE3" s="88"/>
      <c r="CLF3" s="88"/>
      <c r="CLG3" s="88"/>
      <c r="CLH3" s="88"/>
      <c r="CLI3" s="88"/>
      <c r="CLJ3" s="88"/>
      <c r="CLK3" s="88"/>
      <c r="CLL3" s="88"/>
      <c r="CLM3" s="88"/>
      <c r="CLN3" s="88"/>
      <c r="CLO3" s="88"/>
      <c r="CLP3" s="88"/>
      <c r="CLQ3" s="88"/>
      <c r="CLR3" s="88"/>
      <c r="CLS3" s="88"/>
      <c r="CLT3" s="88"/>
      <c r="CLU3" s="88"/>
      <c r="CLV3" s="88"/>
      <c r="CLW3" s="88"/>
      <c r="CLX3" s="88"/>
      <c r="CLY3" s="88"/>
      <c r="CLZ3" s="88"/>
      <c r="CMA3" s="88"/>
      <c r="CMB3" s="88"/>
      <c r="CMC3" s="88"/>
      <c r="CMD3" s="88"/>
      <c r="CME3" s="88"/>
      <c r="CMF3" s="88"/>
      <c r="CMG3" s="88"/>
      <c r="CMH3" s="88"/>
      <c r="CMI3" s="88"/>
      <c r="CMJ3" s="88"/>
      <c r="CMK3" s="88"/>
      <c r="CML3" s="88"/>
      <c r="CMM3" s="88"/>
      <c r="CMN3" s="88"/>
      <c r="CMO3" s="88"/>
      <c r="CMP3" s="88"/>
      <c r="CMQ3" s="88"/>
      <c r="CMR3" s="88"/>
      <c r="CMS3" s="88"/>
      <c r="CMT3" s="88"/>
      <c r="CMU3" s="88"/>
      <c r="CMV3" s="88"/>
      <c r="CMW3" s="88"/>
      <c r="CMX3" s="88"/>
      <c r="CMY3" s="88"/>
      <c r="CMZ3" s="88"/>
      <c r="CNA3" s="88"/>
      <c r="CNB3" s="88"/>
      <c r="CNC3" s="88"/>
      <c r="CND3" s="88"/>
      <c r="CNE3" s="88"/>
      <c r="CNF3" s="88"/>
      <c r="CNG3" s="88"/>
      <c r="CNH3" s="88"/>
      <c r="CNI3" s="88"/>
      <c r="CNJ3" s="88"/>
      <c r="CNK3" s="88"/>
      <c r="CNL3" s="88"/>
      <c r="CNM3" s="88"/>
      <c r="CNN3" s="88"/>
      <c r="CNO3" s="88"/>
      <c r="CNP3" s="88"/>
      <c r="CNQ3" s="88"/>
      <c r="CNR3" s="88"/>
      <c r="CNS3" s="88"/>
      <c r="CNT3" s="88"/>
      <c r="CNU3" s="88"/>
      <c r="CNV3" s="88"/>
      <c r="CNW3" s="88"/>
      <c r="CNX3" s="88"/>
      <c r="CNY3" s="88"/>
      <c r="CNZ3" s="88"/>
      <c r="COA3" s="88"/>
      <c r="COB3" s="88"/>
      <c r="COC3" s="88"/>
      <c r="COD3" s="88"/>
      <c r="COE3" s="88"/>
      <c r="COF3" s="88"/>
      <c r="COG3" s="88"/>
      <c r="COH3" s="88"/>
      <c r="COI3" s="88"/>
      <c r="COJ3" s="88"/>
      <c r="COK3" s="88"/>
      <c r="COL3" s="88"/>
      <c r="COM3" s="88"/>
      <c r="CON3" s="88"/>
      <c r="COO3" s="88"/>
      <c r="COP3" s="88"/>
      <c r="COQ3" s="88"/>
      <c r="COR3" s="88"/>
      <c r="COS3" s="88"/>
      <c r="COT3" s="88"/>
      <c r="COU3" s="88"/>
      <c r="COV3" s="88"/>
      <c r="COW3" s="88"/>
      <c r="COX3" s="88"/>
      <c r="COY3" s="88"/>
      <c r="COZ3" s="88"/>
      <c r="CPA3" s="88"/>
      <c r="CPB3" s="88"/>
      <c r="CPC3" s="88"/>
      <c r="CPD3" s="88"/>
      <c r="CPE3" s="88"/>
      <c r="CPF3" s="88"/>
      <c r="CPG3" s="88"/>
      <c r="CPH3" s="88"/>
      <c r="CPI3" s="88"/>
      <c r="CPJ3" s="88"/>
      <c r="CPK3" s="88"/>
      <c r="CPL3" s="88"/>
      <c r="CPM3" s="88"/>
      <c r="CPN3" s="88"/>
      <c r="CPO3" s="88"/>
      <c r="CPP3" s="88"/>
      <c r="CPQ3" s="88"/>
      <c r="CPR3" s="88"/>
      <c r="CPS3" s="88"/>
      <c r="CPT3" s="88"/>
      <c r="CPU3" s="88"/>
      <c r="CPV3" s="88"/>
      <c r="CPW3" s="88"/>
      <c r="CPX3" s="88"/>
      <c r="CPY3" s="88"/>
      <c r="CPZ3" s="88"/>
      <c r="CQA3" s="88"/>
      <c r="CQB3" s="88"/>
      <c r="CQC3" s="88"/>
      <c r="CQD3" s="88"/>
      <c r="CQE3" s="88"/>
      <c r="CQF3" s="88"/>
      <c r="CQG3" s="88"/>
      <c r="CQH3" s="88"/>
      <c r="CQI3" s="88"/>
      <c r="CQJ3" s="88"/>
      <c r="CQK3" s="88"/>
      <c r="CQL3" s="88"/>
      <c r="CQM3" s="88"/>
      <c r="CQN3" s="88"/>
      <c r="CQO3" s="88"/>
      <c r="CQP3" s="88"/>
      <c r="CQQ3" s="88"/>
      <c r="CQR3" s="88"/>
      <c r="CQS3" s="88"/>
      <c r="CQT3" s="88"/>
      <c r="CQU3" s="88"/>
      <c r="CQV3" s="88"/>
      <c r="CQW3" s="88"/>
      <c r="CQX3" s="88"/>
      <c r="CQY3" s="88"/>
      <c r="CQZ3" s="88"/>
      <c r="CRA3" s="88"/>
      <c r="CRB3" s="88"/>
      <c r="CRC3" s="88"/>
      <c r="CRD3" s="88"/>
      <c r="CRE3" s="88"/>
      <c r="CRF3" s="88"/>
      <c r="CRG3" s="88"/>
      <c r="CRH3" s="88"/>
      <c r="CRI3" s="88"/>
      <c r="CRJ3" s="88"/>
      <c r="CRK3" s="88"/>
      <c r="CRL3" s="88"/>
      <c r="CRM3" s="88"/>
      <c r="CRN3" s="88"/>
      <c r="CRO3" s="88"/>
      <c r="CRP3" s="88"/>
      <c r="CRQ3" s="88"/>
      <c r="CRR3" s="88"/>
      <c r="CRS3" s="88"/>
      <c r="CRT3" s="88"/>
      <c r="CRU3" s="88"/>
      <c r="CRV3" s="88"/>
      <c r="CRW3" s="88"/>
      <c r="CRX3" s="88"/>
      <c r="CRY3" s="88"/>
      <c r="CRZ3" s="88"/>
      <c r="CSA3" s="88"/>
      <c r="CSB3" s="88"/>
      <c r="CSC3" s="88"/>
      <c r="CSD3" s="90"/>
    </row>
    <row r="4" spans="1:2526" ht="30" customHeight="1" x14ac:dyDescent="0.25">
      <c r="B4" s="96"/>
      <c r="C4" s="12" t="s">
        <v>6</v>
      </c>
      <c r="D4" s="141"/>
      <c r="E4" s="13" t="s">
        <v>62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88"/>
      <c r="BLW4" s="88"/>
      <c r="BLX4" s="88"/>
      <c r="BLY4" s="88"/>
      <c r="BLZ4" s="88"/>
      <c r="BMA4" s="88"/>
      <c r="BMB4" s="88"/>
      <c r="BMC4" s="88"/>
      <c r="BMD4" s="88"/>
      <c r="BME4" s="88"/>
      <c r="BMF4" s="88"/>
      <c r="BMG4" s="88"/>
      <c r="BMH4" s="88"/>
      <c r="BMI4" s="88"/>
      <c r="BMJ4" s="88"/>
      <c r="BMK4" s="88"/>
      <c r="BML4" s="88"/>
      <c r="BMM4" s="88"/>
      <c r="BMN4" s="88"/>
      <c r="BMO4" s="88"/>
      <c r="BMP4" s="88"/>
      <c r="BMQ4" s="88"/>
      <c r="BMR4" s="88"/>
      <c r="BMS4" s="88"/>
      <c r="BMT4" s="88"/>
      <c r="BMU4" s="88"/>
      <c r="BMV4" s="88"/>
      <c r="BMW4" s="88"/>
      <c r="BMX4" s="88"/>
      <c r="BMY4" s="88"/>
      <c r="BMZ4" s="88"/>
      <c r="BNA4" s="88"/>
      <c r="BNB4" s="88"/>
      <c r="BNC4" s="88"/>
      <c r="BND4" s="88"/>
      <c r="BNE4" s="88"/>
      <c r="BNF4" s="88"/>
      <c r="BNG4" s="88"/>
      <c r="BNH4" s="88"/>
      <c r="BNI4" s="88"/>
      <c r="BNJ4" s="88"/>
      <c r="BNK4" s="88"/>
      <c r="BNL4" s="88"/>
      <c r="BNM4" s="88"/>
      <c r="BNN4" s="88"/>
      <c r="BNO4" s="88"/>
      <c r="BNP4" s="88"/>
      <c r="BNQ4" s="88"/>
      <c r="BNR4" s="88"/>
      <c r="BNS4" s="88"/>
      <c r="BNT4" s="88"/>
      <c r="BNU4" s="88"/>
      <c r="BNV4" s="88"/>
      <c r="BNW4" s="88"/>
      <c r="BNX4" s="88"/>
      <c r="BNY4" s="88"/>
      <c r="BNZ4" s="88"/>
      <c r="BOA4" s="88"/>
      <c r="BOB4" s="88"/>
      <c r="BOC4" s="88"/>
      <c r="BOD4" s="88"/>
      <c r="BOE4" s="88"/>
      <c r="BOF4" s="88"/>
      <c r="BOG4" s="88"/>
      <c r="BOH4" s="88"/>
      <c r="BOI4" s="88"/>
      <c r="BOJ4" s="88"/>
      <c r="BOK4" s="88"/>
      <c r="BOL4" s="88"/>
      <c r="BOM4" s="88"/>
      <c r="BON4" s="88"/>
      <c r="BOO4" s="88"/>
      <c r="BOP4" s="88"/>
      <c r="BOQ4" s="88"/>
      <c r="BOR4" s="88"/>
      <c r="BOS4" s="88"/>
      <c r="BOT4" s="88"/>
      <c r="BOU4" s="88"/>
      <c r="BOV4" s="88"/>
      <c r="BOW4" s="88"/>
      <c r="BOX4" s="88"/>
      <c r="BOY4" s="88"/>
      <c r="BOZ4" s="88"/>
      <c r="BPA4" s="88"/>
      <c r="BPB4" s="88"/>
      <c r="BPC4" s="88"/>
      <c r="BPD4" s="88"/>
      <c r="BPE4" s="88"/>
      <c r="BPF4" s="88"/>
      <c r="BPG4" s="88"/>
      <c r="BPH4" s="88"/>
      <c r="BPI4" s="88"/>
      <c r="BPJ4" s="88"/>
      <c r="BPK4" s="88"/>
      <c r="BPL4" s="88"/>
      <c r="BPM4" s="88"/>
      <c r="BPN4" s="88"/>
      <c r="BPO4" s="88"/>
      <c r="BPP4" s="88"/>
      <c r="BPQ4" s="88"/>
      <c r="BPR4" s="88"/>
      <c r="BPS4" s="88"/>
      <c r="BPT4" s="88"/>
      <c r="BPU4" s="88"/>
      <c r="BPV4" s="88"/>
      <c r="BPW4" s="88"/>
      <c r="BPX4" s="88"/>
      <c r="BPY4" s="88"/>
      <c r="BPZ4" s="88"/>
      <c r="BQA4" s="88"/>
      <c r="BQB4" s="88"/>
      <c r="BQC4" s="88"/>
      <c r="BQD4" s="88"/>
      <c r="BQE4" s="88"/>
      <c r="BQF4" s="88"/>
      <c r="BQG4" s="88"/>
      <c r="BQH4" s="88"/>
      <c r="BQI4" s="88"/>
      <c r="BQJ4" s="88"/>
      <c r="BQK4" s="88"/>
      <c r="BQL4" s="88"/>
      <c r="BQM4" s="88"/>
      <c r="BQN4" s="88"/>
      <c r="BQO4" s="88"/>
      <c r="BQP4" s="88"/>
      <c r="BQQ4" s="88"/>
      <c r="BQR4" s="88"/>
      <c r="BQS4" s="88"/>
      <c r="BQT4" s="88"/>
      <c r="BQU4" s="88"/>
      <c r="BQV4" s="88"/>
      <c r="BQW4" s="88"/>
      <c r="BQX4" s="88"/>
      <c r="BQY4" s="88"/>
      <c r="BQZ4" s="88"/>
      <c r="BRA4" s="88"/>
      <c r="BRB4" s="88"/>
      <c r="BRC4" s="88"/>
      <c r="BRD4" s="88"/>
      <c r="BRE4" s="88"/>
      <c r="BRF4" s="88"/>
      <c r="BRG4" s="88"/>
      <c r="BRH4" s="88"/>
      <c r="BRI4" s="88"/>
      <c r="BRJ4" s="88"/>
      <c r="BRK4" s="88"/>
      <c r="BRL4" s="88"/>
      <c r="BRM4" s="88"/>
      <c r="BRN4" s="88"/>
      <c r="BRO4" s="88"/>
      <c r="BRP4" s="88"/>
      <c r="BRQ4" s="88"/>
      <c r="BRR4" s="88"/>
      <c r="BRS4" s="88"/>
      <c r="BRT4" s="88"/>
      <c r="BRU4" s="88"/>
      <c r="BRV4" s="88"/>
      <c r="BRW4" s="88"/>
      <c r="BRX4" s="88"/>
      <c r="BRY4" s="88"/>
      <c r="BRZ4" s="88"/>
      <c r="BSA4" s="88"/>
      <c r="BSB4" s="88"/>
      <c r="BSC4" s="88"/>
      <c r="BSD4" s="88"/>
      <c r="BSE4" s="88"/>
      <c r="BSF4" s="88"/>
      <c r="BSG4" s="88"/>
      <c r="BSH4" s="88"/>
      <c r="BSI4" s="88"/>
      <c r="BSJ4" s="88"/>
      <c r="BSK4" s="88"/>
      <c r="BSL4" s="88"/>
      <c r="BSM4" s="88"/>
      <c r="BSN4" s="88"/>
      <c r="BSO4" s="88"/>
      <c r="BSP4" s="88"/>
      <c r="BSQ4" s="88"/>
      <c r="BSR4" s="88"/>
      <c r="BSS4" s="88"/>
      <c r="BST4" s="88"/>
      <c r="BSU4" s="88"/>
      <c r="BSV4" s="88"/>
      <c r="BSW4" s="88"/>
      <c r="BSX4" s="88"/>
      <c r="BSY4" s="88"/>
      <c r="BSZ4" s="88"/>
      <c r="BTA4" s="88"/>
      <c r="BTB4" s="88"/>
      <c r="BTC4" s="88"/>
      <c r="BTD4" s="88"/>
      <c r="BTE4" s="88"/>
      <c r="BTF4" s="88"/>
      <c r="BTG4" s="88"/>
      <c r="BTH4" s="88"/>
      <c r="BTI4" s="88"/>
      <c r="BTJ4" s="88"/>
      <c r="BTK4" s="88"/>
      <c r="BTL4" s="88"/>
      <c r="BTM4" s="88"/>
      <c r="BTN4" s="88"/>
      <c r="BTO4" s="88"/>
      <c r="BTP4" s="88"/>
      <c r="BTQ4" s="88"/>
      <c r="BTR4" s="88"/>
      <c r="BTS4" s="88"/>
      <c r="BTT4" s="88"/>
      <c r="BTU4" s="88"/>
      <c r="BTV4" s="88"/>
      <c r="BTW4" s="88"/>
      <c r="BTX4" s="88"/>
      <c r="BTY4" s="88"/>
      <c r="BTZ4" s="88"/>
      <c r="BUA4" s="88"/>
      <c r="BUB4" s="88"/>
      <c r="BUC4" s="88"/>
      <c r="BUD4" s="88"/>
      <c r="BUE4" s="88"/>
      <c r="BUF4" s="88"/>
      <c r="BUG4" s="88"/>
      <c r="BUH4" s="88"/>
      <c r="BUI4" s="88"/>
      <c r="BUJ4" s="88"/>
      <c r="BUK4" s="88"/>
      <c r="BUL4" s="88"/>
      <c r="BUM4" s="88"/>
      <c r="BUN4" s="88"/>
      <c r="BUO4" s="88"/>
      <c r="BUP4" s="88"/>
      <c r="BUQ4" s="88"/>
      <c r="BUR4" s="88"/>
      <c r="BUS4" s="88"/>
      <c r="BUT4" s="88"/>
      <c r="BUU4" s="88"/>
      <c r="BUV4" s="88"/>
      <c r="BUW4" s="88"/>
      <c r="BUX4" s="88"/>
      <c r="BUY4" s="88"/>
      <c r="BUZ4" s="88"/>
      <c r="BVA4" s="88"/>
      <c r="BVB4" s="88"/>
      <c r="BVC4" s="88"/>
      <c r="BVD4" s="88"/>
      <c r="BVE4" s="88"/>
      <c r="BVF4" s="88"/>
      <c r="BVG4" s="88"/>
      <c r="BVH4" s="88"/>
      <c r="BVI4" s="88"/>
      <c r="BVJ4" s="88"/>
      <c r="BVK4" s="88"/>
      <c r="BVL4" s="88"/>
      <c r="BVM4" s="88"/>
      <c r="BVN4" s="88"/>
      <c r="BVO4" s="88"/>
      <c r="BVP4" s="88"/>
      <c r="BVQ4" s="88"/>
      <c r="BVR4" s="88"/>
      <c r="BVS4" s="88"/>
      <c r="BVT4" s="88"/>
      <c r="BVU4" s="88"/>
      <c r="BVV4" s="88"/>
      <c r="BVW4" s="88"/>
      <c r="BVX4" s="88"/>
      <c r="BVY4" s="88"/>
      <c r="BVZ4" s="88"/>
      <c r="BWA4" s="88"/>
      <c r="BWB4" s="88"/>
      <c r="BWC4" s="88"/>
      <c r="BWD4" s="88"/>
      <c r="BWE4" s="88"/>
      <c r="BWF4" s="88"/>
      <c r="BWG4" s="88"/>
      <c r="BWH4" s="88"/>
      <c r="BWI4" s="88"/>
      <c r="BWJ4" s="88"/>
      <c r="BWK4" s="88"/>
      <c r="BWL4" s="88"/>
      <c r="BWM4" s="88"/>
      <c r="BWN4" s="88"/>
      <c r="BWO4" s="88"/>
      <c r="BWP4" s="88"/>
      <c r="BWQ4" s="88"/>
      <c r="BWR4" s="88"/>
      <c r="BWS4" s="88"/>
      <c r="BWT4" s="88"/>
      <c r="BWU4" s="88"/>
      <c r="BWV4" s="88"/>
      <c r="BWW4" s="88"/>
      <c r="BWX4" s="88"/>
      <c r="BWY4" s="88"/>
      <c r="BWZ4" s="88"/>
      <c r="BXA4" s="88"/>
      <c r="BXB4" s="88"/>
      <c r="BXC4" s="88"/>
      <c r="BXD4" s="88"/>
      <c r="BXE4" s="88"/>
      <c r="BXF4" s="88"/>
      <c r="BXG4" s="88"/>
      <c r="BXH4" s="88"/>
      <c r="BXI4" s="88"/>
      <c r="BXJ4" s="88"/>
      <c r="BXK4" s="88"/>
      <c r="BXL4" s="88"/>
      <c r="BXM4" s="88"/>
      <c r="BXN4" s="88"/>
      <c r="BXO4" s="88"/>
      <c r="BXP4" s="88"/>
      <c r="BXQ4" s="88"/>
      <c r="BXR4" s="88"/>
      <c r="BXS4" s="88"/>
      <c r="BXT4" s="88"/>
      <c r="BXU4" s="88"/>
      <c r="BXV4" s="88"/>
      <c r="BXW4" s="88"/>
      <c r="BXX4" s="88"/>
      <c r="BXY4" s="88"/>
      <c r="BXZ4" s="88"/>
      <c r="BYA4" s="88"/>
      <c r="BYB4" s="88"/>
      <c r="BYC4" s="88"/>
      <c r="BYD4" s="88"/>
      <c r="BYE4" s="88"/>
      <c r="BYF4" s="88"/>
      <c r="BYG4" s="88"/>
      <c r="BYH4" s="88"/>
      <c r="BYI4" s="88"/>
      <c r="BYJ4" s="88"/>
      <c r="BYK4" s="88"/>
      <c r="BYL4" s="88"/>
      <c r="BYM4" s="88"/>
      <c r="BYN4" s="88"/>
      <c r="BYO4" s="88"/>
      <c r="BYP4" s="88"/>
      <c r="BYQ4" s="88"/>
      <c r="BYR4" s="88"/>
      <c r="BYS4" s="88"/>
      <c r="BYT4" s="88"/>
      <c r="BYU4" s="88"/>
      <c r="BYV4" s="88"/>
      <c r="BYW4" s="88"/>
      <c r="BYX4" s="88"/>
      <c r="BYY4" s="88"/>
      <c r="BYZ4" s="88"/>
      <c r="BZA4" s="88"/>
      <c r="BZB4" s="88"/>
      <c r="BZC4" s="88"/>
      <c r="BZD4" s="88"/>
      <c r="BZE4" s="88"/>
      <c r="BZF4" s="88"/>
      <c r="BZG4" s="88"/>
      <c r="BZH4" s="88"/>
      <c r="BZI4" s="88"/>
      <c r="BZJ4" s="88"/>
      <c r="BZK4" s="88"/>
      <c r="BZL4" s="88"/>
      <c r="BZM4" s="88"/>
      <c r="BZN4" s="88"/>
      <c r="BZO4" s="88"/>
      <c r="BZP4" s="88"/>
      <c r="BZQ4" s="88"/>
      <c r="BZR4" s="88"/>
      <c r="BZS4" s="88"/>
      <c r="BZT4" s="88"/>
      <c r="BZU4" s="88"/>
      <c r="BZV4" s="88"/>
      <c r="BZW4" s="88"/>
      <c r="BZX4" s="88"/>
      <c r="BZY4" s="88"/>
      <c r="BZZ4" s="88"/>
      <c r="CAA4" s="88"/>
      <c r="CAB4" s="88"/>
      <c r="CAC4" s="88"/>
      <c r="CAD4" s="88"/>
      <c r="CAE4" s="88"/>
      <c r="CAF4" s="88"/>
      <c r="CAG4" s="88"/>
      <c r="CAH4" s="88"/>
      <c r="CAI4" s="88"/>
      <c r="CAJ4" s="88"/>
      <c r="CAK4" s="88"/>
      <c r="CAL4" s="88"/>
      <c r="CAM4" s="88"/>
      <c r="CAN4" s="88"/>
      <c r="CAO4" s="88"/>
      <c r="CAP4" s="88"/>
      <c r="CAQ4" s="88"/>
      <c r="CAR4" s="88"/>
      <c r="CAS4" s="88"/>
      <c r="CAT4" s="88"/>
      <c r="CAU4" s="88"/>
      <c r="CAV4" s="88"/>
      <c r="CAW4" s="88"/>
      <c r="CAX4" s="88"/>
      <c r="CAY4" s="88"/>
      <c r="CAZ4" s="88"/>
      <c r="CBA4" s="88"/>
      <c r="CBB4" s="88"/>
      <c r="CBC4" s="88"/>
      <c r="CBD4" s="88"/>
      <c r="CBE4" s="88"/>
      <c r="CBF4" s="88"/>
      <c r="CBG4" s="88"/>
      <c r="CBH4" s="88"/>
      <c r="CBI4" s="88"/>
      <c r="CBJ4" s="88"/>
      <c r="CBK4" s="88"/>
      <c r="CBL4" s="88"/>
      <c r="CBM4" s="88"/>
      <c r="CBN4" s="88"/>
      <c r="CBO4" s="88"/>
      <c r="CBP4" s="88"/>
      <c r="CBQ4" s="88"/>
      <c r="CBR4" s="88"/>
      <c r="CBS4" s="88"/>
      <c r="CBT4" s="88"/>
      <c r="CBU4" s="88"/>
      <c r="CBV4" s="88"/>
      <c r="CBW4" s="88"/>
      <c r="CBX4" s="88"/>
      <c r="CBY4" s="88"/>
      <c r="CBZ4" s="88"/>
      <c r="CCA4" s="88"/>
      <c r="CCB4" s="88"/>
      <c r="CCC4" s="88"/>
      <c r="CCD4" s="88"/>
      <c r="CCE4" s="88"/>
      <c r="CCF4" s="88"/>
      <c r="CCG4" s="88"/>
      <c r="CCH4" s="88"/>
      <c r="CCI4" s="88"/>
      <c r="CCJ4" s="88"/>
      <c r="CCK4" s="88"/>
      <c r="CCL4" s="88"/>
      <c r="CCM4" s="88"/>
      <c r="CCN4" s="88"/>
      <c r="CCO4" s="88"/>
      <c r="CCP4" s="88"/>
      <c r="CCQ4" s="88"/>
      <c r="CCR4" s="88"/>
      <c r="CCS4" s="88"/>
      <c r="CCT4" s="88"/>
      <c r="CCU4" s="88"/>
      <c r="CCV4" s="88"/>
      <c r="CCW4" s="88"/>
      <c r="CCX4" s="88"/>
      <c r="CCY4" s="88"/>
      <c r="CCZ4" s="88"/>
      <c r="CDA4" s="88"/>
      <c r="CDB4" s="88"/>
      <c r="CDC4" s="88"/>
      <c r="CDD4" s="88"/>
      <c r="CDE4" s="88"/>
      <c r="CDF4" s="88"/>
      <c r="CDG4" s="88"/>
      <c r="CDH4" s="88"/>
      <c r="CDI4" s="88"/>
      <c r="CDJ4" s="88"/>
      <c r="CDK4" s="88"/>
      <c r="CDL4" s="88"/>
      <c r="CDM4" s="88"/>
      <c r="CDN4" s="88"/>
      <c r="CDO4" s="88"/>
      <c r="CDP4" s="88"/>
      <c r="CDQ4" s="88"/>
      <c r="CDR4" s="88"/>
      <c r="CDS4" s="88"/>
      <c r="CDT4" s="88"/>
      <c r="CDU4" s="88"/>
      <c r="CDV4" s="88"/>
      <c r="CDW4" s="88"/>
      <c r="CDX4" s="88"/>
      <c r="CDY4" s="88"/>
      <c r="CDZ4" s="88"/>
      <c r="CEA4" s="88"/>
      <c r="CEB4" s="88"/>
      <c r="CEC4" s="88"/>
      <c r="CED4" s="88"/>
      <c r="CEE4" s="88"/>
      <c r="CEF4" s="88"/>
      <c r="CEG4" s="88"/>
      <c r="CEH4" s="88"/>
      <c r="CEI4" s="88"/>
      <c r="CEJ4" s="88"/>
      <c r="CEK4" s="88"/>
      <c r="CEL4" s="88"/>
      <c r="CEM4" s="88"/>
      <c r="CEN4" s="88"/>
      <c r="CEO4" s="88"/>
      <c r="CEP4" s="88"/>
      <c r="CEQ4" s="88"/>
      <c r="CER4" s="88"/>
      <c r="CES4" s="88"/>
      <c r="CET4" s="88"/>
      <c r="CEU4" s="88"/>
      <c r="CEV4" s="88"/>
      <c r="CEW4" s="88"/>
      <c r="CEX4" s="88"/>
      <c r="CEY4" s="88"/>
      <c r="CEZ4" s="88"/>
      <c r="CFA4" s="88"/>
      <c r="CFB4" s="88"/>
      <c r="CFC4" s="88"/>
      <c r="CFD4" s="88"/>
      <c r="CFE4" s="88"/>
      <c r="CFF4" s="88"/>
      <c r="CFG4" s="88"/>
      <c r="CFH4" s="88"/>
      <c r="CFI4" s="88"/>
      <c r="CFJ4" s="88"/>
      <c r="CFK4" s="88"/>
      <c r="CFL4" s="88"/>
      <c r="CFM4" s="88"/>
      <c r="CFN4" s="88"/>
      <c r="CFO4" s="88"/>
      <c r="CFP4" s="88"/>
      <c r="CFQ4" s="88"/>
      <c r="CFR4" s="88"/>
      <c r="CFS4" s="88"/>
      <c r="CFT4" s="88"/>
      <c r="CFU4" s="88"/>
      <c r="CFV4" s="88"/>
      <c r="CFW4" s="88"/>
      <c r="CFX4" s="88"/>
      <c r="CFY4" s="88"/>
      <c r="CFZ4" s="88"/>
      <c r="CGA4" s="88"/>
      <c r="CGB4" s="88"/>
      <c r="CGC4" s="88"/>
      <c r="CGD4" s="88"/>
      <c r="CGE4" s="88"/>
      <c r="CGF4" s="88"/>
      <c r="CGG4" s="88"/>
      <c r="CGH4" s="88"/>
      <c r="CGI4" s="88"/>
      <c r="CGJ4" s="88"/>
      <c r="CGK4" s="88"/>
      <c r="CGL4" s="88"/>
      <c r="CGM4" s="88"/>
      <c r="CGN4" s="88"/>
      <c r="CGO4" s="88"/>
      <c r="CGP4" s="88"/>
      <c r="CGQ4" s="88"/>
      <c r="CGR4" s="88"/>
      <c r="CGS4" s="88"/>
      <c r="CGT4" s="88"/>
      <c r="CGU4" s="88"/>
      <c r="CGV4" s="88"/>
      <c r="CGW4" s="88"/>
      <c r="CGX4" s="88"/>
      <c r="CGY4" s="88"/>
      <c r="CGZ4" s="88"/>
      <c r="CHA4" s="88"/>
      <c r="CHB4" s="88"/>
      <c r="CHC4" s="88"/>
      <c r="CHD4" s="88"/>
      <c r="CHE4" s="88"/>
      <c r="CHF4" s="88"/>
      <c r="CHG4" s="88"/>
      <c r="CHH4" s="88"/>
      <c r="CHI4" s="88"/>
      <c r="CHJ4" s="88"/>
      <c r="CHK4" s="88"/>
      <c r="CHL4" s="88"/>
      <c r="CHM4" s="88"/>
      <c r="CHN4" s="88"/>
      <c r="CHO4" s="88"/>
      <c r="CHP4" s="88"/>
      <c r="CHQ4" s="88"/>
      <c r="CHR4" s="88"/>
      <c r="CHS4" s="88"/>
      <c r="CHT4" s="88"/>
      <c r="CHU4" s="88"/>
      <c r="CHV4" s="88"/>
      <c r="CHW4" s="88"/>
      <c r="CHX4" s="88"/>
      <c r="CHY4" s="88"/>
      <c r="CHZ4" s="88"/>
      <c r="CIA4" s="88"/>
      <c r="CIB4" s="88"/>
      <c r="CIC4" s="88"/>
      <c r="CID4" s="88"/>
      <c r="CIE4" s="88"/>
      <c r="CIF4" s="88"/>
      <c r="CIG4" s="88"/>
      <c r="CIH4" s="88"/>
      <c r="CII4" s="88"/>
      <c r="CIJ4" s="88"/>
      <c r="CIK4" s="88"/>
      <c r="CIL4" s="88"/>
      <c r="CIM4" s="88"/>
      <c r="CIN4" s="88"/>
      <c r="CIO4" s="88"/>
      <c r="CIP4" s="88"/>
      <c r="CIQ4" s="88"/>
      <c r="CIR4" s="88"/>
      <c r="CIS4" s="88"/>
      <c r="CIT4" s="88"/>
      <c r="CIU4" s="88"/>
      <c r="CIV4" s="88"/>
      <c r="CIW4" s="88"/>
      <c r="CIX4" s="88"/>
      <c r="CIY4" s="88"/>
      <c r="CIZ4" s="88"/>
      <c r="CJA4" s="88"/>
      <c r="CJB4" s="88"/>
      <c r="CJC4" s="88"/>
      <c r="CJD4" s="88"/>
      <c r="CJE4" s="88"/>
      <c r="CJF4" s="88"/>
      <c r="CJG4" s="88"/>
      <c r="CJH4" s="88"/>
      <c r="CJI4" s="88"/>
      <c r="CJJ4" s="88"/>
      <c r="CJK4" s="88"/>
      <c r="CJL4" s="88"/>
      <c r="CJM4" s="88"/>
      <c r="CJN4" s="88"/>
      <c r="CJO4" s="88"/>
      <c r="CJP4" s="88"/>
      <c r="CJQ4" s="88"/>
      <c r="CJR4" s="88"/>
      <c r="CJS4" s="88"/>
      <c r="CJT4" s="88"/>
      <c r="CJU4" s="88"/>
      <c r="CJV4" s="88"/>
      <c r="CJW4" s="88"/>
      <c r="CJX4" s="88"/>
      <c r="CJY4" s="88"/>
      <c r="CJZ4" s="88"/>
      <c r="CKA4" s="88"/>
      <c r="CKB4" s="88"/>
      <c r="CKC4" s="88"/>
      <c r="CKD4" s="88"/>
      <c r="CKE4" s="88"/>
      <c r="CKF4" s="88"/>
      <c r="CKG4" s="88"/>
      <c r="CKH4" s="88"/>
      <c r="CKI4" s="88"/>
      <c r="CKJ4" s="88"/>
      <c r="CKK4" s="88"/>
      <c r="CKL4" s="88"/>
      <c r="CKM4" s="88"/>
      <c r="CKN4" s="88"/>
      <c r="CKO4" s="88"/>
      <c r="CKP4" s="88"/>
      <c r="CKQ4" s="88"/>
      <c r="CKR4" s="88"/>
      <c r="CKS4" s="88"/>
      <c r="CKT4" s="88"/>
      <c r="CKU4" s="88"/>
      <c r="CKV4" s="88"/>
      <c r="CKW4" s="88"/>
      <c r="CKX4" s="88"/>
      <c r="CKY4" s="88"/>
      <c r="CKZ4" s="88"/>
      <c r="CLA4" s="88"/>
      <c r="CLB4" s="88"/>
      <c r="CLC4" s="88"/>
      <c r="CLD4" s="88"/>
      <c r="CLE4" s="88"/>
      <c r="CLF4" s="88"/>
      <c r="CLG4" s="88"/>
      <c r="CLH4" s="88"/>
      <c r="CLI4" s="88"/>
      <c r="CLJ4" s="88"/>
      <c r="CLK4" s="88"/>
      <c r="CLL4" s="88"/>
      <c r="CLM4" s="88"/>
      <c r="CLN4" s="88"/>
      <c r="CLO4" s="88"/>
      <c r="CLP4" s="88"/>
      <c r="CLQ4" s="88"/>
      <c r="CLR4" s="88"/>
      <c r="CLS4" s="88"/>
      <c r="CLT4" s="88"/>
      <c r="CLU4" s="88"/>
      <c r="CLV4" s="88"/>
      <c r="CLW4" s="88"/>
      <c r="CLX4" s="88"/>
      <c r="CLY4" s="88"/>
      <c r="CLZ4" s="88"/>
      <c r="CMA4" s="88"/>
      <c r="CMB4" s="88"/>
      <c r="CMC4" s="88"/>
      <c r="CMD4" s="88"/>
      <c r="CME4" s="88"/>
      <c r="CMF4" s="88"/>
      <c r="CMG4" s="88"/>
      <c r="CMH4" s="88"/>
      <c r="CMI4" s="88"/>
      <c r="CMJ4" s="88"/>
      <c r="CMK4" s="88"/>
      <c r="CML4" s="88"/>
      <c r="CMM4" s="88"/>
      <c r="CMN4" s="88"/>
      <c r="CMO4" s="88"/>
      <c r="CMP4" s="88"/>
      <c r="CMQ4" s="88"/>
      <c r="CMR4" s="88"/>
      <c r="CMS4" s="88"/>
      <c r="CMT4" s="88"/>
      <c r="CMU4" s="88"/>
      <c r="CMV4" s="88"/>
      <c r="CMW4" s="88"/>
      <c r="CMX4" s="88"/>
      <c r="CMY4" s="88"/>
      <c r="CMZ4" s="88"/>
      <c r="CNA4" s="88"/>
      <c r="CNB4" s="88"/>
      <c r="CNC4" s="88"/>
      <c r="CND4" s="88"/>
      <c r="CNE4" s="88"/>
      <c r="CNF4" s="88"/>
      <c r="CNG4" s="88"/>
      <c r="CNH4" s="88"/>
      <c r="CNI4" s="88"/>
      <c r="CNJ4" s="88"/>
      <c r="CNK4" s="88"/>
      <c r="CNL4" s="88"/>
      <c r="CNM4" s="88"/>
      <c r="CNN4" s="88"/>
      <c r="CNO4" s="88"/>
      <c r="CNP4" s="88"/>
      <c r="CNQ4" s="88"/>
      <c r="CNR4" s="88"/>
      <c r="CNS4" s="88"/>
      <c r="CNT4" s="88"/>
      <c r="CNU4" s="88"/>
      <c r="CNV4" s="88"/>
      <c r="CNW4" s="88"/>
      <c r="CNX4" s="88"/>
      <c r="CNY4" s="88"/>
      <c r="CNZ4" s="88"/>
      <c r="COA4" s="88"/>
      <c r="COB4" s="88"/>
      <c r="COC4" s="88"/>
      <c r="COD4" s="88"/>
      <c r="COE4" s="88"/>
      <c r="COF4" s="88"/>
      <c r="COG4" s="88"/>
      <c r="COH4" s="88"/>
      <c r="COI4" s="88"/>
      <c r="COJ4" s="88"/>
      <c r="COK4" s="88"/>
      <c r="COL4" s="88"/>
      <c r="COM4" s="88"/>
      <c r="CON4" s="88"/>
      <c r="COO4" s="88"/>
      <c r="COP4" s="88"/>
      <c r="COQ4" s="88"/>
      <c r="COR4" s="88"/>
      <c r="COS4" s="88"/>
      <c r="COT4" s="88"/>
      <c r="COU4" s="88"/>
      <c r="COV4" s="88"/>
      <c r="COW4" s="88"/>
      <c r="COX4" s="88"/>
      <c r="COY4" s="88"/>
      <c r="COZ4" s="88"/>
      <c r="CPA4" s="88"/>
      <c r="CPB4" s="88"/>
      <c r="CPC4" s="88"/>
      <c r="CPD4" s="88"/>
      <c r="CPE4" s="88"/>
      <c r="CPF4" s="88"/>
      <c r="CPG4" s="88"/>
      <c r="CPH4" s="88"/>
      <c r="CPI4" s="88"/>
      <c r="CPJ4" s="88"/>
      <c r="CPK4" s="88"/>
      <c r="CPL4" s="88"/>
      <c r="CPM4" s="88"/>
      <c r="CPN4" s="88"/>
      <c r="CPO4" s="88"/>
      <c r="CPP4" s="88"/>
      <c r="CPQ4" s="88"/>
      <c r="CPR4" s="88"/>
      <c r="CPS4" s="88"/>
      <c r="CPT4" s="88"/>
      <c r="CPU4" s="88"/>
      <c r="CPV4" s="88"/>
      <c r="CPW4" s="88"/>
      <c r="CPX4" s="88"/>
      <c r="CPY4" s="88"/>
      <c r="CPZ4" s="88"/>
      <c r="CQA4" s="88"/>
      <c r="CQB4" s="88"/>
      <c r="CQC4" s="88"/>
      <c r="CQD4" s="88"/>
      <c r="CQE4" s="88"/>
      <c r="CQF4" s="88"/>
      <c r="CQG4" s="88"/>
      <c r="CQH4" s="88"/>
      <c r="CQI4" s="88"/>
      <c r="CQJ4" s="88"/>
      <c r="CQK4" s="88"/>
      <c r="CQL4" s="88"/>
      <c r="CQM4" s="88"/>
      <c r="CQN4" s="88"/>
      <c r="CQO4" s="88"/>
      <c r="CQP4" s="88"/>
      <c r="CQQ4" s="88"/>
      <c r="CQR4" s="88"/>
      <c r="CQS4" s="88"/>
      <c r="CQT4" s="88"/>
      <c r="CQU4" s="88"/>
      <c r="CQV4" s="88"/>
      <c r="CQW4" s="88"/>
      <c r="CQX4" s="88"/>
      <c r="CQY4" s="88"/>
      <c r="CQZ4" s="88"/>
      <c r="CRA4" s="88"/>
      <c r="CRB4" s="88"/>
      <c r="CRC4" s="88"/>
      <c r="CRD4" s="88"/>
      <c r="CRE4" s="88"/>
      <c r="CRF4" s="88"/>
      <c r="CRG4" s="88"/>
      <c r="CRH4" s="88"/>
      <c r="CRI4" s="88"/>
      <c r="CRJ4" s="88"/>
      <c r="CRK4" s="88"/>
      <c r="CRL4" s="88"/>
      <c r="CRM4" s="88"/>
      <c r="CRN4" s="88"/>
      <c r="CRO4" s="88"/>
      <c r="CRP4" s="88"/>
      <c r="CRQ4" s="88"/>
      <c r="CRR4" s="88"/>
      <c r="CRS4" s="88"/>
      <c r="CRT4" s="88"/>
      <c r="CRU4" s="88"/>
      <c r="CRV4" s="88"/>
      <c r="CRW4" s="88"/>
      <c r="CRX4" s="88"/>
      <c r="CRY4" s="88"/>
      <c r="CRZ4" s="88"/>
      <c r="CSA4" s="88"/>
      <c r="CSB4" s="88"/>
      <c r="CSC4" s="88"/>
      <c r="CSD4" s="90"/>
    </row>
    <row r="5" spans="1:2526" ht="30" customHeight="1" x14ac:dyDescent="0.25">
      <c r="B5" s="96"/>
      <c r="C5" s="12" t="s">
        <v>1</v>
      </c>
      <c r="D5" s="141"/>
      <c r="E5" s="13" t="s">
        <v>63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88"/>
      <c r="BLW5" s="88"/>
      <c r="BLX5" s="88"/>
      <c r="BLY5" s="88"/>
      <c r="BLZ5" s="88"/>
      <c r="BMA5" s="88"/>
      <c r="BMB5" s="88"/>
      <c r="BMC5" s="88"/>
      <c r="BMD5" s="88"/>
      <c r="BME5" s="88"/>
      <c r="BMF5" s="88"/>
      <c r="BMG5" s="88"/>
      <c r="BMH5" s="88"/>
      <c r="BMI5" s="88"/>
      <c r="BMJ5" s="88"/>
      <c r="BMK5" s="88"/>
      <c r="BML5" s="88"/>
      <c r="BMM5" s="88"/>
      <c r="BMN5" s="88"/>
      <c r="BMO5" s="88"/>
      <c r="BMP5" s="88"/>
      <c r="BMQ5" s="88"/>
      <c r="BMR5" s="88"/>
      <c r="BMS5" s="88"/>
      <c r="BMT5" s="88"/>
      <c r="BMU5" s="88"/>
      <c r="BMV5" s="88"/>
      <c r="BMW5" s="88"/>
      <c r="BMX5" s="88"/>
      <c r="BMY5" s="88"/>
      <c r="BMZ5" s="88"/>
      <c r="BNA5" s="88"/>
      <c r="BNB5" s="88"/>
      <c r="BNC5" s="88"/>
      <c r="BND5" s="88"/>
      <c r="BNE5" s="88"/>
      <c r="BNF5" s="88"/>
      <c r="BNG5" s="88"/>
      <c r="BNH5" s="88"/>
      <c r="BNI5" s="88"/>
      <c r="BNJ5" s="88"/>
      <c r="BNK5" s="88"/>
      <c r="BNL5" s="88"/>
      <c r="BNM5" s="88"/>
      <c r="BNN5" s="88"/>
      <c r="BNO5" s="88"/>
      <c r="BNP5" s="88"/>
      <c r="BNQ5" s="88"/>
      <c r="BNR5" s="88"/>
      <c r="BNS5" s="88"/>
      <c r="BNT5" s="88"/>
      <c r="BNU5" s="88"/>
      <c r="BNV5" s="88"/>
      <c r="BNW5" s="88"/>
      <c r="BNX5" s="88"/>
      <c r="BNY5" s="88"/>
      <c r="BNZ5" s="88"/>
      <c r="BOA5" s="88"/>
      <c r="BOB5" s="88"/>
      <c r="BOC5" s="88"/>
      <c r="BOD5" s="88"/>
      <c r="BOE5" s="88"/>
      <c r="BOF5" s="88"/>
      <c r="BOG5" s="88"/>
      <c r="BOH5" s="88"/>
      <c r="BOI5" s="88"/>
      <c r="BOJ5" s="88"/>
      <c r="BOK5" s="88"/>
      <c r="BOL5" s="88"/>
      <c r="BOM5" s="88"/>
      <c r="BON5" s="88"/>
      <c r="BOO5" s="88"/>
      <c r="BOP5" s="88"/>
      <c r="BOQ5" s="88"/>
      <c r="BOR5" s="88"/>
      <c r="BOS5" s="88"/>
      <c r="BOT5" s="88"/>
      <c r="BOU5" s="88"/>
      <c r="BOV5" s="88"/>
      <c r="BOW5" s="88"/>
      <c r="BOX5" s="88"/>
      <c r="BOY5" s="88"/>
      <c r="BOZ5" s="88"/>
      <c r="BPA5" s="88"/>
      <c r="BPB5" s="88"/>
      <c r="BPC5" s="88"/>
      <c r="BPD5" s="88"/>
      <c r="BPE5" s="88"/>
      <c r="BPF5" s="88"/>
      <c r="BPG5" s="88"/>
      <c r="BPH5" s="88"/>
      <c r="BPI5" s="88"/>
      <c r="BPJ5" s="88"/>
      <c r="BPK5" s="88"/>
      <c r="BPL5" s="88"/>
      <c r="BPM5" s="88"/>
      <c r="BPN5" s="88"/>
      <c r="BPO5" s="88"/>
      <c r="BPP5" s="88"/>
      <c r="BPQ5" s="88"/>
      <c r="BPR5" s="88"/>
      <c r="BPS5" s="88"/>
      <c r="BPT5" s="88"/>
      <c r="BPU5" s="88"/>
      <c r="BPV5" s="88"/>
      <c r="BPW5" s="88"/>
      <c r="BPX5" s="88"/>
      <c r="BPY5" s="88"/>
      <c r="BPZ5" s="88"/>
      <c r="BQA5" s="88"/>
      <c r="BQB5" s="88"/>
      <c r="BQC5" s="88"/>
      <c r="BQD5" s="88"/>
      <c r="BQE5" s="88"/>
      <c r="BQF5" s="88"/>
      <c r="BQG5" s="88"/>
      <c r="BQH5" s="88"/>
      <c r="BQI5" s="88"/>
      <c r="BQJ5" s="88"/>
      <c r="BQK5" s="88"/>
      <c r="BQL5" s="88"/>
      <c r="BQM5" s="88"/>
      <c r="BQN5" s="88"/>
      <c r="BQO5" s="88"/>
      <c r="BQP5" s="88"/>
      <c r="BQQ5" s="88"/>
      <c r="BQR5" s="88"/>
      <c r="BQS5" s="88"/>
      <c r="BQT5" s="88"/>
      <c r="BQU5" s="88"/>
      <c r="BQV5" s="88"/>
      <c r="BQW5" s="88"/>
      <c r="BQX5" s="88"/>
      <c r="BQY5" s="88"/>
      <c r="BQZ5" s="88"/>
      <c r="BRA5" s="88"/>
      <c r="BRB5" s="88"/>
      <c r="BRC5" s="88"/>
      <c r="BRD5" s="88"/>
      <c r="BRE5" s="88"/>
      <c r="BRF5" s="88"/>
      <c r="BRG5" s="88"/>
      <c r="BRH5" s="88"/>
      <c r="BRI5" s="88"/>
      <c r="BRJ5" s="88"/>
      <c r="BRK5" s="88"/>
      <c r="BRL5" s="88"/>
      <c r="BRM5" s="88"/>
      <c r="BRN5" s="88"/>
      <c r="BRO5" s="88"/>
      <c r="BRP5" s="88"/>
      <c r="BRQ5" s="88"/>
      <c r="BRR5" s="88"/>
      <c r="BRS5" s="88"/>
      <c r="BRT5" s="88"/>
      <c r="BRU5" s="88"/>
      <c r="BRV5" s="88"/>
      <c r="BRW5" s="88"/>
      <c r="BRX5" s="88"/>
      <c r="BRY5" s="88"/>
      <c r="BRZ5" s="88"/>
      <c r="BSA5" s="88"/>
      <c r="BSB5" s="88"/>
      <c r="BSC5" s="88"/>
      <c r="BSD5" s="88"/>
      <c r="BSE5" s="88"/>
      <c r="BSF5" s="88"/>
      <c r="BSG5" s="88"/>
      <c r="BSH5" s="88"/>
      <c r="BSI5" s="88"/>
      <c r="BSJ5" s="88"/>
      <c r="BSK5" s="88"/>
      <c r="BSL5" s="88"/>
      <c r="BSM5" s="88"/>
      <c r="BSN5" s="88"/>
      <c r="BSO5" s="88"/>
      <c r="BSP5" s="88"/>
      <c r="BSQ5" s="88"/>
      <c r="BSR5" s="88"/>
      <c r="BSS5" s="88"/>
      <c r="BST5" s="88"/>
      <c r="BSU5" s="88"/>
      <c r="BSV5" s="88"/>
      <c r="BSW5" s="88"/>
      <c r="BSX5" s="88"/>
      <c r="BSY5" s="88"/>
      <c r="BSZ5" s="88"/>
      <c r="BTA5" s="88"/>
      <c r="BTB5" s="88"/>
      <c r="BTC5" s="88"/>
      <c r="BTD5" s="88"/>
      <c r="BTE5" s="88"/>
      <c r="BTF5" s="88"/>
      <c r="BTG5" s="88"/>
      <c r="BTH5" s="88"/>
      <c r="BTI5" s="88"/>
      <c r="BTJ5" s="88"/>
      <c r="BTK5" s="88"/>
      <c r="BTL5" s="88"/>
      <c r="BTM5" s="88"/>
      <c r="BTN5" s="88"/>
      <c r="BTO5" s="88"/>
      <c r="BTP5" s="88"/>
      <c r="BTQ5" s="88"/>
      <c r="BTR5" s="88"/>
      <c r="BTS5" s="88"/>
      <c r="BTT5" s="88"/>
      <c r="BTU5" s="88"/>
      <c r="BTV5" s="88"/>
      <c r="BTW5" s="88"/>
      <c r="BTX5" s="88"/>
      <c r="BTY5" s="88"/>
      <c r="BTZ5" s="88"/>
      <c r="BUA5" s="88"/>
      <c r="BUB5" s="88"/>
      <c r="BUC5" s="88"/>
      <c r="BUD5" s="88"/>
      <c r="BUE5" s="88"/>
      <c r="BUF5" s="88"/>
      <c r="BUG5" s="88"/>
      <c r="BUH5" s="88"/>
      <c r="BUI5" s="88"/>
      <c r="BUJ5" s="88"/>
      <c r="BUK5" s="88"/>
      <c r="BUL5" s="88"/>
      <c r="BUM5" s="88"/>
      <c r="BUN5" s="88"/>
      <c r="BUO5" s="88"/>
      <c r="BUP5" s="88"/>
      <c r="BUQ5" s="88"/>
      <c r="BUR5" s="88"/>
      <c r="BUS5" s="88"/>
      <c r="BUT5" s="88"/>
      <c r="BUU5" s="88"/>
      <c r="BUV5" s="88"/>
      <c r="BUW5" s="88"/>
      <c r="BUX5" s="88"/>
      <c r="BUY5" s="88"/>
      <c r="BUZ5" s="88"/>
      <c r="BVA5" s="88"/>
      <c r="BVB5" s="88"/>
      <c r="BVC5" s="88"/>
      <c r="BVD5" s="88"/>
      <c r="BVE5" s="88"/>
      <c r="BVF5" s="88"/>
      <c r="BVG5" s="88"/>
      <c r="BVH5" s="88"/>
      <c r="BVI5" s="88"/>
      <c r="BVJ5" s="88"/>
      <c r="BVK5" s="88"/>
      <c r="BVL5" s="88"/>
      <c r="BVM5" s="88"/>
      <c r="BVN5" s="88"/>
      <c r="BVO5" s="88"/>
      <c r="BVP5" s="88"/>
      <c r="BVQ5" s="88"/>
      <c r="BVR5" s="88"/>
      <c r="BVS5" s="88"/>
      <c r="BVT5" s="88"/>
      <c r="BVU5" s="88"/>
      <c r="BVV5" s="88"/>
      <c r="BVW5" s="88"/>
      <c r="BVX5" s="88"/>
      <c r="BVY5" s="88"/>
      <c r="BVZ5" s="88"/>
      <c r="BWA5" s="88"/>
      <c r="BWB5" s="88"/>
      <c r="BWC5" s="88"/>
      <c r="BWD5" s="88"/>
      <c r="BWE5" s="88"/>
      <c r="BWF5" s="88"/>
      <c r="BWG5" s="88"/>
      <c r="BWH5" s="88"/>
      <c r="BWI5" s="88"/>
      <c r="BWJ5" s="88"/>
      <c r="BWK5" s="88"/>
      <c r="BWL5" s="88"/>
      <c r="BWM5" s="88"/>
      <c r="BWN5" s="88"/>
      <c r="BWO5" s="88"/>
      <c r="BWP5" s="88"/>
      <c r="BWQ5" s="88"/>
      <c r="BWR5" s="88"/>
      <c r="BWS5" s="88"/>
      <c r="BWT5" s="88"/>
      <c r="BWU5" s="88"/>
      <c r="BWV5" s="88"/>
      <c r="BWW5" s="88"/>
      <c r="BWX5" s="88"/>
      <c r="BWY5" s="88"/>
      <c r="BWZ5" s="88"/>
      <c r="BXA5" s="88"/>
      <c r="BXB5" s="88"/>
      <c r="BXC5" s="88"/>
      <c r="BXD5" s="88"/>
      <c r="BXE5" s="88"/>
      <c r="BXF5" s="88"/>
      <c r="BXG5" s="88"/>
      <c r="BXH5" s="88"/>
      <c r="BXI5" s="88"/>
      <c r="BXJ5" s="88"/>
      <c r="BXK5" s="88"/>
      <c r="BXL5" s="88"/>
      <c r="BXM5" s="88"/>
      <c r="BXN5" s="88"/>
      <c r="BXO5" s="88"/>
      <c r="BXP5" s="88"/>
      <c r="BXQ5" s="88"/>
      <c r="BXR5" s="88"/>
      <c r="BXS5" s="88"/>
      <c r="BXT5" s="88"/>
      <c r="BXU5" s="88"/>
      <c r="BXV5" s="88"/>
      <c r="BXW5" s="88"/>
      <c r="BXX5" s="88"/>
      <c r="BXY5" s="88"/>
      <c r="BXZ5" s="88"/>
      <c r="BYA5" s="88"/>
      <c r="BYB5" s="88"/>
      <c r="BYC5" s="88"/>
      <c r="BYD5" s="88"/>
      <c r="BYE5" s="88"/>
      <c r="BYF5" s="88"/>
      <c r="BYG5" s="88"/>
      <c r="BYH5" s="88"/>
      <c r="BYI5" s="88"/>
      <c r="BYJ5" s="88"/>
      <c r="BYK5" s="88"/>
      <c r="BYL5" s="88"/>
      <c r="BYM5" s="88"/>
      <c r="BYN5" s="88"/>
      <c r="BYO5" s="88"/>
      <c r="BYP5" s="88"/>
      <c r="BYQ5" s="88"/>
      <c r="BYR5" s="88"/>
      <c r="BYS5" s="88"/>
      <c r="BYT5" s="88"/>
      <c r="BYU5" s="88"/>
      <c r="BYV5" s="88"/>
      <c r="BYW5" s="88"/>
      <c r="BYX5" s="88"/>
      <c r="BYY5" s="88"/>
      <c r="BYZ5" s="88"/>
      <c r="BZA5" s="88"/>
      <c r="BZB5" s="88"/>
      <c r="BZC5" s="88"/>
      <c r="BZD5" s="88"/>
      <c r="BZE5" s="88"/>
      <c r="BZF5" s="88"/>
      <c r="BZG5" s="88"/>
      <c r="BZH5" s="88"/>
      <c r="BZI5" s="88"/>
      <c r="BZJ5" s="88"/>
      <c r="BZK5" s="88"/>
      <c r="BZL5" s="88"/>
      <c r="BZM5" s="88"/>
      <c r="BZN5" s="88"/>
      <c r="BZO5" s="88"/>
      <c r="BZP5" s="88"/>
      <c r="BZQ5" s="88"/>
      <c r="BZR5" s="88"/>
      <c r="BZS5" s="88"/>
      <c r="BZT5" s="88"/>
      <c r="BZU5" s="88"/>
      <c r="BZV5" s="88"/>
      <c r="BZW5" s="88"/>
      <c r="BZX5" s="88"/>
      <c r="BZY5" s="88"/>
      <c r="BZZ5" s="88"/>
      <c r="CAA5" s="88"/>
      <c r="CAB5" s="88"/>
      <c r="CAC5" s="88"/>
      <c r="CAD5" s="88"/>
      <c r="CAE5" s="88"/>
      <c r="CAF5" s="88"/>
      <c r="CAG5" s="88"/>
      <c r="CAH5" s="88"/>
      <c r="CAI5" s="88"/>
      <c r="CAJ5" s="88"/>
      <c r="CAK5" s="88"/>
      <c r="CAL5" s="88"/>
      <c r="CAM5" s="88"/>
      <c r="CAN5" s="88"/>
      <c r="CAO5" s="88"/>
      <c r="CAP5" s="88"/>
      <c r="CAQ5" s="88"/>
      <c r="CAR5" s="88"/>
      <c r="CAS5" s="88"/>
      <c r="CAT5" s="88"/>
      <c r="CAU5" s="88"/>
      <c r="CAV5" s="88"/>
      <c r="CAW5" s="88"/>
      <c r="CAX5" s="88"/>
      <c r="CAY5" s="88"/>
      <c r="CAZ5" s="88"/>
      <c r="CBA5" s="88"/>
      <c r="CBB5" s="88"/>
      <c r="CBC5" s="88"/>
      <c r="CBD5" s="88"/>
      <c r="CBE5" s="88"/>
      <c r="CBF5" s="88"/>
      <c r="CBG5" s="88"/>
      <c r="CBH5" s="88"/>
      <c r="CBI5" s="88"/>
      <c r="CBJ5" s="88"/>
      <c r="CBK5" s="88"/>
      <c r="CBL5" s="88"/>
      <c r="CBM5" s="88"/>
      <c r="CBN5" s="88"/>
      <c r="CBO5" s="88"/>
      <c r="CBP5" s="88"/>
      <c r="CBQ5" s="88"/>
      <c r="CBR5" s="88"/>
      <c r="CBS5" s="88"/>
      <c r="CBT5" s="88"/>
      <c r="CBU5" s="88"/>
      <c r="CBV5" s="88"/>
      <c r="CBW5" s="88"/>
      <c r="CBX5" s="88"/>
      <c r="CBY5" s="88"/>
      <c r="CBZ5" s="88"/>
      <c r="CCA5" s="88"/>
      <c r="CCB5" s="88"/>
      <c r="CCC5" s="88"/>
      <c r="CCD5" s="88"/>
      <c r="CCE5" s="88"/>
      <c r="CCF5" s="88"/>
      <c r="CCG5" s="88"/>
      <c r="CCH5" s="88"/>
      <c r="CCI5" s="88"/>
      <c r="CCJ5" s="88"/>
      <c r="CCK5" s="88"/>
      <c r="CCL5" s="88"/>
      <c r="CCM5" s="88"/>
      <c r="CCN5" s="88"/>
      <c r="CCO5" s="88"/>
      <c r="CCP5" s="88"/>
      <c r="CCQ5" s="88"/>
      <c r="CCR5" s="88"/>
      <c r="CCS5" s="88"/>
      <c r="CCT5" s="88"/>
      <c r="CCU5" s="88"/>
      <c r="CCV5" s="88"/>
      <c r="CCW5" s="88"/>
      <c r="CCX5" s="88"/>
      <c r="CCY5" s="88"/>
      <c r="CCZ5" s="88"/>
      <c r="CDA5" s="88"/>
      <c r="CDB5" s="88"/>
      <c r="CDC5" s="88"/>
      <c r="CDD5" s="88"/>
      <c r="CDE5" s="88"/>
      <c r="CDF5" s="88"/>
      <c r="CDG5" s="88"/>
      <c r="CDH5" s="88"/>
      <c r="CDI5" s="88"/>
      <c r="CDJ5" s="88"/>
      <c r="CDK5" s="88"/>
      <c r="CDL5" s="88"/>
      <c r="CDM5" s="88"/>
      <c r="CDN5" s="88"/>
      <c r="CDO5" s="88"/>
      <c r="CDP5" s="88"/>
      <c r="CDQ5" s="88"/>
      <c r="CDR5" s="88"/>
      <c r="CDS5" s="88"/>
      <c r="CDT5" s="88"/>
      <c r="CDU5" s="88"/>
      <c r="CDV5" s="88"/>
      <c r="CDW5" s="88"/>
      <c r="CDX5" s="88"/>
      <c r="CDY5" s="88"/>
      <c r="CDZ5" s="88"/>
      <c r="CEA5" s="88"/>
      <c r="CEB5" s="88"/>
      <c r="CEC5" s="88"/>
      <c r="CED5" s="88"/>
      <c r="CEE5" s="88"/>
      <c r="CEF5" s="88"/>
      <c r="CEG5" s="88"/>
      <c r="CEH5" s="88"/>
      <c r="CEI5" s="88"/>
      <c r="CEJ5" s="88"/>
      <c r="CEK5" s="88"/>
      <c r="CEL5" s="88"/>
      <c r="CEM5" s="88"/>
      <c r="CEN5" s="88"/>
      <c r="CEO5" s="88"/>
      <c r="CEP5" s="88"/>
      <c r="CEQ5" s="88"/>
      <c r="CER5" s="88"/>
      <c r="CES5" s="88"/>
      <c r="CET5" s="88"/>
      <c r="CEU5" s="88"/>
      <c r="CEV5" s="88"/>
      <c r="CEW5" s="88"/>
      <c r="CEX5" s="88"/>
      <c r="CEY5" s="88"/>
      <c r="CEZ5" s="88"/>
      <c r="CFA5" s="88"/>
      <c r="CFB5" s="88"/>
      <c r="CFC5" s="88"/>
      <c r="CFD5" s="88"/>
      <c r="CFE5" s="88"/>
      <c r="CFF5" s="88"/>
      <c r="CFG5" s="88"/>
      <c r="CFH5" s="88"/>
      <c r="CFI5" s="88"/>
      <c r="CFJ5" s="88"/>
      <c r="CFK5" s="88"/>
      <c r="CFL5" s="88"/>
      <c r="CFM5" s="88"/>
      <c r="CFN5" s="88"/>
      <c r="CFO5" s="88"/>
      <c r="CFP5" s="88"/>
      <c r="CFQ5" s="88"/>
      <c r="CFR5" s="88"/>
      <c r="CFS5" s="88"/>
      <c r="CFT5" s="88"/>
      <c r="CFU5" s="88"/>
      <c r="CFV5" s="88"/>
      <c r="CFW5" s="88"/>
      <c r="CFX5" s="88"/>
      <c r="CFY5" s="88"/>
      <c r="CFZ5" s="88"/>
      <c r="CGA5" s="88"/>
      <c r="CGB5" s="88"/>
      <c r="CGC5" s="88"/>
      <c r="CGD5" s="88"/>
      <c r="CGE5" s="88"/>
      <c r="CGF5" s="88"/>
      <c r="CGG5" s="88"/>
      <c r="CGH5" s="88"/>
      <c r="CGI5" s="88"/>
      <c r="CGJ5" s="88"/>
      <c r="CGK5" s="88"/>
      <c r="CGL5" s="88"/>
      <c r="CGM5" s="88"/>
      <c r="CGN5" s="88"/>
      <c r="CGO5" s="88"/>
      <c r="CGP5" s="88"/>
      <c r="CGQ5" s="88"/>
      <c r="CGR5" s="88"/>
      <c r="CGS5" s="88"/>
      <c r="CGT5" s="88"/>
      <c r="CGU5" s="88"/>
      <c r="CGV5" s="88"/>
      <c r="CGW5" s="88"/>
      <c r="CGX5" s="88"/>
      <c r="CGY5" s="88"/>
      <c r="CGZ5" s="88"/>
      <c r="CHA5" s="88"/>
      <c r="CHB5" s="88"/>
      <c r="CHC5" s="88"/>
      <c r="CHD5" s="88"/>
      <c r="CHE5" s="88"/>
      <c r="CHF5" s="88"/>
      <c r="CHG5" s="88"/>
      <c r="CHH5" s="88"/>
      <c r="CHI5" s="88"/>
      <c r="CHJ5" s="88"/>
      <c r="CHK5" s="88"/>
      <c r="CHL5" s="88"/>
      <c r="CHM5" s="88"/>
      <c r="CHN5" s="88"/>
      <c r="CHO5" s="88"/>
      <c r="CHP5" s="88"/>
      <c r="CHQ5" s="88"/>
      <c r="CHR5" s="88"/>
      <c r="CHS5" s="88"/>
      <c r="CHT5" s="88"/>
      <c r="CHU5" s="88"/>
      <c r="CHV5" s="88"/>
      <c r="CHW5" s="88"/>
      <c r="CHX5" s="88"/>
      <c r="CHY5" s="88"/>
      <c r="CHZ5" s="88"/>
      <c r="CIA5" s="88"/>
      <c r="CIB5" s="88"/>
      <c r="CIC5" s="88"/>
      <c r="CID5" s="88"/>
      <c r="CIE5" s="88"/>
      <c r="CIF5" s="88"/>
      <c r="CIG5" s="88"/>
      <c r="CIH5" s="88"/>
      <c r="CII5" s="88"/>
      <c r="CIJ5" s="88"/>
      <c r="CIK5" s="88"/>
      <c r="CIL5" s="88"/>
      <c r="CIM5" s="88"/>
      <c r="CIN5" s="88"/>
      <c r="CIO5" s="88"/>
      <c r="CIP5" s="88"/>
      <c r="CIQ5" s="88"/>
      <c r="CIR5" s="88"/>
      <c r="CIS5" s="88"/>
      <c r="CIT5" s="88"/>
      <c r="CIU5" s="88"/>
      <c r="CIV5" s="88"/>
      <c r="CIW5" s="88"/>
      <c r="CIX5" s="88"/>
      <c r="CIY5" s="88"/>
      <c r="CIZ5" s="88"/>
      <c r="CJA5" s="88"/>
      <c r="CJB5" s="88"/>
      <c r="CJC5" s="88"/>
      <c r="CJD5" s="88"/>
      <c r="CJE5" s="88"/>
      <c r="CJF5" s="88"/>
      <c r="CJG5" s="88"/>
      <c r="CJH5" s="88"/>
      <c r="CJI5" s="88"/>
      <c r="CJJ5" s="88"/>
      <c r="CJK5" s="88"/>
      <c r="CJL5" s="88"/>
      <c r="CJM5" s="88"/>
      <c r="CJN5" s="88"/>
      <c r="CJO5" s="88"/>
      <c r="CJP5" s="88"/>
      <c r="CJQ5" s="88"/>
      <c r="CJR5" s="88"/>
      <c r="CJS5" s="88"/>
      <c r="CJT5" s="88"/>
      <c r="CJU5" s="88"/>
      <c r="CJV5" s="88"/>
      <c r="CJW5" s="88"/>
      <c r="CJX5" s="88"/>
      <c r="CJY5" s="88"/>
      <c r="CJZ5" s="88"/>
      <c r="CKA5" s="88"/>
      <c r="CKB5" s="88"/>
      <c r="CKC5" s="88"/>
      <c r="CKD5" s="88"/>
      <c r="CKE5" s="88"/>
      <c r="CKF5" s="88"/>
      <c r="CKG5" s="88"/>
      <c r="CKH5" s="88"/>
      <c r="CKI5" s="88"/>
      <c r="CKJ5" s="88"/>
      <c r="CKK5" s="88"/>
      <c r="CKL5" s="88"/>
      <c r="CKM5" s="88"/>
      <c r="CKN5" s="88"/>
      <c r="CKO5" s="88"/>
      <c r="CKP5" s="88"/>
      <c r="CKQ5" s="88"/>
      <c r="CKR5" s="88"/>
      <c r="CKS5" s="88"/>
      <c r="CKT5" s="88"/>
      <c r="CKU5" s="88"/>
      <c r="CKV5" s="88"/>
      <c r="CKW5" s="88"/>
      <c r="CKX5" s="88"/>
      <c r="CKY5" s="88"/>
      <c r="CKZ5" s="88"/>
      <c r="CLA5" s="88"/>
      <c r="CLB5" s="88"/>
      <c r="CLC5" s="88"/>
      <c r="CLD5" s="88"/>
      <c r="CLE5" s="88"/>
      <c r="CLF5" s="88"/>
      <c r="CLG5" s="88"/>
      <c r="CLH5" s="88"/>
      <c r="CLI5" s="88"/>
      <c r="CLJ5" s="88"/>
      <c r="CLK5" s="88"/>
      <c r="CLL5" s="88"/>
      <c r="CLM5" s="88"/>
      <c r="CLN5" s="88"/>
      <c r="CLO5" s="88"/>
      <c r="CLP5" s="88"/>
      <c r="CLQ5" s="88"/>
      <c r="CLR5" s="88"/>
      <c r="CLS5" s="88"/>
      <c r="CLT5" s="88"/>
      <c r="CLU5" s="88"/>
      <c r="CLV5" s="88"/>
      <c r="CLW5" s="88"/>
      <c r="CLX5" s="88"/>
      <c r="CLY5" s="88"/>
      <c r="CLZ5" s="88"/>
      <c r="CMA5" s="88"/>
      <c r="CMB5" s="88"/>
      <c r="CMC5" s="88"/>
      <c r="CMD5" s="88"/>
      <c r="CME5" s="88"/>
      <c r="CMF5" s="88"/>
      <c r="CMG5" s="88"/>
      <c r="CMH5" s="88"/>
      <c r="CMI5" s="88"/>
      <c r="CMJ5" s="88"/>
      <c r="CMK5" s="88"/>
      <c r="CML5" s="88"/>
      <c r="CMM5" s="88"/>
      <c r="CMN5" s="88"/>
      <c r="CMO5" s="88"/>
      <c r="CMP5" s="88"/>
      <c r="CMQ5" s="88"/>
      <c r="CMR5" s="88"/>
      <c r="CMS5" s="88"/>
      <c r="CMT5" s="88"/>
      <c r="CMU5" s="88"/>
      <c r="CMV5" s="88"/>
      <c r="CMW5" s="88"/>
      <c r="CMX5" s="88"/>
      <c r="CMY5" s="88"/>
      <c r="CMZ5" s="88"/>
      <c r="CNA5" s="88"/>
      <c r="CNB5" s="88"/>
      <c r="CNC5" s="88"/>
      <c r="CND5" s="88"/>
      <c r="CNE5" s="88"/>
      <c r="CNF5" s="88"/>
      <c r="CNG5" s="88"/>
      <c r="CNH5" s="88"/>
      <c r="CNI5" s="88"/>
      <c r="CNJ5" s="88"/>
      <c r="CNK5" s="88"/>
      <c r="CNL5" s="88"/>
      <c r="CNM5" s="88"/>
      <c r="CNN5" s="88"/>
      <c r="CNO5" s="88"/>
      <c r="CNP5" s="88"/>
      <c r="CNQ5" s="88"/>
      <c r="CNR5" s="88"/>
      <c r="CNS5" s="88"/>
      <c r="CNT5" s="88"/>
      <c r="CNU5" s="88"/>
      <c r="CNV5" s="88"/>
      <c r="CNW5" s="88"/>
      <c r="CNX5" s="88"/>
      <c r="CNY5" s="88"/>
      <c r="CNZ5" s="88"/>
      <c r="COA5" s="88"/>
      <c r="COB5" s="88"/>
      <c r="COC5" s="88"/>
      <c r="COD5" s="88"/>
      <c r="COE5" s="88"/>
      <c r="COF5" s="88"/>
      <c r="COG5" s="88"/>
      <c r="COH5" s="88"/>
      <c r="COI5" s="88"/>
      <c r="COJ5" s="88"/>
      <c r="COK5" s="88"/>
      <c r="COL5" s="88"/>
      <c r="COM5" s="88"/>
      <c r="CON5" s="88"/>
      <c r="COO5" s="88"/>
      <c r="COP5" s="88"/>
      <c r="COQ5" s="88"/>
      <c r="COR5" s="88"/>
      <c r="COS5" s="88"/>
      <c r="COT5" s="88"/>
      <c r="COU5" s="88"/>
      <c r="COV5" s="88"/>
      <c r="COW5" s="88"/>
      <c r="COX5" s="88"/>
      <c r="COY5" s="88"/>
      <c r="COZ5" s="88"/>
      <c r="CPA5" s="88"/>
      <c r="CPB5" s="88"/>
      <c r="CPC5" s="88"/>
      <c r="CPD5" s="88"/>
      <c r="CPE5" s="88"/>
      <c r="CPF5" s="88"/>
      <c r="CPG5" s="88"/>
      <c r="CPH5" s="88"/>
      <c r="CPI5" s="88"/>
      <c r="CPJ5" s="88"/>
      <c r="CPK5" s="88"/>
      <c r="CPL5" s="88"/>
      <c r="CPM5" s="88"/>
      <c r="CPN5" s="88"/>
      <c r="CPO5" s="88"/>
      <c r="CPP5" s="88"/>
      <c r="CPQ5" s="88"/>
      <c r="CPR5" s="88"/>
      <c r="CPS5" s="88"/>
      <c r="CPT5" s="88"/>
      <c r="CPU5" s="88"/>
      <c r="CPV5" s="88"/>
      <c r="CPW5" s="88"/>
      <c r="CPX5" s="88"/>
      <c r="CPY5" s="88"/>
      <c r="CPZ5" s="88"/>
      <c r="CQA5" s="88"/>
      <c r="CQB5" s="88"/>
      <c r="CQC5" s="88"/>
      <c r="CQD5" s="88"/>
      <c r="CQE5" s="88"/>
      <c r="CQF5" s="88"/>
      <c r="CQG5" s="88"/>
      <c r="CQH5" s="88"/>
      <c r="CQI5" s="88"/>
      <c r="CQJ5" s="88"/>
      <c r="CQK5" s="88"/>
      <c r="CQL5" s="88"/>
      <c r="CQM5" s="88"/>
      <c r="CQN5" s="88"/>
      <c r="CQO5" s="88"/>
      <c r="CQP5" s="88"/>
      <c r="CQQ5" s="88"/>
      <c r="CQR5" s="88"/>
      <c r="CQS5" s="88"/>
      <c r="CQT5" s="88"/>
      <c r="CQU5" s="88"/>
      <c r="CQV5" s="88"/>
      <c r="CQW5" s="88"/>
      <c r="CQX5" s="88"/>
      <c r="CQY5" s="88"/>
      <c r="CQZ5" s="88"/>
      <c r="CRA5" s="88"/>
      <c r="CRB5" s="88"/>
      <c r="CRC5" s="88"/>
      <c r="CRD5" s="88"/>
      <c r="CRE5" s="88"/>
      <c r="CRF5" s="88"/>
      <c r="CRG5" s="88"/>
      <c r="CRH5" s="88"/>
      <c r="CRI5" s="88"/>
      <c r="CRJ5" s="88"/>
      <c r="CRK5" s="88"/>
      <c r="CRL5" s="88"/>
      <c r="CRM5" s="88"/>
      <c r="CRN5" s="88"/>
      <c r="CRO5" s="88"/>
      <c r="CRP5" s="88"/>
      <c r="CRQ5" s="88"/>
      <c r="CRR5" s="88"/>
      <c r="CRS5" s="88"/>
      <c r="CRT5" s="88"/>
      <c r="CRU5" s="88"/>
      <c r="CRV5" s="88"/>
      <c r="CRW5" s="88"/>
      <c r="CRX5" s="88"/>
      <c r="CRY5" s="88"/>
      <c r="CRZ5" s="88"/>
      <c r="CSA5" s="88"/>
      <c r="CSB5" s="88"/>
      <c r="CSC5" s="88"/>
      <c r="CSD5" s="90"/>
    </row>
    <row r="6" spans="1:252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88"/>
      <c r="BLW6" s="88"/>
      <c r="BLX6" s="88"/>
      <c r="BLY6" s="88"/>
      <c r="BLZ6" s="88"/>
      <c r="BMA6" s="88"/>
      <c r="BMB6" s="88"/>
      <c r="BMC6" s="88"/>
      <c r="BMD6" s="88"/>
      <c r="BME6" s="88"/>
      <c r="BMF6" s="88"/>
      <c r="BMG6" s="88"/>
      <c r="BMH6" s="88"/>
      <c r="BMI6" s="88"/>
      <c r="BMJ6" s="88"/>
      <c r="BMK6" s="88"/>
      <c r="BML6" s="88"/>
      <c r="BMM6" s="88"/>
      <c r="BMN6" s="88"/>
      <c r="BMO6" s="88"/>
      <c r="BMP6" s="88"/>
      <c r="BMQ6" s="88"/>
      <c r="BMR6" s="88"/>
      <c r="BMS6" s="88"/>
      <c r="BMT6" s="88"/>
      <c r="BMU6" s="88"/>
      <c r="BMV6" s="88"/>
      <c r="BMW6" s="88"/>
      <c r="BMX6" s="88"/>
      <c r="BMY6" s="88"/>
      <c r="BMZ6" s="88"/>
      <c r="BNA6" s="88"/>
      <c r="BNB6" s="88"/>
      <c r="BNC6" s="88"/>
      <c r="BND6" s="88"/>
      <c r="BNE6" s="88"/>
      <c r="BNF6" s="88"/>
      <c r="BNG6" s="88"/>
      <c r="BNH6" s="88"/>
      <c r="BNI6" s="88"/>
      <c r="BNJ6" s="88"/>
      <c r="BNK6" s="88"/>
      <c r="BNL6" s="88"/>
      <c r="BNM6" s="88"/>
      <c r="BNN6" s="88"/>
      <c r="BNO6" s="88"/>
      <c r="BNP6" s="88"/>
      <c r="BNQ6" s="88"/>
      <c r="BNR6" s="88"/>
      <c r="BNS6" s="88"/>
      <c r="BNT6" s="88"/>
      <c r="BNU6" s="88"/>
      <c r="BNV6" s="88"/>
      <c r="BNW6" s="88"/>
      <c r="BNX6" s="88"/>
      <c r="BNY6" s="88"/>
      <c r="BNZ6" s="88"/>
      <c r="BOA6" s="88"/>
      <c r="BOB6" s="88"/>
      <c r="BOC6" s="88"/>
      <c r="BOD6" s="88"/>
      <c r="BOE6" s="88"/>
      <c r="BOF6" s="88"/>
      <c r="BOG6" s="88"/>
      <c r="BOH6" s="88"/>
      <c r="BOI6" s="88"/>
      <c r="BOJ6" s="88"/>
      <c r="BOK6" s="88"/>
      <c r="BOL6" s="88"/>
      <c r="BOM6" s="88"/>
      <c r="BON6" s="88"/>
      <c r="BOO6" s="88"/>
      <c r="BOP6" s="88"/>
      <c r="BOQ6" s="88"/>
      <c r="BOR6" s="88"/>
      <c r="BOS6" s="88"/>
      <c r="BOT6" s="88"/>
      <c r="BOU6" s="88"/>
      <c r="BOV6" s="88"/>
      <c r="BOW6" s="88"/>
      <c r="BOX6" s="88"/>
      <c r="BOY6" s="88"/>
      <c r="BOZ6" s="88"/>
      <c r="BPA6" s="88"/>
      <c r="BPB6" s="88"/>
      <c r="BPC6" s="88"/>
      <c r="BPD6" s="88"/>
      <c r="BPE6" s="88"/>
      <c r="BPF6" s="88"/>
      <c r="BPG6" s="88"/>
      <c r="BPH6" s="88"/>
      <c r="BPI6" s="88"/>
      <c r="BPJ6" s="88"/>
      <c r="BPK6" s="88"/>
      <c r="BPL6" s="88"/>
      <c r="BPM6" s="88"/>
      <c r="BPN6" s="88"/>
      <c r="BPO6" s="88"/>
      <c r="BPP6" s="88"/>
      <c r="BPQ6" s="88"/>
      <c r="BPR6" s="88"/>
      <c r="BPS6" s="88"/>
      <c r="BPT6" s="88"/>
      <c r="BPU6" s="88"/>
      <c r="BPV6" s="88"/>
      <c r="BPW6" s="88"/>
      <c r="BPX6" s="88"/>
      <c r="BPY6" s="88"/>
      <c r="BPZ6" s="88"/>
      <c r="BQA6" s="88"/>
      <c r="BQB6" s="88"/>
      <c r="BQC6" s="88"/>
      <c r="BQD6" s="88"/>
      <c r="BQE6" s="88"/>
      <c r="BQF6" s="88"/>
      <c r="BQG6" s="88"/>
      <c r="BQH6" s="88"/>
      <c r="BQI6" s="88"/>
      <c r="BQJ6" s="88"/>
      <c r="BQK6" s="88"/>
      <c r="BQL6" s="88"/>
      <c r="BQM6" s="88"/>
      <c r="BQN6" s="88"/>
      <c r="BQO6" s="88"/>
      <c r="BQP6" s="88"/>
      <c r="BQQ6" s="88"/>
      <c r="BQR6" s="88"/>
      <c r="BQS6" s="88"/>
      <c r="BQT6" s="88"/>
      <c r="BQU6" s="88"/>
      <c r="BQV6" s="88"/>
      <c r="BQW6" s="88"/>
      <c r="BQX6" s="88"/>
      <c r="BQY6" s="88"/>
      <c r="BQZ6" s="88"/>
      <c r="BRA6" s="88"/>
      <c r="BRB6" s="88"/>
      <c r="BRC6" s="88"/>
      <c r="BRD6" s="88"/>
      <c r="BRE6" s="88"/>
      <c r="BRF6" s="88"/>
      <c r="BRG6" s="88"/>
      <c r="BRH6" s="88"/>
      <c r="BRI6" s="88"/>
      <c r="BRJ6" s="88"/>
      <c r="BRK6" s="88"/>
      <c r="BRL6" s="88"/>
      <c r="BRM6" s="88"/>
      <c r="BRN6" s="88"/>
      <c r="BRO6" s="88"/>
      <c r="BRP6" s="88"/>
      <c r="BRQ6" s="88"/>
      <c r="BRR6" s="88"/>
      <c r="BRS6" s="88"/>
      <c r="BRT6" s="88"/>
      <c r="BRU6" s="88"/>
      <c r="BRV6" s="88"/>
      <c r="BRW6" s="88"/>
      <c r="BRX6" s="88"/>
      <c r="BRY6" s="88"/>
      <c r="BRZ6" s="88"/>
      <c r="BSA6" s="88"/>
      <c r="BSB6" s="88"/>
      <c r="BSC6" s="88"/>
      <c r="BSD6" s="88"/>
      <c r="BSE6" s="88"/>
      <c r="BSF6" s="88"/>
      <c r="BSG6" s="88"/>
      <c r="BSH6" s="88"/>
      <c r="BSI6" s="88"/>
      <c r="BSJ6" s="88"/>
      <c r="BSK6" s="88"/>
      <c r="BSL6" s="88"/>
      <c r="BSM6" s="88"/>
      <c r="BSN6" s="88"/>
      <c r="BSO6" s="88"/>
      <c r="BSP6" s="88"/>
      <c r="BSQ6" s="88"/>
      <c r="BSR6" s="88"/>
      <c r="BSS6" s="88"/>
      <c r="BST6" s="88"/>
      <c r="BSU6" s="88"/>
      <c r="BSV6" s="88"/>
      <c r="BSW6" s="88"/>
      <c r="BSX6" s="88"/>
      <c r="BSY6" s="88"/>
      <c r="BSZ6" s="88"/>
      <c r="BTA6" s="88"/>
      <c r="BTB6" s="88"/>
      <c r="BTC6" s="88"/>
      <c r="BTD6" s="88"/>
      <c r="BTE6" s="88"/>
      <c r="BTF6" s="88"/>
      <c r="BTG6" s="88"/>
      <c r="BTH6" s="88"/>
      <c r="BTI6" s="88"/>
      <c r="BTJ6" s="88"/>
      <c r="BTK6" s="88"/>
      <c r="BTL6" s="88"/>
      <c r="BTM6" s="88"/>
      <c r="BTN6" s="88"/>
      <c r="BTO6" s="88"/>
      <c r="BTP6" s="88"/>
      <c r="BTQ6" s="88"/>
      <c r="BTR6" s="88"/>
      <c r="BTS6" s="88"/>
      <c r="BTT6" s="88"/>
      <c r="BTU6" s="88"/>
      <c r="BTV6" s="88"/>
      <c r="BTW6" s="88"/>
      <c r="BTX6" s="88"/>
      <c r="BTY6" s="88"/>
      <c r="BTZ6" s="88"/>
      <c r="BUA6" s="88"/>
      <c r="BUB6" s="88"/>
      <c r="BUC6" s="88"/>
      <c r="BUD6" s="88"/>
      <c r="BUE6" s="88"/>
      <c r="BUF6" s="88"/>
      <c r="BUG6" s="88"/>
      <c r="BUH6" s="88"/>
      <c r="BUI6" s="88"/>
      <c r="BUJ6" s="88"/>
      <c r="BUK6" s="88"/>
      <c r="BUL6" s="88"/>
      <c r="BUM6" s="88"/>
      <c r="BUN6" s="88"/>
      <c r="BUO6" s="88"/>
      <c r="BUP6" s="88"/>
      <c r="BUQ6" s="88"/>
      <c r="BUR6" s="88"/>
      <c r="BUS6" s="88"/>
      <c r="BUT6" s="88"/>
      <c r="BUU6" s="88"/>
      <c r="BUV6" s="88"/>
      <c r="BUW6" s="88"/>
      <c r="BUX6" s="88"/>
      <c r="BUY6" s="88"/>
      <c r="BUZ6" s="88"/>
      <c r="BVA6" s="88"/>
      <c r="BVB6" s="88"/>
      <c r="BVC6" s="88"/>
      <c r="BVD6" s="88"/>
      <c r="BVE6" s="88"/>
      <c r="BVF6" s="88"/>
      <c r="BVG6" s="88"/>
      <c r="BVH6" s="88"/>
      <c r="BVI6" s="88"/>
      <c r="BVJ6" s="88"/>
      <c r="BVK6" s="88"/>
      <c r="BVL6" s="88"/>
      <c r="BVM6" s="88"/>
      <c r="BVN6" s="88"/>
      <c r="BVO6" s="88"/>
      <c r="BVP6" s="88"/>
      <c r="BVQ6" s="88"/>
      <c r="BVR6" s="88"/>
      <c r="BVS6" s="88"/>
      <c r="BVT6" s="88"/>
      <c r="BVU6" s="88"/>
      <c r="BVV6" s="88"/>
      <c r="BVW6" s="88"/>
      <c r="BVX6" s="88"/>
      <c r="BVY6" s="88"/>
      <c r="BVZ6" s="88"/>
      <c r="BWA6" s="88"/>
      <c r="BWB6" s="88"/>
      <c r="BWC6" s="88"/>
      <c r="BWD6" s="88"/>
      <c r="BWE6" s="88"/>
      <c r="BWF6" s="88"/>
      <c r="BWG6" s="88"/>
      <c r="BWH6" s="88"/>
      <c r="BWI6" s="88"/>
      <c r="BWJ6" s="88"/>
      <c r="BWK6" s="88"/>
      <c r="BWL6" s="88"/>
      <c r="BWM6" s="88"/>
      <c r="BWN6" s="88"/>
      <c r="BWO6" s="88"/>
      <c r="BWP6" s="88"/>
      <c r="BWQ6" s="88"/>
      <c r="BWR6" s="88"/>
      <c r="BWS6" s="88"/>
      <c r="BWT6" s="88"/>
      <c r="BWU6" s="88"/>
      <c r="BWV6" s="88"/>
      <c r="BWW6" s="88"/>
      <c r="BWX6" s="88"/>
      <c r="BWY6" s="88"/>
      <c r="BWZ6" s="88"/>
      <c r="BXA6" s="88"/>
      <c r="BXB6" s="88"/>
      <c r="BXC6" s="88"/>
      <c r="BXD6" s="88"/>
      <c r="BXE6" s="88"/>
      <c r="BXF6" s="88"/>
      <c r="BXG6" s="88"/>
      <c r="BXH6" s="88"/>
      <c r="BXI6" s="88"/>
      <c r="BXJ6" s="88"/>
      <c r="BXK6" s="88"/>
      <c r="BXL6" s="88"/>
      <c r="BXM6" s="88"/>
      <c r="BXN6" s="88"/>
      <c r="BXO6" s="88"/>
      <c r="BXP6" s="88"/>
      <c r="BXQ6" s="88"/>
      <c r="BXR6" s="88"/>
      <c r="BXS6" s="88"/>
      <c r="BXT6" s="88"/>
      <c r="BXU6" s="88"/>
      <c r="BXV6" s="88"/>
      <c r="BXW6" s="88"/>
      <c r="BXX6" s="88"/>
      <c r="BXY6" s="88"/>
      <c r="BXZ6" s="88"/>
      <c r="BYA6" s="88"/>
      <c r="BYB6" s="88"/>
      <c r="BYC6" s="88"/>
      <c r="BYD6" s="88"/>
      <c r="BYE6" s="88"/>
      <c r="BYF6" s="88"/>
      <c r="BYG6" s="88"/>
      <c r="BYH6" s="88"/>
      <c r="BYI6" s="88"/>
      <c r="BYJ6" s="88"/>
      <c r="BYK6" s="88"/>
      <c r="BYL6" s="88"/>
      <c r="BYM6" s="88"/>
      <c r="BYN6" s="88"/>
      <c r="BYO6" s="88"/>
      <c r="BYP6" s="88"/>
      <c r="BYQ6" s="88"/>
      <c r="BYR6" s="88"/>
      <c r="BYS6" s="88"/>
      <c r="BYT6" s="88"/>
      <c r="BYU6" s="88"/>
      <c r="BYV6" s="88"/>
      <c r="BYW6" s="88"/>
      <c r="BYX6" s="88"/>
      <c r="BYY6" s="88"/>
      <c r="BYZ6" s="88"/>
      <c r="BZA6" s="88"/>
      <c r="BZB6" s="88"/>
      <c r="BZC6" s="88"/>
      <c r="BZD6" s="88"/>
      <c r="BZE6" s="88"/>
      <c r="BZF6" s="88"/>
      <c r="BZG6" s="88"/>
      <c r="BZH6" s="88"/>
      <c r="BZI6" s="88"/>
      <c r="BZJ6" s="88"/>
      <c r="BZK6" s="88"/>
      <c r="BZL6" s="88"/>
      <c r="BZM6" s="88"/>
      <c r="BZN6" s="88"/>
      <c r="BZO6" s="88"/>
      <c r="BZP6" s="88"/>
      <c r="BZQ6" s="88"/>
      <c r="BZR6" s="88"/>
      <c r="BZS6" s="88"/>
      <c r="BZT6" s="88"/>
      <c r="BZU6" s="88"/>
      <c r="BZV6" s="88"/>
      <c r="BZW6" s="88"/>
      <c r="BZX6" s="88"/>
      <c r="BZY6" s="88"/>
      <c r="BZZ6" s="88"/>
      <c r="CAA6" s="88"/>
      <c r="CAB6" s="88"/>
      <c r="CAC6" s="88"/>
      <c r="CAD6" s="88"/>
      <c r="CAE6" s="88"/>
      <c r="CAF6" s="88"/>
      <c r="CAG6" s="88"/>
      <c r="CAH6" s="88"/>
      <c r="CAI6" s="88"/>
      <c r="CAJ6" s="88"/>
      <c r="CAK6" s="88"/>
      <c r="CAL6" s="88"/>
      <c r="CAM6" s="88"/>
      <c r="CAN6" s="88"/>
      <c r="CAO6" s="88"/>
      <c r="CAP6" s="88"/>
      <c r="CAQ6" s="88"/>
      <c r="CAR6" s="88"/>
      <c r="CAS6" s="88"/>
      <c r="CAT6" s="88"/>
      <c r="CAU6" s="88"/>
      <c r="CAV6" s="88"/>
      <c r="CAW6" s="88"/>
      <c r="CAX6" s="88"/>
      <c r="CAY6" s="88"/>
      <c r="CAZ6" s="88"/>
      <c r="CBA6" s="88"/>
      <c r="CBB6" s="88"/>
      <c r="CBC6" s="88"/>
      <c r="CBD6" s="88"/>
      <c r="CBE6" s="88"/>
      <c r="CBF6" s="88"/>
      <c r="CBG6" s="88"/>
      <c r="CBH6" s="88"/>
      <c r="CBI6" s="88"/>
      <c r="CBJ6" s="88"/>
      <c r="CBK6" s="88"/>
      <c r="CBL6" s="88"/>
      <c r="CBM6" s="88"/>
      <c r="CBN6" s="88"/>
      <c r="CBO6" s="88"/>
      <c r="CBP6" s="88"/>
      <c r="CBQ6" s="88"/>
      <c r="CBR6" s="88"/>
      <c r="CBS6" s="88"/>
      <c r="CBT6" s="88"/>
      <c r="CBU6" s="88"/>
      <c r="CBV6" s="88"/>
      <c r="CBW6" s="88"/>
      <c r="CBX6" s="88"/>
      <c r="CBY6" s="88"/>
      <c r="CBZ6" s="88"/>
      <c r="CCA6" s="88"/>
      <c r="CCB6" s="88"/>
      <c r="CCC6" s="88"/>
      <c r="CCD6" s="88"/>
      <c r="CCE6" s="88"/>
      <c r="CCF6" s="88"/>
      <c r="CCG6" s="88"/>
      <c r="CCH6" s="88"/>
      <c r="CCI6" s="88"/>
      <c r="CCJ6" s="88"/>
      <c r="CCK6" s="88"/>
      <c r="CCL6" s="88"/>
      <c r="CCM6" s="88"/>
      <c r="CCN6" s="88"/>
      <c r="CCO6" s="88"/>
      <c r="CCP6" s="88"/>
      <c r="CCQ6" s="88"/>
      <c r="CCR6" s="88"/>
      <c r="CCS6" s="88"/>
      <c r="CCT6" s="88"/>
      <c r="CCU6" s="88"/>
      <c r="CCV6" s="88"/>
      <c r="CCW6" s="88"/>
      <c r="CCX6" s="88"/>
      <c r="CCY6" s="88"/>
      <c r="CCZ6" s="88"/>
      <c r="CDA6" s="88"/>
      <c r="CDB6" s="88"/>
      <c r="CDC6" s="88"/>
      <c r="CDD6" s="88"/>
      <c r="CDE6" s="88"/>
      <c r="CDF6" s="88"/>
      <c r="CDG6" s="88"/>
      <c r="CDH6" s="88"/>
      <c r="CDI6" s="88"/>
      <c r="CDJ6" s="88"/>
      <c r="CDK6" s="88"/>
      <c r="CDL6" s="88"/>
      <c r="CDM6" s="88"/>
      <c r="CDN6" s="88"/>
      <c r="CDO6" s="88"/>
      <c r="CDP6" s="88"/>
      <c r="CDQ6" s="88"/>
      <c r="CDR6" s="88"/>
      <c r="CDS6" s="88"/>
      <c r="CDT6" s="88"/>
      <c r="CDU6" s="88"/>
      <c r="CDV6" s="88"/>
      <c r="CDW6" s="88"/>
      <c r="CDX6" s="88"/>
      <c r="CDY6" s="88"/>
      <c r="CDZ6" s="88"/>
      <c r="CEA6" s="88"/>
      <c r="CEB6" s="88"/>
      <c r="CEC6" s="88"/>
      <c r="CED6" s="88"/>
      <c r="CEE6" s="88"/>
      <c r="CEF6" s="88"/>
      <c r="CEG6" s="88"/>
      <c r="CEH6" s="88"/>
      <c r="CEI6" s="88"/>
      <c r="CEJ6" s="88"/>
      <c r="CEK6" s="88"/>
      <c r="CEL6" s="88"/>
      <c r="CEM6" s="88"/>
      <c r="CEN6" s="88"/>
      <c r="CEO6" s="88"/>
      <c r="CEP6" s="88"/>
      <c r="CEQ6" s="88"/>
      <c r="CER6" s="88"/>
      <c r="CES6" s="88"/>
      <c r="CET6" s="88"/>
      <c r="CEU6" s="88"/>
      <c r="CEV6" s="88"/>
      <c r="CEW6" s="88"/>
      <c r="CEX6" s="88"/>
      <c r="CEY6" s="88"/>
      <c r="CEZ6" s="88"/>
      <c r="CFA6" s="88"/>
      <c r="CFB6" s="88"/>
      <c r="CFC6" s="88"/>
      <c r="CFD6" s="88"/>
      <c r="CFE6" s="88"/>
      <c r="CFF6" s="88"/>
      <c r="CFG6" s="88"/>
      <c r="CFH6" s="88"/>
      <c r="CFI6" s="88"/>
      <c r="CFJ6" s="88"/>
      <c r="CFK6" s="88"/>
      <c r="CFL6" s="88"/>
      <c r="CFM6" s="88"/>
      <c r="CFN6" s="88"/>
      <c r="CFO6" s="88"/>
      <c r="CFP6" s="88"/>
      <c r="CFQ6" s="88"/>
      <c r="CFR6" s="88"/>
      <c r="CFS6" s="88"/>
      <c r="CFT6" s="88"/>
      <c r="CFU6" s="88"/>
      <c r="CFV6" s="88"/>
      <c r="CFW6" s="88"/>
      <c r="CFX6" s="88"/>
      <c r="CFY6" s="88"/>
      <c r="CFZ6" s="88"/>
      <c r="CGA6" s="88"/>
      <c r="CGB6" s="88"/>
      <c r="CGC6" s="88"/>
      <c r="CGD6" s="88"/>
      <c r="CGE6" s="88"/>
      <c r="CGF6" s="88"/>
      <c r="CGG6" s="88"/>
      <c r="CGH6" s="88"/>
      <c r="CGI6" s="88"/>
      <c r="CGJ6" s="88"/>
      <c r="CGK6" s="88"/>
      <c r="CGL6" s="88"/>
      <c r="CGM6" s="88"/>
      <c r="CGN6" s="88"/>
      <c r="CGO6" s="88"/>
      <c r="CGP6" s="88"/>
      <c r="CGQ6" s="88"/>
      <c r="CGR6" s="88"/>
      <c r="CGS6" s="88"/>
      <c r="CGT6" s="88"/>
      <c r="CGU6" s="88"/>
      <c r="CGV6" s="88"/>
      <c r="CGW6" s="88"/>
      <c r="CGX6" s="88"/>
      <c r="CGY6" s="88"/>
      <c r="CGZ6" s="88"/>
      <c r="CHA6" s="88"/>
      <c r="CHB6" s="88"/>
      <c r="CHC6" s="88"/>
      <c r="CHD6" s="88"/>
      <c r="CHE6" s="88"/>
      <c r="CHF6" s="88"/>
      <c r="CHG6" s="88"/>
      <c r="CHH6" s="88"/>
      <c r="CHI6" s="88"/>
      <c r="CHJ6" s="88"/>
      <c r="CHK6" s="88"/>
      <c r="CHL6" s="88"/>
      <c r="CHM6" s="88"/>
      <c r="CHN6" s="88"/>
      <c r="CHO6" s="88"/>
      <c r="CHP6" s="88"/>
      <c r="CHQ6" s="88"/>
      <c r="CHR6" s="88"/>
      <c r="CHS6" s="88"/>
      <c r="CHT6" s="88"/>
      <c r="CHU6" s="88"/>
      <c r="CHV6" s="88"/>
      <c r="CHW6" s="88"/>
      <c r="CHX6" s="88"/>
      <c r="CHY6" s="88"/>
      <c r="CHZ6" s="88"/>
      <c r="CIA6" s="88"/>
      <c r="CIB6" s="88"/>
      <c r="CIC6" s="88"/>
      <c r="CID6" s="88"/>
      <c r="CIE6" s="88"/>
      <c r="CIF6" s="88"/>
      <c r="CIG6" s="88"/>
      <c r="CIH6" s="88"/>
      <c r="CII6" s="88"/>
      <c r="CIJ6" s="88"/>
      <c r="CIK6" s="88"/>
      <c r="CIL6" s="88"/>
      <c r="CIM6" s="88"/>
      <c r="CIN6" s="88"/>
      <c r="CIO6" s="88"/>
      <c r="CIP6" s="88"/>
      <c r="CIQ6" s="88"/>
      <c r="CIR6" s="88"/>
      <c r="CIS6" s="88"/>
      <c r="CIT6" s="88"/>
      <c r="CIU6" s="88"/>
      <c r="CIV6" s="88"/>
      <c r="CIW6" s="88"/>
      <c r="CIX6" s="88"/>
      <c r="CIY6" s="88"/>
      <c r="CIZ6" s="88"/>
      <c r="CJA6" s="88"/>
      <c r="CJB6" s="88"/>
      <c r="CJC6" s="88"/>
      <c r="CJD6" s="88"/>
      <c r="CJE6" s="88"/>
      <c r="CJF6" s="88"/>
      <c r="CJG6" s="88"/>
      <c r="CJH6" s="88"/>
      <c r="CJI6" s="88"/>
      <c r="CJJ6" s="88"/>
      <c r="CJK6" s="88"/>
      <c r="CJL6" s="88"/>
      <c r="CJM6" s="88"/>
      <c r="CJN6" s="88"/>
      <c r="CJO6" s="88"/>
      <c r="CJP6" s="88"/>
      <c r="CJQ6" s="88"/>
      <c r="CJR6" s="88"/>
      <c r="CJS6" s="88"/>
      <c r="CJT6" s="88"/>
      <c r="CJU6" s="88"/>
      <c r="CJV6" s="88"/>
      <c r="CJW6" s="88"/>
      <c r="CJX6" s="88"/>
      <c r="CJY6" s="88"/>
      <c r="CJZ6" s="88"/>
      <c r="CKA6" s="88"/>
      <c r="CKB6" s="88"/>
      <c r="CKC6" s="88"/>
      <c r="CKD6" s="88"/>
      <c r="CKE6" s="88"/>
      <c r="CKF6" s="88"/>
      <c r="CKG6" s="88"/>
      <c r="CKH6" s="88"/>
      <c r="CKI6" s="88"/>
      <c r="CKJ6" s="88"/>
      <c r="CKK6" s="88"/>
      <c r="CKL6" s="88"/>
      <c r="CKM6" s="88"/>
      <c r="CKN6" s="88"/>
      <c r="CKO6" s="88"/>
      <c r="CKP6" s="88"/>
      <c r="CKQ6" s="88"/>
      <c r="CKR6" s="88"/>
      <c r="CKS6" s="88"/>
      <c r="CKT6" s="88"/>
      <c r="CKU6" s="88"/>
      <c r="CKV6" s="88"/>
      <c r="CKW6" s="88"/>
      <c r="CKX6" s="88"/>
      <c r="CKY6" s="88"/>
      <c r="CKZ6" s="88"/>
      <c r="CLA6" s="88"/>
      <c r="CLB6" s="88"/>
      <c r="CLC6" s="88"/>
      <c r="CLD6" s="88"/>
      <c r="CLE6" s="88"/>
      <c r="CLF6" s="88"/>
      <c r="CLG6" s="88"/>
      <c r="CLH6" s="88"/>
      <c r="CLI6" s="88"/>
      <c r="CLJ6" s="88"/>
      <c r="CLK6" s="88"/>
      <c r="CLL6" s="88"/>
      <c r="CLM6" s="88"/>
      <c r="CLN6" s="88"/>
      <c r="CLO6" s="88"/>
      <c r="CLP6" s="88"/>
      <c r="CLQ6" s="88"/>
      <c r="CLR6" s="88"/>
      <c r="CLS6" s="88"/>
      <c r="CLT6" s="88"/>
      <c r="CLU6" s="88"/>
      <c r="CLV6" s="88"/>
      <c r="CLW6" s="88"/>
      <c r="CLX6" s="88"/>
      <c r="CLY6" s="88"/>
      <c r="CLZ6" s="88"/>
      <c r="CMA6" s="88"/>
      <c r="CMB6" s="88"/>
      <c r="CMC6" s="88"/>
      <c r="CMD6" s="88"/>
      <c r="CME6" s="88"/>
      <c r="CMF6" s="88"/>
      <c r="CMG6" s="88"/>
      <c r="CMH6" s="88"/>
      <c r="CMI6" s="88"/>
      <c r="CMJ6" s="88"/>
      <c r="CMK6" s="88"/>
      <c r="CML6" s="88"/>
      <c r="CMM6" s="88"/>
      <c r="CMN6" s="88"/>
      <c r="CMO6" s="88"/>
      <c r="CMP6" s="88"/>
      <c r="CMQ6" s="88"/>
      <c r="CMR6" s="88"/>
      <c r="CMS6" s="88"/>
      <c r="CMT6" s="88"/>
      <c r="CMU6" s="88"/>
      <c r="CMV6" s="88"/>
      <c r="CMW6" s="88"/>
      <c r="CMX6" s="88"/>
      <c r="CMY6" s="88"/>
      <c r="CMZ6" s="88"/>
      <c r="CNA6" s="88"/>
      <c r="CNB6" s="88"/>
      <c r="CNC6" s="88"/>
      <c r="CND6" s="88"/>
      <c r="CNE6" s="88"/>
      <c r="CNF6" s="88"/>
      <c r="CNG6" s="88"/>
      <c r="CNH6" s="88"/>
      <c r="CNI6" s="88"/>
      <c r="CNJ6" s="88"/>
      <c r="CNK6" s="88"/>
      <c r="CNL6" s="88"/>
      <c r="CNM6" s="88"/>
      <c r="CNN6" s="88"/>
      <c r="CNO6" s="88"/>
      <c r="CNP6" s="88"/>
      <c r="CNQ6" s="88"/>
      <c r="CNR6" s="88"/>
      <c r="CNS6" s="88"/>
      <c r="CNT6" s="88"/>
      <c r="CNU6" s="88"/>
      <c r="CNV6" s="88"/>
      <c r="CNW6" s="88"/>
      <c r="CNX6" s="88"/>
      <c r="CNY6" s="88"/>
      <c r="CNZ6" s="88"/>
      <c r="COA6" s="88"/>
      <c r="COB6" s="88"/>
      <c r="COC6" s="88"/>
      <c r="COD6" s="88"/>
      <c r="COE6" s="88"/>
      <c r="COF6" s="88"/>
      <c r="COG6" s="88"/>
      <c r="COH6" s="88"/>
      <c r="COI6" s="88"/>
      <c r="COJ6" s="88"/>
      <c r="COK6" s="88"/>
      <c r="COL6" s="88"/>
      <c r="COM6" s="88"/>
      <c r="CON6" s="88"/>
      <c r="COO6" s="88"/>
      <c r="COP6" s="88"/>
      <c r="COQ6" s="88"/>
      <c r="COR6" s="88"/>
      <c r="COS6" s="88"/>
      <c r="COT6" s="88"/>
      <c r="COU6" s="88"/>
      <c r="COV6" s="88"/>
      <c r="COW6" s="88"/>
      <c r="COX6" s="88"/>
      <c r="COY6" s="88"/>
      <c r="COZ6" s="88"/>
      <c r="CPA6" s="88"/>
      <c r="CPB6" s="88"/>
      <c r="CPC6" s="88"/>
      <c r="CPD6" s="88"/>
      <c r="CPE6" s="88"/>
      <c r="CPF6" s="88"/>
      <c r="CPG6" s="88"/>
      <c r="CPH6" s="88"/>
      <c r="CPI6" s="88"/>
      <c r="CPJ6" s="88"/>
      <c r="CPK6" s="88"/>
      <c r="CPL6" s="88"/>
      <c r="CPM6" s="88"/>
      <c r="CPN6" s="88"/>
      <c r="CPO6" s="88"/>
      <c r="CPP6" s="88"/>
      <c r="CPQ6" s="88"/>
      <c r="CPR6" s="88"/>
      <c r="CPS6" s="88"/>
      <c r="CPT6" s="88"/>
      <c r="CPU6" s="88"/>
      <c r="CPV6" s="88"/>
      <c r="CPW6" s="88"/>
      <c r="CPX6" s="88"/>
      <c r="CPY6" s="88"/>
      <c r="CPZ6" s="88"/>
      <c r="CQA6" s="88"/>
      <c r="CQB6" s="88"/>
      <c r="CQC6" s="88"/>
      <c r="CQD6" s="88"/>
      <c r="CQE6" s="88"/>
      <c r="CQF6" s="88"/>
      <c r="CQG6" s="88"/>
      <c r="CQH6" s="88"/>
      <c r="CQI6" s="88"/>
      <c r="CQJ6" s="88"/>
      <c r="CQK6" s="88"/>
      <c r="CQL6" s="88"/>
      <c r="CQM6" s="88"/>
      <c r="CQN6" s="88"/>
      <c r="CQO6" s="88"/>
      <c r="CQP6" s="88"/>
      <c r="CQQ6" s="88"/>
      <c r="CQR6" s="88"/>
      <c r="CQS6" s="88"/>
      <c r="CQT6" s="88"/>
      <c r="CQU6" s="88"/>
      <c r="CQV6" s="88"/>
      <c r="CQW6" s="88"/>
      <c r="CQX6" s="88"/>
      <c r="CQY6" s="88"/>
      <c r="CQZ6" s="88"/>
      <c r="CRA6" s="88"/>
      <c r="CRB6" s="88"/>
      <c r="CRC6" s="88"/>
      <c r="CRD6" s="88"/>
      <c r="CRE6" s="88"/>
      <c r="CRF6" s="88"/>
      <c r="CRG6" s="88"/>
      <c r="CRH6" s="88"/>
      <c r="CRI6" s="88"/>
      <c r="CRJ6" s="88"/>
      <c r="CRK6" s="88"/>
      <c r="CRL6" s="88"/>
      <c r="CRM6" s="88"/>
      <c r="CRN6" s="88"/>
      <c r="CRO6" s="88"/>
      <c r="CRP6" s="88"/>
      <c r="CRQ6" s="88"/>
      <c r="CRR6" s="88"/>
      <c r="CRS6" s="88"/>
      <c r="CRT6" s="88"/>
      <c r="CRU6" s="88"/>
      <c r="CRV6" s="88"/>
      <c r="CRW6" s="88"/>
      <c r="CRX6" s="88"/>
      <c r="CRY6" s="88"/>
      <c r="CRZ6" s="88"/>
      <c r="CSA6" s="88"/>
      <c r="CSB6" s="88"/>
      <c r="CSC6" s="88"/>
      <c r="CSD6" s="90"/>
    </row>
    <row r="7" spans="1:2526" ht="20.100000000000001" customHeight="1" thickBot="1" x14ac:dyDescent="0.3">
      <c r="B7" s="96"/>
      <c r="C7" s="217"/>
      <c r="D7" s="217"/>
      <c r="E7" s="21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88"/>
      <c r="BLW7" s="88"/>
      <c r="BLX7" s="88"/>
      <c r="BLY7" s="88"/>
      <c r="BLZ7" s="88"/>
      <c r="BMA7" s="88"/>
      <c r="BMB7" s="88"/>
      <c r="BMC7" s="88"/>
      <c r="BMD7" s="88"/>
      <c r="BME7" s="88"/>
      <c r="BMF7" s="88"/>
      <c r="BMG7" s="88"/>
      <c r="BMH7" s="88"/>
      <c r="BMI7" s="88"/>
      <c r="BMJ7" s="88"/>
      <c r="BMK7" s="88"/>
      <c r="BML7" s="88"/>
      <c r="BMM7" s="88"/>
      <c r="BMN7" s="88"/>
      <c r="BMO7" s="88"/>
      <c r="BMP7" s="88"/>
      <c r="BMQ7" s="88"/>
      <c r="BMR7" s="88"/>
      <c r="BMS7" s="88"/>
      <c r="BMT7" s="88"/>
      <c r="BMU7" s="88"/>
      <c r="BMV7" s="88"/>
      <c r="BMW7" s="88"/>
      <c r="BMX7" s="88"/>
      <c r="BMY7" s="88"/>
      <c r="BMZ7" s="88"/>
      <c r="BNA7" s="88"/>
      <c r="BNB7" s="88"/>
      <c r="BNC7" s="88"/>
      <c r="BND7" s="88"/>
      <c r="BNE7" s="88"/>
      <c r="BNF7" s="88"/>
      <c r="BNG7" s="88"/>
      <c r="BNH7" s="88"/>
      <c r="BNI7" s="88"/>
      <c r="BNJ7" s="88"/>
      <c r="BNK7" s="88"/>
      <c r="BNL7" s="88"/>
      <c r="BNM7" s="88"/>
      <c r="BNN7" s="88"/>
      <c r="BNO7" s="88"/>
      <c r="BNP7" s="88"/>
      <c r="BNQ7" s="88"/>
      <c r="BNR7" s="88"/>
      <c r="BNS7" s="88"/>
      <c r="BNT7" s="88"/>
      <c r="BNU7" s="88"/>
      <c r="BNV7" s="88"/>
      <c r="BNW7" s="88"/>
      <c r="BNX7" s="88"/>
      <c r="BNY7" s="88"/>
      <c r="BNZ7" s="88"/>
      <c r="BOA7" s="88"/>
      <c r="BOB7" s="88"/>
      <c r="BOC7" s="88"/>
      <c r="BOD7" s="88"/>
      <c r="BOE7" s="88"/>
      <c r="BOF7" s="88"/>
      <c r="BOG7" s="88"/>
      <c r="BOH7" s="88"/>
      <c r="BOI7" s="88"/>
      <c r="BOJ7" s="88"/>
      <c r="BOK7" s="88"/>
      <c r="BOL7" s="88"/>
      <c r="BOM7" s="88"/>
      <c r="BON7" s="88"/>
      <c r="BOO7" s="88"/>
      <c r="BOP7" s="88"/>
      <c r="BOQ7" s="88"/>
      <c r="BOR7" s="88"/>
      <c r="BOS7" s="88"/>
      <c r="BOT7" s="88"/>
      <c r="BOU7" s="88"/>
      <c r="BOV7" s="88"/>
      <c r="BOW7" s="88"/>
      <c r="BOX7" s="88"/>
      <c r="BOY7" s="88"/>
      <c r="BOZ7" s="88"/>
      <c r="BPA7" s="88"/>
      <c r="BPB7" s="88"/>
      <c r="BPC7" s="88"/>
      <c r="BPD7" s="88"/>
      <c r="BPE7" s="88"/>
      <c r="BPF7" s="88"/>
      <c r="BPG7" s="88"/>
      <c r="BPH7" s="88"/>
      <c r="BPI7" s="88"/>
      <c r="BPJ7" s="88"/>
      <c r="BPK7" s="88"/>
      <c r="BPL7" s="88"/>
      <c r="BPM7" s="88"/>
      <c r="BPN7" s="88"/>
      <c r="BPO7" s="88"/>
      <c r="BPP7" s="88"/>
      <c r="BPQ7" s="88"/>
      <c r="BPR7" s="88"/>
      <c r="BPS7" s="88"/>
      <c r="BPT7" s="88"/>
      <c r="BPU7" s="88"/>
      <c r="BPV7" s="88"/>
      <c r="BPW7" s="88"/>
      <c r="BPX7" s="88"/>
      <c r="BPY7" s="88"/>
      <c r="BPZ7" s="88"/>
      <c r="BQA7" s="88"/>
      <c r="BQB7" s="88"/>
      <c r="BQC7" s="88"/>
      <c r="BQD7" s="88"/>
      <c r="BQE7" s="88"/>
      <c r="BQF7" s="88"/>
      <c r="BQG7" s="88"/>
      <c r="BQH7" s="88"/>
      <c r="BQI7" s="88"/>
      <c r="BQJ7" s="88"/>
      <c r="BQK7" s="88"/>
      <c r="BQL7" s="88"/>
      <c r="BQM7" s="88"/>
      <c r="BQN7" s="88"/>
      <c r="BQO7" s="88"/>
      <c r="BQP7" s="88"/>
      <c r="BQQ7" s="88"/>
      <c r="BQR7" s="88"/>
      <c r="BQS7" s="88"/>
      <c r="BQT7" s="88"/>
      <c r="BQU7" s="88"/>
      <c r="BQV7" s="88"/>
      <c r="BQW7" s="88"/>
      <c r="BQX7" s="88"/>
      <c r="BQY7" s="88"/>
      <c r="BQZ7" s="88"/>
      <c r="BRA7" s="88"/>
      <c r="BRB7" s="88"/>
      <c r="BRC7" s="88"/>
      <c r="BRD7" s="88"/>
      <c r="BRE7" s="88"/>
      <c r="BRF7" s="88"/>
      <c r="BRG7" s="88"/>
      <c r="BRH7" s="88"/>
      <c r="BRI7" s="88"/>
      <c r="BRJ7" s="88"/>
      <c r="BRK7" s="88"/>
      <c r="BRL7" s="88"/>
      <c r="BRM7" s="88"/>
      <c r="BRN7" s="88"/>
      <c r="BRO7" s="88"/>
      <c r="BRP7" s="88"/>
      <c r="BRQ7" s="88"/>
      <c r="BRR7" s="88"/>
      <c r="BRS7" s="88"/>
      <c r="BRT7" s="88"/>
      <c r="BRU7" s="88"/>
      <c r="BRV7" s="88"/>
      <c r="BRW7" s="88"/>
      <c r="BRX7" s="88"/>
      <c r="BRY7" s="88"/>
      <c r="BRZ7" s="88"/>
      <c r="BSA7" s="88"/>
      <c r="BSB7" s="88"/>
      <c r="BSC7" s="88"/>
      <c r="BSD7" s="88"/>
      <c r="BSE7" s="88"/>
      <c r="BSF7" s="88"/>
      <c r="BSG7" s="88"/>
      <c r="BSH7" s="88"/>
      <c r="BSI7" s="88"/>
      <c r="BSJ7" s="88"/>
      <c r="BSK7" s="88"/>
      <c r="BSL7" s="88"/>
      <c r="BSM7" s="88"/>
      <c r="BSN7" s="88"/>
      <c r="BSO7" s="88"/>
      <c r="BSP7" s="88"/>
      <c r="BSQ7" s="88"/>
      <c r="BSR7" s="88"/>
      <c r="BSS7" s="88"/>
      <c r="BST7" s="88"/>
      <c r="BSU7" s="88"/>
      <c r="BSV7" s="88"/>
      <c r="BSW7" s="88"/>
      <c r="BSX7" s="88"/>
      <c r="BSY7" s="88"/>
      <c r="BSZ7" s="88"/>
      <c r="BTA7" s="88"/>
      <c r="BTB7" s="88"/>
      <c r="BTC7" s="88"/>
      <c r="BTD7" s="88"/>
      <c r="BTE7" s="88"/>
      <c r="BTF7" s="88"/>
      <c r="BTG7" s="88"/>
      <c r="BTH7" s="88"/>
      <c r="BTI7" s="88"/>
      <c r="BTJ7" s="88"/>
      <c r="BTK7" s="88"/>
      <c r="BTL7" s="88"/>
      <c r="BTM7" s="88"/>
      <c r="BTN7" s="88"/>
      <c r="BTO7" s="88"/>
      <c r="BTP7" s="88"/>
      <c r="BTQ7" s="88"/>
      <c r="BTR7" s="88"/>
      <c r="BTS7" s="88"/>
      <c r="BTT7" s="88"/>
      <c r="BTU7" s="88"/>
      <c r="BTV7" s="88"/>
      <c r="BTW7" s="88"/>
      <c r="BTX7" s="88"/>
      <c r="BTY7" s="88"/>
      <c r="BTZ7" s="88"/>
      <c r="BUA7" s="88"/>
      <c r="BUB7" s="88"/>
      <c r="BUC7" s="88"/>
      <c r="BUD7" s="88"/>
      <c r="BUE7" s="88"/>
      <c r="BUF7" s="88"/>
      <c r="BUG7" s="88"/>
      <c r="BUH7" s="88"/>
      <c r="BUI7" s="88"/>
      <c r="BUJ7" s="88"/>
      <c r="BUK7" s="88"/>
      <c r="BUL7" s="88"/>
      <c r="BUM7" s="88"/>
      <c r="BUN7" s="88"/>
      <c r="BUO7" s="88"/>
      <c r="BUP7" s="88"/>
      <c r="BUQ7" s="88"/>
      <c r="BUR7" s="88"/>
      <c r="BUS7" s="88"/>
      <c r="BUT7" s="88"/>
      <c r="BUU7" s="88"/>
      <c r="BUV7" s="88"/>
      <c r="BUW7" s="88"/>
      <c r="BUX7" s="88"/>
      <c r="BUY7" s="88"/>
      <c r="BUZ7" s="88"/>
      <c r="BVA7" s="88"/>
      <c r="BVB7" s="88"/>
      <c r="BVC7" s="88"/>
      <c r="BVD7" s="88"/>
      <c r="BVE7" s="88"/>
      <c r="BVF7" s="88"/>
      <c r="BVG7" s="88"/>
      <c r="BVH7" s="88"/>
      <c r="BVI7" s="88"/>
      <c r="BVJ7" s="88"/>
      <c r="BVK7" s="88"/>
      <c r="BVL7" s="88"/>
      <c r="BVM7" s="88"/>
      <c r="BVN7" s="88"/>
      <c r="BVO7" s="88"/>
      <c r="BVP7" s="88"/>
      <c r="BVQ7" s="88"/>
      <c r="BVR7" s="88"/>
      <c r="BVS7" s="88"/>
      <c r="BVT7" s="88"/>
      <c r="BVU7" s="88"/>
      <c r="BVV7" s="88"/>
      <c r="BVW7" s="88"/>
      <c r="BVX7" s="88"/>
      <c r="BVY7" s="88"/>
      <c r="BVZ7" s="88"/>
      <c r="BWA7" s="88"/>
      <c r="BWB7" s="88"/>
      <c r="BWC7" s="88"/>
      <c r="BWD7" s="88"/>
      <c r="BWE7" s="88"/>
      <c r="BWF7" s="88"/>
      <c r="BWG7" s="88"/>
      <c r="BWH7" s="88"/>
      <c r="BWI7" s="88"/>
      <c r="BWJ7" s="88"/>
      <c r="BWK7" s="88"/>
      <c r="BWL7" s="88"/>
      <c r="BWM7" s="88"/>
      <c r="BWN7" s="88"/>
      <c r="BWO7" s="88"/>
      <c r="BWP7" s="88"/>
      <c r="BWQ7" s="88"/>
      <c r="BWR7" s="88"/>
      <c r="BWS7" s="88"/>
      <c r="BWT7" s="88"/>
      <c r="BWU7" s="88"/>
      <c r="BWV7" s="88"/>
      <c r="BWW7" s="88"/>
      <c r="BWX7" s="88"/>
      <c r="BWY7" s="88"/>
      <c r="BWZ7" s="88"/>
      <c r="BXA7" s="88"/>
      <c r="BXB7" s="88"/>
      <c r="BXC7" s="88"/>
      <c r="BXD7" s="88"/>
      <c r="BXE7" s="88"/>
      <c r="BXF7" s="88"/>
      <c r="BXG7" s="88"/>
      <c r="BXH7" s="88"/>
      <c r="BXI7" s="88"/>
      <c r="BXJ7" s="88"/>
      <c r="BXK7" s="88"/>
      <c r="BXL7" s="88"/>
      <c r="BXM7" s="88"/>
      <c r="BXN7" s="88"/>
      <c r="BXO7" s="88"/>
      <c r="BXP7" s="88"/>
      <c r="BXQ7" s="88"/>
      <c r="BXR7" s="88"/>
      <c r="BXS7" s="88"/>
      <c r="BXT7" s="88"/>
      <c r="BXU7" s="88"/>
      <c r="BXV7" s="88"/>
      <c r="BXW7" s="88"/>
      <c r="BXX7" s="88"/>
      <c r="BXY7" s="88"/>
      <c r="BXZ7" s="88"/>
      <c r="BYA7" s="88"/>
      <c r="BYB7" s="88"/>
      <c r="BYC7" s="88"/>
      <c r="BYD7" s="88"/>
      <c r="BYE7" s="88"/>
      <c r="BYF7" s="88"/>
      <c r="BYG7" s="88"/>
      <c r="BYH7" s="88"/>
      <c r="BYI7" s="88"/>
      <c r="BYJ7" s="88"/>
      <c r="BYK7" s="88"/>
      <c r="BYL7" s="88"/>
      <c r="BYM7" s="88"/>
      <c r="BYN7" s="88"/>
      <c r="BYO7" s="88"/>
      <c r="BYP7" s="88"/>
      <c r="BYQ7" s="88"/>
      <c r="BYR7" s="88"/>
      <c r="BYS7" s="88"/>
      <c r="BYT7" s="88"/>
      <c r="BYU7" s="88"/>
      <c r="BYV7" s="88"/>
      <c r="BYW7" s="88"/>
      <c r="BYX7" s="88"/>
      <c r="BYY7" s="88"/>
      <c r="BYZ7" s="88"/>
      <c r="BZA7" s="88"/>
      <c r="BZB7" s="88"/>
      <c r="BZC7" s="88"/>
      <c r="BZD7" s="88"/>
      <c r="BZE7" s="88"/>
      <c r="BZF7" s="88"/>
      <c r="BZG7" s="88"/>
      <c r="BZH7" s="88"/>
      <c r="BZI7" s="88"/>
      <c r="BZJ7" s="88"/>
      <c r="BZK7" s="88"/>
      <c r="BZL7" s="88"/>
      <c r="BZM7" s="88"/>
      <c r="BZN7" s="88"/>
      <c r="BZO7" s="88"/>
      <c r="BZP7" s="88"/>
      <c r="BZQ7" s="88"/>
      <c r="BZR7" s="88"/>
      <c r="BZS7" s="88"/>
      <c r="BZT7" s="88"/>
      <c r="BZU7" s="88"/>
      <c r="BZV7" s="88"/>
      <c r="BZW7" s="88"/>
      <c r="BZX7" s="88"/>
      <c r="BZY7" s="88"/>
      <c r="BZZ7" s="88"/>
      <c r="CAA7" s="88"/>
      <c r="CAB7" s="88"/>
      <c r="CAC7" s="88"/>
      <c r="CAD7" s="88"/>
      <c r="CAE7" s="88"/>
      <c r="CAF7" s="88"/>
      <c r="CAG7" s="88"/>
      <c r="CAH7" s="88"/>
      <c r="CAI7" s="88"/>
      <c r="CAJ7" s="88"/>
      <c r="CAK7" s="88"/>
      <c r="CAL7" s="88"/>
      <c r="CAM7" s="88"/>
      <c r="CAN7" s="88"/>
      <c r="CAO7" s="88"/>
      <c r="CAP7" s="88"/>
      <c r="CAQ7" s="88"/>
      <c r="CAR7" s="88"/>
      <c r="CAS7" s="88"/>
      <c r="CAT7" s="88"/>
      <c r="CAU7" s="88"/>
      <c r="CAV7" s="88"/>
      <c r="CAW7" s="88"/>
      <c r="CAX7" s="88"/>
      <c r="CAY7" s="88"/>
      <c r="CAZ7" s="88"/>
      <c r="CBA7" s="88"/>
      <c r="CBB7" s="88"/>
      <c r="CBC7" s="88"/>
      <c r="CBD7" s="88"/>
      <c r="CBE7" s="88"/>
      <c r="CBF7" s="88"/>
      <c r="CBG7" s="88"/>
      <c r="CBH7" s="88"/>
      <c r="CBI7" s="88"/>
      <c r="CBJ7" s="88"/>
      <c r="CBK7" s="88"/>
      <c r="CBL7" s="88"/>
      <c r="CBM7" s="88"/>
      <c r="CBN7" s="88"/>
      <c r="CBO7" s="88"/>
      <c r="CBP7" s="88"/>
      <c r="CBQ7" s="88"/>
      <c r="CBR7" s="88"/>
      <c r="CBS7" s="88"/>
      <c r="CBT7" s="88"/>
      <c r="CBU7" s="88"/>
      <c r="CBV7" s="88"/>
      <c r="CBW7" s="88"/>
      <c r="CBX7" s="88"/>
      <c r="CBY7" s="88"/>
      <c r="CBZ7" s="88"/>
      <c r="CCA7" s="88"/>
      <c r="CCB7" s="88"/>
      <c r="CCC7" s="88"/>
      <c r="CCD7" s="88"/>
      <c r="CCE7" s="88"/>
      <c r="CCF7" s="88"/>
      <c r="CCG7" s="88"/>
      <c r="CCH7" s="88"/>
      <c r="CCI7" s="88"/>
      <c r="CCJ7" s="88"/>
      <c r="CCK7" s="88"/>
      <c r="CCL7" s="88"/>
      <c r="CCM7" s="88"/>
      <c r="CCN7" s="88"/>
      <c r="CCO7" s="88"/>
      <c r="CCP7" s="88"/>
      <c r="CCQ7" s="88"/>
      <c r="CCR7" s="88"/>
      <c r="CCS7" s="88"/>
      <c r="CCT7" s="88"/>
      <c r="CCU7" s="88"/>
      <c r="CCV7" s="88"/>
      <c r="CCW7" s="88"/>
      <c r="CCX7" s="88"/>
      <c r="CCY7" s="88"/>
      <c r="CCZ7" s="88"/>
      <c r="CDA7" s="88"/>
      <c r="CDB7" s="88"/>
      <c r="CDC7" s="88"/>
      <c r="CDD7" s="88"/>
      <c r="CDE7" s="88"/>
      <c r="CDF7" s="88"/>
      <c r="CDG7" s="88"/>
      <c r="CDH7" s="88"/>
      <c r="CDI7" s="88"/>
      <c r="CDJ7" s="88"/>
      <c r="CDK7" s="88"/>
      <c r="CDL7" s="88"/>
      <c r="CDM7" s="88"/>
      <c r="CDN7" s="88"/>
      <c r="CDO7" s="88"/>
      <c r="CDP7" s="88"/>
      <c r="CDQ7" s="88"/>
      <c r="CDR7" s="88"/>
      <c r="CDS7" s="88"/>
      <c r="CDT7" s="88"/>
      <c r="CDU7" s="88"/>
      <c r="CDV7" s="88"/>
      <c r="CDW7" s="88"/>
      <c r="CDX7" s="88"/>
      <c r="CDY7" s="88"/>
      <c r="CDZ7" s="88"/>
      <c r="CEA7" s="88"/>
      <c r="CEB7" s="88"/>
      <c r="CEC7" s="88"/>
      <c r="CED7" s="88"/>
      <c r="CEE7" s="88"/>
      <c r="CEF7" s="88"/>
      <c r="CEG7" s="88"/>
      <c r="CEH7" s="88"/>
      <c r="CEI7" s="88"/>
      <c r="CEJ7" s="88"/>
      <c r="CEK7" s="88"/>
      <c r="CEL7" s="88"/>
      <c r="CEM7" s="88"/>
      <c r="CEN7" s="88"/>
      <c r="CEO7" s="88"/>
      <c r="CEP7" s="88"/>
      <c r="CEQ7" s="88"/>
      <c r="CER7" s="88"/>
      <c r="CES7" s="88"/>
      <c r="CET7" s="88"/>
      <c r="CEU7" s="88"/>
      <c r="CEV7" s="88"/>
      <c r="CEW7" s="88"/>
      <c r="CEX7" s="88"/>
      <c r="CEY7" s="88"/>
      <c r="CEZ7" s="88"/>
      <c r="CFA7" s="88"/>
      <c r="CFB7" s="88"/>
      <c r="CFC7" s="88"/>
      <c r="CFD7" s="88"/>
      <c r="CFE7" s="88"/>
      <c r="CFF7" s="88"/>
      <c r="CFG7" s="88"/>
      <c r="CFH7" s="88"/>
      <c r="CFI7" s="88"/>
      <c r="CFJ7" s="88"/>
      <c r="CFK7" s="88"/>
      <c r="CFL7" s="88"/>
      <c r="CFM7" s="88"/>
      <c r="CFN7" s="88"/>
      <c r="CFO7" s="88"/>
      <c r="CFP7" s="88"/>
      <c r="CFQ7" s="88"/>
      <c r="CFR7" s="88"/>
      <c r="CFS7" s="88"/>
      <c r="CFT7" s="88"/>
      <c r="CFU7" s="88"/>
      <c r="CFV7" s="88"/>
      <c r="CFW7" s="88"/>
      <c r="CFX7" s="88"/>
      <c r="CFY7" s="88"/>
      <c r="CFZ7" s="88"/>
      <c r="CGA7" s="88"/>
      <c r="CGB7" s="88"/>
      <c r="CGC7" s="88"/>
      <c r="CGD7" s="88"/>
      <c r="CGE7" s="88"/>
      <c r="CGF7" s="88"/>
      <c r="CGG7" s="88"/>
      <c r="CGH7" s="88"/>
      <c r="CGI7" s="88"/>
      <c r="CGJ7" s="88"/>
      <c r="CGK7" s="88"/>
      <c r="CGL7" s="88"/>
      <c r="CGM7" s="88"/>
      <c r="CGN7" s="88"/>
      <c r="CGO7" s="88"/>
      <c r="CGP7" s="88"/>
      <c r="CGQ7" s="88"/>
      <c r="CGR7" s="88"/>
      <c r="CGS7" s="88"/>
      <c r="CGT7" s="88"/>
      <c r="CGU7" s="88"/>
      <c r="CGV7" s="88"/>
      <c r="CGW7" s="88"/>
      <c r="CGX7" s="88"/>
      <c r="CGY7" s="88"/>
      <c r="CGZ7" s="88"/>
      <c r="CHA7" s="88"/>
      <c r="CHB7" s="88"/>
      <c r="CHC7" s="88"/>
      <c r="CHD7" s="88"/>
      <c r="CHE7" s="88"/>
      <c r="CHF7" s="88"/>
      <c r="CHG7" s="88"/>
      <c r="CHH7" s="88"/>
      <c r="CHI7" s="88"/>
      <c r="CHJ7" s="88"/>
      <c r="CHK7" s="88"/>
      <c r="CHL7" s="88"/>
      <c r="CHM7" s="88"/>
      <c r="CHN7" s="88"/>
      <c r="CHO7" s="88"/>
      <c r="CHP7" s="88"/>
      <c r="CHQ7" s="88"/>
      <c r="CHR7" s="88"/>
      <c r="CHS7" s="88"/>
      <c r="CHT7" s="88"/>
      <c r="CHU7" s="88"/>
      <c r="CHV7" s="88"/>
      <c r="CHW7" s="88"/>
      <c r="CHX7" s="88"/>
      <c r="CHY7" s="88"/>
      <c r="CHZ7" s="88"/>
      <c r="CIA7" s="88"/>
      <c r="CIB7" s="88"/>
      <c r="CIC7" s="88"/>
      <c r="CID7" s="88"/>
      <c r="CIE7" s="88"/>
      <c r="CIF7" s="88"/>
      <c r="CIG7" s="88"/>
      <c r="CIH7" s="88"/>
      <c r="CII7" s="88"/>
      <c r="CIJ7" s="88"/>
      <c r="CIK7" s="88"/>
      <c r="CIL7" s="88"/>
      <c r="CIM7" s="88"/>
      <c r="CIN7" s="88"/>
      <c r="CIO7" s="88"/>
      <c r="CIP7" s="88"/>
      <c r="CIQ7" s="88"/>
      <c r="CIR7" s="88"/>
      <c r="CIS7" s="88"/>
      <c r="CIT7" s="88"/>
      <c r="CIU7" s="88"/>
      <c r="CIV7" s="88"/>
      <c r="CIW7" s="88"/>
      <c r="CIX7" s="88"/>
      <c r="CIY7" s="88"/>
      <c r="CIZ7" s="88"/>
      <c r="CJA7" s="88"/>
      <c r="CJB7" s="88"/>
      <c r="CJC7" s="88"/>
      <c r="CJD7" s="88"/>
      <c r="CJE7" s="88"/>
      <c r="CJF7" s="88"/>
      <c r="CJG7" s="88"/>
      <c r="CJH7" s="88"/>
      <c r="CJI7" s="88"/>
      <c r="CJJ7" s="88"/>
      <c r="CJK7" s="88"/>
      <c r="CJL7" s="88"/>
      <c r="CJM7" s="88"/>
      <c r="CJN7" s="88"/>
      <c r="CJO7" s="88"/>
      <c r="CJP7" s="88"/>
      <c r="CJQ7" s="88"/>
      <c r="CJR7" s="88"/>
      <c r="CJS7" s="88"/>
      <c r="CJT7" s="88"/>
      <c r="CJU7" s="88"/>
      <c r="CJV7" s="88"/>
      <c r="CJW7" s="88"/>
      <c r="CJX7" s="88"/>
      <c r="CJY7" s="88"/>
      <c r="CJZ7" s="88"/>
      <c r="CKA7" s="88"/>
      <c r="CKB7" s="88"/>
      <c r="CKC7" s="88"/>
      <c r="CKD7" s="88"/>
      <c r="CKE7" s="88"/>
      <c r="CKF7" s="88"/>
      <c r="CKG7" s="88"/>
      <c r="CKH7" s="88"/>
      <c r="CKI7" s="88"/>
      <c r="CKJ7" s="88"/>
      <c r="CKK7" s="88"/>
      <c r="CKL7" s="88"/>
      <c r="CKM7" s="88"/>
      <c r="CKN7" s="88"/>
      <c r="CKO7" s="88"/>
      <c r="CKP7" s="88"/>
      <c r="CKQ7" s="88"/>
      <c r="CKR7" s="88"/>
      <c r="CKS7" s="88"/>
      <c r="CKT7" s="88"/>
      <c r="CKU7" s="88"/>
      <c r="CKV7" s="88"/>
      <c r="CKW7" s="88"/>
      <c r="CKX7" s="88"/>
      <c r="CKY7" s="88"/>
      <c r="CKZ7" s="88"/>
      <c r="CLA7" s="88"/>
      <c r="CLB7" s="88"/>
      <c r="CLC7" s="88"/>
      <c r="CLD7" s="88"/>
      <c r="CLE7" s="88"/>
      <c r="CLF7" s="88"/>
      <c r="CLG7" s="88"/>
      <c r="CLH7" s="88"/>
      <c r="CLI7" s="88"/>
      <c r="CLJ7" s="88"/>
      <c r="CLK7" s="88"/>
      <c r="CLL7" s="88"/>
      <c r="CLM7" s="88"/>
      <c r="CLN7" s="88"/>
      <c r="CLO7" s="88"/>
      <c r="CLP7" s="88"/>
      <c r="CLQ7" s="88"/>
      <c r="CLR7" s="88"/>
      <c r="CLS7" s="88"/>
      <c r="CLT7" s="88"/>
      <c r="CLU7" s="88"/>
      <c r="CLV7" s="88"/>
      <c r="CLW7" s="88"/>
      <c r="CLX7" s="88"/>
      <c r="CLY7" s="88"/>
      <c r="CLZ7" s="88"/>
      <c r="CMA7" s="88"/>
      <c r="CMB7" s="88"/>
      <c r="CMC7" s="88"/>
      <c r="CMD7" s="88"/>
      <c r="CME7" s="88"/>
      <c r="CMF7" s="88"/>
      <c r="CMG7" s="88"/>
      <c r="CMH7" s="88"/>
      <c r="CMI7" s="88"/>
      <c r="CMJ7" s="88"/>
      <c r="CMK7" s="88"/>
      <c r="CML7" s="88"/>
      <c r="CMM7" s="88"/>
      <c r="CMN7" s="88"/>
      <c r="CMO7" s="88"/>
      <c r="CMP7" s="88"/>
      <c r="CMQ7" s="88"/>
      <c r="CMR7" s="88"/>
      <c r="CMS7" s="88"/>
      <c r="CMT7" s="88"/>
      <c r="CMU7" s="88"/>
      <c r="CMV7" s="88"/>
      <c r="CMW7" s="88"/>
      <c r="CMX7" s="88"/>
      <c r="CMY7" s="88"/>
      <c r="CMZ7" s="88"/>
      <c r="CNA7" s="88"/>
      <c r="CNB7" s="88"/>
      <c r="CNC7" s="88"/>
      <c r="CND7" s="88"/>
      <c r="CNE7" s="88"/>
      <c r="CNF7" s="88"/>
      <c r="CNG7" s="88"/>
      <c r="CNH7" s="88"/>
      <c r="CNI7" s="88"/>
      <c r="CNJ7" s="88"/>
      <c r="CNK7" s="88"/>
      <c r="CNL7" s="88"/>
      <c r="CNM7" s="88"/>
      <c r="CNN7" s="88"/>
      <c r="CNO7" s="88"/>
      <c r="CNP7" s="88"/>
      <c r="CNQ7" s="88"/>
      <c r="CNR7" s="88"/>
      <c r="CNS7" s="88"/>
      <c r="CNT7" s="88"/>
      <c r="CNU7" s="88"/>
      <c r="CNV7" s="88"/>
      <c r="CNW7" s="88"/>
      <c r="CNX7" s="88"/>
      <c r="CNY7" s="88"/>
      <c r="CNZ7" s="88"/>
      <c r="COA7" s="88"/>
      <c r="COB7" s="88"/>
      <c r="COC7" s="88"/>
      <c r="COD7" s="88"/>
      <c r="COE7" s="88"/>
      <c r="COF7" s="88"/>
      <c r="COG7" s="88"/>
      <c r="COH7" s="88"/>
      <c r="COI7" s="88"/>
      <c r="COJ7" s="88"/>
      <c r="COK7" s="88"/>
      <c r="COL7" s="88"/>
      <c r="COM7" s="88"/>
      <c r="CON7" s="88"/>
      <c r="COO7" s="88"/>
      <c r="COP7" s="88"/>
      <c r="COQ7" s="88"/>
      <c r="COR7" s="88"/>
      <c r="COS7" s="88"/>
      <c r="COT7" s="88"/>
      <c r="COU7" s="88"/>
      <c r="COV7" s="88"/>
      <c r="COW7" s="88"/>
      <c r="COX7" s="88"/>
      <c r="COY7" s="88"/>
      <c r="COZ7" s="88"/>
      <c r="CPA7" s="88"/>
      <c r="CPB7" s="88"/>
      <c r="CPC7" s="88"/>
      <c r="CPD7" s="88"/>
      <c r="CPE7" s="88"/>
      <c r="CPF7" s="88"/>
      <c r="CPG7" s="88"/>
      <c r="CPH7" s="88"/>
      <c r="CPI7" s="88"/>
      <c r="CPJ7" s="88"/>
      <c r="CPK7" s="88"/>
      <c r="CPL7" s="88"/>
      <c r="CPM7" s="88"/>
      <c r="CPN7" s="88"/>
      <c r="CPO7" s="88"/>
      <c r="CPP7" s="88"/>
      <c r="CPQ7" s="88"/>
      <c r="CPR7" s="88"/>
      <c r="CPS7" s="88"/>
      <c r="CPT7" s="88"/>
      <c r="CPU7" s="88"/>
      <c r="CPV7" s="88"/>
      <c r="CPW7" s="88"/>
      <c r="CPX7" s="88"/>
      <c r="CPY7" s="88"/>
      <c r="CPZ7" s="88"/>
      <c r="CQA7" s="88"/>
      <c r="CQB7" s="88"/>
      <c r="CQC7" s="88"/>
      <c r="CQD7" s="88"/>
      <c r="CQE7" s="88"/>
      <c r="CQF7" s="88"/>
      <c r="CQG7" s="88"/>
      <c r="CQH7" s="88"/>
      <c r="CQI7" s="88"/>
      <c r="CQJ7" s="88"/>
      <c r="CQK7" s="88"/>
      <c r="CQL7" s="88"/>
      <c r="CQM7" s="88"/>
      <c r="CQN7" s="88"/>
      <c r="CQO7" s="88"/>
      <c r="CQP7" s="88"/>
      <c r="CQQ7" s="88"/>
      <c r="CQR7" s="88"/>
      <c r="CQS7" s="88"/>
      <c r="CQT7" s="88"/>
      <c r="CQU7" s="88"/>
      <c r="CQV7" s="88"/>
      <c r="CQW7" s="88"/>
      <c r="CQX7" s="88"/>
      <c r="CQY7" s="88"/>
      <c r="CQZ7" s="88"/>
      <c r="CRA7" s="88"/>
      <c r="CRB7" s="88"/>
      <c r="CRC7" s="88"/>
      <c r="CRD7" s="88"/>
      <c r="CRE7" s="88"/>
      <c r="CRF7" s="88"/>
      <c r="CRG7" s="88"/>
      <c r="CRH7" s="88"/>
      <c r="CRI7" s="88"/>
      <c r="CRJ7" s="88"/>
      <c r="CRK7" s="88"/>
      <c r="CRL7" s="88"/>
      <c r="CRM7" s="88"/>
      <c r="CRN7" s="88"/>
      <c r="CRO7" s="88"/>
      <c r="CRP7" s="88"/>
      <c r="CRQ7" s="88"/>
      <c r="CRR7" s="88"/>
      <c r="CRS7" s="88"/>
      <c r="CRT7" s="88"/>
      <c r="CRU7" s="88"/>
      <c r="CRV7" s="88"/>
      <c r="CRW7" s="88"/>
      <c r="CRX7" s="88"/>
      <c r="CRY7" s="88"/>
      <c r="CRZ7" s="88"/>
      <c r="CSA7" s="88"/>
      <c r="CSB7" s="88"/>
      <c r="CSC7" s="88"/>
      <c r="CSD7" s="90"/>
    </row>
    <row r="8" spans="1:2526" ht="30" customHeight="1" x14ac:dyDescent="0.25">
      <c r="B8" s="96"/>
      <c r="C8" s="7" t="s">
        <v>3</v>
      </c>
      <c r="D8" s="140"/>
      <c r="E8" s="8" t="s">
        <v>40</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88"/>
      <c r="BLW8" s="88"/>
      <c r="BLX8" s="88"/>
      <c r="BLY8" s="88"/>
      <c r="BLZ8" s="88"/>
      <c r="BMA8" s="88"/>
      <c r="BMB8" s="88"/>
      <c r="BMC8" s="88"/>
      <c r="BMD8" s="88"/>
      <c r="BME8" s="88"/>
      <c r="BMF8" s="88"/>
      <c r="BMG8" s="88"/>
      <c r="BMH8" s="88"/>
      <c r="BMI8" s="88"/>
      <c r="BMJ8" s="88"/>
      <c r="BMK8" s="88"/>
      <c r="BML8" s="88"/>
      <c r="BMM8" s="88"/>
      <c r="BMN8" s="88"/>
      <c r="BMO8" s="88"/>
      <c r="BMP8" s="88"/>
      <c r="BMQ8" s="88"/>
      <c r="BMR8" s="88"/>
      <c r="BMS8" s="88"/>
      <c r="BMT8" s="88"/>
      <c r="BMU8" s="88"/>
      <c r="BMV8" s="88"/>
      <c r="BMW8" s="88"/>
      <c r="BMX8" s="88"/>
      <c r="BMY8" s="88"/>
      <c r="BMZ8" s="88"/>
      <c r="BNA8" s="88"/>
      <c r="BNB8" s="88"/>
      <c r="BNC8" s="88"/>
      <c r="BND8" s="88"/>
      <c r="BNE8" s="88"/>
      <c r="BNF8" s="88"/>
      <c r="BNG8" s="88"/>
      <c r="BNH8" s="88"/>
      <c r="BNI8" s="88"/>
      <c r="BNJ8" s="88"/>
      <c r="BNK8" s="88"/>
      <c r="BNL8" s="88"/>
      <c r="BNM8" s="88"/>
      <c r="BNN8" s="88"/>
      <c r="BNO8" s="88"/>
      <c r="BNP8" s="88"/>
      <c r="BNQ8" s="88"/>
      <c r="BNR8" s="88"/>
      <c r="BNS8" s="88"/>
      <c r="BNT8" s="88"/>
      <c r="BNU8" s="88"/>
      <c r="BNV8" s="88"/>
      <c r="BNW8" s="88"/>
      <c r="BNX8" s="88"/>
      <c r="BNY8" s="88"/>
      <c r="BNZ8" s="88"/>
      <c r="BOA8" s="88"/>
      <c r="BOB8" s="88"/>
      <c r="BOC8" s="88"/>
      <c r="BOD8" s="88"/>
      <c r="BOE8" s="88"/>
      <c r="BOF8" s="88"/>
      <c r="BOG8" s="88"/>
      <c r="BOH8" s="88"/>
      <c r="BOI8" s="88"/>
      <c r="BOJ8" s="88"/>
      <c r="BOK8" s="88"/>
      <c r="BOL8" s="88"/>
      <c r="BOM8" s="88"/>
      <c r="BON8" s="88"/>
      <c r="BOO8" s="88"/>
      <c r="BOP8" s="88"/>
      <c r="BOQ8" s="88"/>
      <c r="BOR8" s="88"/>
      <c r="BOS8" s="88"/>
      <c r="BOT8" s="88"/>
      <c r="BOU8" s="88"/>
      <c r="BOV8" s="88"/>
      <c r="BOW8" s="88"/>
      <c r="BOX8" s="88"/>
      <c r="BOY8" s="88"/>
      <c r="BOZ8" s="88"/>
      <c r="BPA8" s="88"/>
      <c r="BPB8" s="88"/>
      <c r="BPC8" s="88"/>
      <c r="BPD8" s="88"/>
      <c r="BPE8" s="88"/>
      <c r="BPF8" s="88"/>
      <c r="BPG8" s="88"/>
      <c r="BPH8" s="88"/>
      <c r="BPI8" s="88"/>
      <c r="BPJ8" s="88"/>
      <c r="BPK8" s="88"/>
      <c r="BPL8" s="88"/>
      <c r="BPM8" s="88"/>
      <c r="BPN8" s="88"/>
      <c r="BPO8" s="88"/>
      <c r="BPP8" s="88"/>
      <c r="BPQ8" s="88"/>
      <c r="BPR8" s="88"/>
      <c r="BPS8" s="88"/>
      <c r="BPT8" s="88"/>
      <c r="BPU8" s="88"/>
      <c r="BPV8" s="88"/>
      <c r="BPW8" s="88"/>
      <c r="BPX8" s="88"/>
      <c r="BPY8" s="88"/>
      <c r="BPZ8" s="88"/>
      <c r="BQA8" s="88"/>
      <c r="BQB8" s="88"/>
      <c r="BQC8" s="88"/>
      <c r="BQD8" s="88"/>
      <c r="BQE8" s="88"/>
      <c r="BQF8" s="88"/>
      <c r="BQG8" s="88"/>
      <c r="BQH8" s="88"/>
      <c r="BQI8" s="88"/>
      <c r="BQJ8" s="88"/>
      <c r="BQK8" s="88"/>
      <c r="BQL8" s="88"/>
      <c r="BQM8" s="88"/>
      <c r="BQN8" s="88"/>
      <c r="BQO8" s="88"/>
      <c r="BQP8" s="88"/>
      <c r="BQQ8" s="88"/>
      <c r="BQR8" s="88"/>
      <c r="BQS8" s="88"/>
      <c r="BQT8" s="88"/>
      <c r="BQU8" s="88"/>
      <c r="BQV8" s="88"/>
      <c r="BQW8" s="88"/>
      <c r="BQX8" s="88"/>
      <c r="BQY8" s="88"/>
      <c r="BQZ8" s="88"/>
      <c r="BRA8" s="88"/>
      <c r="BRB8" s="88"/>
      <c r="BRC8" s="88"/>
      <c r="BRD8" s="88"/>
      <c r="BRE8" s="88"/>
      <c r="BRF8" s="88"/>
      <c r="BRG8" s="88"/>
      <c r="BRH8" s="88"/>
      <c r="BRI8" s="88"/>
      <c r="BRJ8" s="88"/>
      <c r="BRK8" s="88"/>
      <c r="BRL8" s="88"/>
      <c r="BRM8" s="88"/>
      <c r="BRN8" s="88"/>
      <c r="BRO8" s="88"/>
      <c r="BRP8" s="88"/>
      <c r="BRQ8" s="88"/>
      <c r="BRR8" s="88"/>
      <c r="BRS8" s="88"/>
      <c r="BRT8" s="88"/>
      <c r="BRU8" s="88"/>
      <c r="BRV8" s="88"/>
      <c r="BRW8" s="88"/>
      <c r="BRX8" s="88"/>
      <c r="BRY8" s="88"/>
      <c r="BRZ8" s="88"/>
      <c r="BSA8" s="88"/>
      <c r="BSB8" s="88"/>
      <c r="BSC8" s="88"/>
      <c r="BSD8" s="88"/>
      <c r="BSE8" s="88"/>
      <c r="BSF8" s="88"/>
      <c r="BSG8" s="88"/>
      <c r="BSH8" s="88"/>
      <c r="BSI8" s="88"/>
      <c r="BSJ8" s="88"/>
      <c r="BSK8" s="88"/>
      <c r="BSL8" s="88"/>
      <c r="BSM8" s="88"/>
      <c r="BSN8" s="88"/>
      <c r="BSO8" s="88"/>
      <c r="BSP8" s="88"/>
      <c r="BSQ8" s="88"/>
      <c r="BSR8" s="88"/>
      <c r="BSS8" s="88"/>
      <c r="BST8" s="88"/>
      <c r="BSU8" s="88"/>
      <c r="BSV8" s="88"/>
      <c r="BSW8" s="88"/>
      <c r="BSX8" s="88"/>
      <c r="BSY8" s="88"/>
      <c r="BSZ8" s="88"/>
      <c r="BTA8" s="88"/>
      <c r="BTB8" s="88"/>
      <c r="BTC8" s="88"/>
      <c r="BTD8" s="88"/>
      <c r="BTE8" s="88"/>
      <c r="BTF8" s="88"/>
      <c r="BTG8" s="88"/>
      <c r="BTH8" s="88"/>
      <c r="BTI8" s="88"/>
      <c r="BTJ8" s="88"/>
      <c r="BTK8" s="88"/>
      <c r="BTL8" s="88"/>
      <c r="BTM8" s="88"/>
      <c r="BTN8" s="88"/>
      <c r="BTO8" s="88"/>
      <c r="BTP8" s="88"/>
      <c r="BTQ8" s="88"/>
      <c r="BTR8" s="88"/>
      <c r="BTS8" s="88"/>
      <c r="BTT8" s="88"/>
      <c r="BTU8" s="88"/>
      <c r="BTV8" s="88"/>
      <c r="BTW8" s="88"/>
      <c r="BTX8" s="88"/>
      <c r="BTY8" s="88"/>
      <c r="BTZ8" s="88"/>
      <c r="BUA8" s="88"/>
      <c r="BUB8" s="88"/>
      <c r="BUC8" s="88"/>
      <c r="BUD8" s="88"/>
      <c r="BUE8" s="88"/>
      <c r="BUF8" s="88"/>
      <c r="BUG8" s="88"/>
      <c r="BUH8" s="88"/>
      <c r="BUI8" s="88"/>
      <c r="BUJ8" s="88"/>
      <c r="BUK8" s="88"/>
      <c r="BUL8" s="88"/>
      <c r="BUM8" s="88"/>
      <c r="BUN8" s="88"/>
      <c r="BUO8" s="88"/>
      <c r="BUP8" s="88"/>
      <c r="BUQ8" s="88"/>
      <c r="BUR8" s="88"/>
      <c r="BUS8" s="88"/>
      <c r="BUT8" s="88"/>
      <c r="BUU8" s="88"/>
      <c r="BUV8" s="88"/>
      <c r="BUW8" s="88"/>
      <c r="BUX8" s="88"/>
      <c r="BUY8" s="88"/>
      <c r="BUZ8" s="88"/>
      <c r="BVA8" s="88"/>
      <c r="BVB8" s="88"/>
      <c r="BVC8" s="88"/>
      <c r="BVD8" s="88"/>
      <c r="BVE8" s="88"/>
      <c r="BVF8" s="88"/>
      <c r="BVG8" s="88"/>
      <c r="BVH8" s="88"/>
      <c r="BVI8" s="88"/>
      <c r="BVJ8" s="88"/>
      <c r="BVK8" s="88"/>
      <c r="BVL8" s="88"/>
      <c r="BVM8" s="88"/>
      <c r="BVN8" s="88"/>
      <c r="BVO8" s="88"/>
      <c r="BVP8" s="88"/>
      <c r="BVQ8" s="88"/>
      <c r="BVR8" s="88"/>
      <c r="BVS8" s="88"/>
      <c r="BVT8" s="88"/>
      <c r="BVU8" s="88"/>
      <c r="BVV8" s="88"/>
      <c r="BVW8" s="88"/>
      <c r="BVX8" s="88"/>
      <c r="BVY8" s="88"/>
      <c r="BVZ8" s="88"/>
      <c r="BWA8" s="88"/>
      <c r="BWB8" s="88"/>
      <c r="BWC8" s="88"/>
      <c r="BWD8" s="88"/>
      <c r="BWE8" s="88"/>
      <c r="BWF8" s="88"/>
      <c r="BWG8" s="88"/>
      <c r="BWH8" s="88"/>
      <c r="BWI8" s="88"/>
      <c r="BWJ8" s="88"/>
      <c r="BWK8" s="88"/>
      <c r="BWL8" s="88"/>
      <c r="BWM8" s="88"/>
      <c r="BWN8" s="88"/>
      <c r="BWO8" s="88"/>
      <c r="BWP8" s="88"/>
      <c r="BWQ8" s="88"/>
      <c r="BWR8" s="88"/>
      <c r="BWS8" s="88"/>
      <c r="BWT8" s="88"/>
      <c r="BWU8" s="88"/>
      <c r="BWV8" s="88"/>
      <c r="BWW8" s="88"/>
      <c r="BWX8" s="88"/>
      <c r="BWY8" s="88"/>
      <c r="BWZ8" s="88"/>
      <c r="BXA8" s="88"/>
      <c r="BXB8" s="88"/>
      <c r="BXC8" s="88"/>
      <c r="BXD8" s="88"/>
      <c r="BXE8" s="88"/>
      <c r="BXF8" s="88"/>
      <c r="BXG8" s="88"/>
      <c r="BXH8" s="88"/>
      <c r="BXI8" s="88"/>
      <c r="BXJ8" s="88"/>
      <c r="BXK8" s="88"/>
      <c r="BXL8" s="88"/>
      <c r="BXM8" s="88"/>
      <c r="BXN8" s="88"/>
      <c r="BXO8" s="88"/>
      <c r="BXP8" s="88"/>
      <c r="BXQ8" s="88"/>
      <c r="BXR8" s="88"/>
      <c r="BXS8" s="88"/>
      <c r="BXT8" s="88"/>
      <c r="BXU8" s="88"/>
      <c r="BXV8" s="88"/>
      <c r="BXW8" s="88"/>
      <c r="BXX8" s="88"/>
      <c r="BXY8" s="88"/>
      <c r="BXZ8" s="88"/>
      <c r="BYA8" s="88"/>
      <c r="BYB8" s="88"/>
      <c r="BYC8" s="88"/>
      <c r="BYD8" s="88"/>
      <c r="BYE8" s="88"/>
      <c r="BYF8" s="88"/>
      <c r="BYG8" s="88"/>
      <c r="BYH8" s="88"/>
      <c r="BYI8" s="88"/>
      <c r="BYJ8" s="88"/>
      <c r="BYK8" s="88"/>
      <c r="BYL8" s="88"/>
      <c r="BYM8" s="88"/>
      <c r="BYN8" s="88"/>
      <c r="BYO8" s="88"/>
      <c r="BYP8" s="88"/>
      <c r="BYQ8" s="88"/>
      <c r="BYR8" s="88"/>
      <c r="BYS8" s="88"/>
      <c r="BYT8" s="88"/>
      <c r="BYU8" s="88"/>
      <c r="BYV8" s="88"/>
      <c r="BYW8" s="88"/>
      <c r="BYX8" s="88"/>
      <c r="BYY8" s="88"/>
      <c r="BYZ8" s="88"/>
      <c r="BZA8" s="88"/>
      <c r="BZB8" s="88"/>
      <c r="BZC8" s="88"/>
      <c r="BZD8" s="88"/>
      <c r="BZE8" s="88"/>
      <c r="BZF8" s="88"/>
      <c r="BZG8" s="88"/>
      <c r="BZH8" s="88"/>
      <c r="BZI8" s="88"/>
      <c r="BZJ8" s="88"/>
      <c r="BZK8" s="88"/>
      <c r="BZL8" s="88"/>
      <c r="BZM8" s="88"/>
      <c r="BZN8" s="88"/>
      <c r="BZO8" s="88"/>
      <c r="BZP8" s="88"/>
      <c r="BZQ8" s="88"/>
      <c r="BZR8" s="88"/>
      <c r="BZS8" s="88"/>
      <c r="BZT8" s="88"/>
      <c r="BZU8" s="88"/>
      <c r="BZV8" s="88"/>
      <c r="BZW8" s="88"/>
      <c r="BZX8" s="88"/>
      <c r="BZY8" s="88"/>
      <c r="BZZ8" s="88"/>
      <c r="CAA8" s="88"/>
      <c r="CAB8" s="88"/>
      <c r="CAC8" s="88"/>
      <c r="CAD8" s="88"/>
      <c r="CAE8" s="88"/>
      <c r="CAF8" s="88"/>
      <c r="CAG8" s="88"/>
      <c r="CAH8" s="88"/>
      <c r="CAI8" s="88"/>
      <c r="CAJ8" s="88"/>
      <c r="CAK8" s="88"/>
      <c r="CAL8" s="88"/>
      <c r="CAM8" s="88"/>
      <c r="CAN8" s="88"/>
      <c r="CAO8" s="88"/>
      <c r="CAP8" s="88"/>
      <c r="CAQ8" s="88"/>
      <c r="CAR8" s="88"/>
      <c r="CAS8" s="88"/>
      <c r="CAT8" s="88"/>
      <c r="CAU8" s="88"/>
      <c r="CAV8" s="88"/>
      <c r="CAW8" s="88"/>
      <c r="CAX8" s="88"/>
      <c r="CAY8" s="88"/>
      <c r="CAZ8" s="88"/>
      <c r="CBA8" s="88"/>
      <c r="CBB8" s="88"/>
      <c r="CBC8" s="88"/>
      <c r="CBD8" s="88"/>
      <c r="CBE8" s="88"/>
      <c r="CBF8" s="88"/>
      <c r="CBG8" s="88"/>
      <c r="CBH8" s="88"/>
      <c r="CBI8" s="88"/>
      <c r="CBJ8" s="88"/>
      <c r="CBK8" s="88"/>
      <c r="CBL8" s="88"/>
      <c r="CBM8" s="88"/>
      <c r="CBN8" s="88"/>
      <c r="CBO8" s="88"/>
      <c r="CBP8" s="88"/>
      <c r="CBQ8" s="88"/>
      <c r="CBR8" s="88"/>
      <c r="CBS8" s="88"/>
      <c r="CBT8" s="88"/>
      <c r="CBU8" s="88"/>
      <c r="CBV8" s="88"/>
      <c r="CBW8" s="88"/>
      <c r="CBX8" s="88"/>
      <c r="CBY8" s="88"/>
      <c r="CBZ8" s="88"/>
      <c r="CCA8" s="88"/>
      <c r="CCB8" s="88"/>
      <c r="CCC8" s="88"/>
      <c r="CCD8" s="88"/>
      <c r="CCE8" s="88"/>
      <c r="CCF8" s="88"/>
      <c r="CCG8" s="88"/>
      <c r="CCH8" s="88"/>
      <c r="CCI8" s="88"/>
      <c r="CCJ8" s="88"/>
      <c r="CCK8" s="88"/>
      <c r="CCL8" s="88"/>
      <c r="CCM8" s="88"/>
      <c r="CCN8" s="88"/>
      <c r="CCO8" s="88"/>
      <c r="CCP8" s="88"/>
      <c r="CCQ8" s="88"/>
      <c r="CCR8" s="88"/>
      <c r="CCS8" s="88"/>
      <c r="CCT8" s="88"/>
      <c r="CCU8" s="88"/>
      <c r="CCV8" s="88"/>
      <c r="CCW8" s="88"/>
      <c r="CCX8" s="88"/>
      <c r="CCY8" s="88"/>
      <c r="CCZ8" s="88"/>
      <c r="CDA8" s="88"/>
      <c r="CDB8" s="88"/>
      <c r="CDC8" s="88"/>
      <c r="CDD8" s="88"/>
      <c r="CDE8" s="88"/>
      <c r="CDF8" s="88"/>
      <c r="CDG8" s="88"/>
      <c r="CDH8" s="88"/>
      <c r="CDI8" s="88"/>
      <c r="CDJ8" s="88"/>
      <c r="CDK8" s="88"/>
      <c r="CDL8" s="88"/>
      <c r="CDM8" s="88"/>
      <c r="CDN8" s="88"/>
      <c r="CDO8" s="88"/>
      <c r="CDP8" s="88"/>
      <c r="CDQ8" s="88"/>
      <c r="CDR8" s="88"/>
      <c r="CDS8" s="88"/>
      <c r="CDT8" s="88"/>
      <c r="CDU8" s="88"/>
      <c r="CDV8" s="88"/>
      <c r="CDW8" s="88"/>
      <c r="CDX8" s="88"/>
      <c r="CDY8" s="88"/>
      <c r="CDZ8" s="88"/>
      <c r="CEA8" s="88"/>
      <c r="CEB8" s="88"/>
      <c r="CEC8" s="88"/>
      <c r="CED8" s="88"/>
      <c r="CEE8" s="88"/>
      <c r="CEF8" s="88"/>
      <c r="CEG8" s="88"/>
      <c r="CEH8" s="88"/>
      <c r="CEI8" s="88"/>
      <c r="CEJ8" s="88"/>
      <c r="CEK8" s="88"/>
      <c r="CEL8" s="88"/>
      <c r="CEM8" s="88"/>
      <c r="CEN8" s="88"/>
      <c r="CEO8" s="88"/>
      <c r="CEP8" s="88"/>
      <c r="CEQ8" s="88"/>
      <c r="CER8" s="88"/>
      <c r="CES8" s="88"/>
      <c r="CET8" s="88"/>
      <c r="CEU8" s="88"/>
      <c r="CEV8" s="88"/>
      <c r="CEW8" s="88"/>
      <c r="CEX8" s="88"/>
      <c r="CEY8" s="88"/>
      <c r="CEZ8" s="88"/>
      <c r="CFA8" s="88"/>
      <c r="CFB8" s="88"/>
      <c r="CFC8" s="88"/>
      <c r="CFD8" s="88"/>
      <c r="CFE8" s="88"/>
      <c r="CFF8" s="88"/>
      <c r="CFG8" s="88"/>
      <c r="CFH8" s="88"/>
      <c r="CFI8" s="88"/>
      <c r="CFJ8" s="88"/>
      <c r="CFK8" s="88"/>
      <c r="CFL8" s="88"/>
      <c r="CFM8" s="88"/>
      <c r="CFN8" s="88"/>
      <c r="CFO8" s="88"/>
      <c r="CFP8" s="88"/>
      <c r="CFQ8" s="88"/>
      <c r="CFR8" s="88"/>
      <c r="CFS8" s="88"/>
      <c r="CFT8" s="88"/>
      <c r="CFU8" s="88"/>
      <c r="CFV8" s="88"/>
      <c r="CFW8" s="88"/>
      <c r="CFX8" s="88"/>
      <c r="CFY8" s="88"/>
      <c r="CFZ8" s="88"/>
      <c r="CGA8" s="88"/>
      <c r="CGB8" s="88"/>
      <c r="CGC8" s="88"/>
      <c r="CGD8" s="88"/>
      <c r="CGE8" s="88"/>
      <c r="CGF8" s="88"/>
      <c r="CGG8" s="88"/>
      <c r="CGH8" s="88"/>
      <c r="CGI8" s="88"/>
      <c r="CGJ8" s="88"/>
      <c r="CGK8" s="88"/>
      <c r="CGL8" s="88"/>
      <c r="CGM8" s="88"/>
      <c r="CGN8" s="88"/>
      <c r="CGO8" s="88"/>
      <c r="CGP8" s="88"/>
      <c r="CGQ8" s="88"/>
      <c r="CGR8" s="88"/>
      <c r="CGS8" s="88"/>
      <c r="CGT8" s="88"/>
      <c r="CGU8" s="88"/>
      <c r="CGV8" s="88"/>
      <c r="CGW8" s="88"/>
      <c r="CGX8" s="88"/>
      <c r="CGY8" s="88"/>
      <c r="CGZ8" s="88"/>
      <c r="CHA8" s="88"/>
      <c r="CHB8" s="88"/>
      <c r="CHC8" s="88"/>
      <c r="CHD8" s="88"/>
      <c r="CHE8" s="88"/>
      <c r="CHF8" s="88"/>
      <c r="CHG8" s="88"/>
      <c r="CHH8" s="88"/>
      <c r="CHI8" s="88"/>
      <c r="CHJ8" s="88"/>
      <c r="CHK8" s="88"/>
      <c r="CHL8" s="88"/>
      <c r="CHM8" s="88"/>
      <c r="CHN8" s="88"/>
      <c r="CHO8" s="88"/>
      <c r="CHP8" s="88"/>
      <c r="CHQ8" s="88"/>
      <c r="CHR8" s="88"/>
      <c r="CHS8" s="88"/>
      <c r="CHT8" s="88"/>
      <c r="CHU8" s="88"/>
      <c r="CHV8" s="88"/>
      <c r="CHW8" s="88"/>
      <c r="CHX8" s="88"/>
      <c r="CHY8" s="88"/>
      <c r="CHZ8" s="88"/>
      <c r="CIA8" s="88"/>
      <c r="CIB8" s="88"/>
      <c r="CIC8" s="88"/>
      <c r="CID8" s="88"/>
      <c r="CIE8" s="88"/>
      <c r="CIF8" s="88"/>
      <c r="CIG8" s="88"/>
      <c r="CIH8" s="88"/>
      <c r="CII8" s="88"/>
      <c r="CIJ8" s="88"/>
      <c r="CIK8" s="88"/>
      <c r="CIL8" s="88"/>
      <c r="CIM8" s="88"/>
      <c r="CIN8" s="88"/>
      <c r="CIO8" s="88"/>
      <c r="CIP8" s="88"/>
      <c r="CIQ8" s="88"/>
      <c r="CIR8" s="88"/>
      <c r="CIS8" s="88"/>
      <c r="CIT8" s="88"/>
      <c r="CIU8" s="88"/>
      <c r="CIV8" s="88"/>
      <c r="CIW8" s="88"/>
      <c r="CIX8" s="88"/>
      <c r="CIY8" s="88"/>
      <c r="CIZ8" s="88"/>
      <c r="CJA8" s="88"/>
      <c r="CJB8" s="88"/>
      <c r="CJC8" s="88"/>
      <c r="CJD8" s="88"/>
      <c r="CJE8" s="88"/>
      <c r="CJF8" s="88"/>
      <c r="CJG8" s="88"/>
      <c r="CJH8" s="88"/>
      <c r="CJI8" s="88"/>
      <c r="CJJ8" s="88"/>
      <c r="CJK8" s="88"/>
      <c r="CJL8" s="88"/>
      <c r="CJM8" s="88"/>
      <c r="CJN8" s="88"/>
      <c r="CJO8" s="88"/>
      <c r="CJP8" s="88"/>
      <c r="CJQ8" s="88"/>
      <c r="CJR8" s="88"/>
      <c r="CJS8" s="88"/>
      <c r="CJT8" s="88"/>
      <c r="CJU8" s="88"/>
      <c r="CJV8" s="88"/>
      <c r="CJW8" s="88"/>
      <c r="CJX8" s="88"/>
      <c r="CJY8" s="88"/>
      <c r="CJZ8" s="88"/>
      <c r="CKA8" s="88"/>
      <c r="CKB8" s="88"/>
      <c r="CKC8" s="88"/>
      <c r="CKD8" s="88"/>
      <c r="CKE8" s="88"/>
      <c r="CKF8" s="88"/>
      <c r="CKG8" s="88"/>
      <c r="CKH8" s="88"/>
      <c r="CKI8" s="88"/>
      <c r="CKJ8" s="88"/>
      <c r="CKK8" s="88"/>
      <c r="CKL8" s="88"/>
      <c r="CKM8" s="88"/>
      <c r="CKN8" s="88"/>
      <c r="CKO8" s="88"/>
      <c r="CKP8" s="88"/>
      <c r="CKQ8" s="88"/>
      <c r="CKR8" s="88"/>
      <c r="CKS8" s="88"/>
      <c r="CKT8" s="88"/>
      <c r="CKU8" s="88"/>
      <c r="CKV8" s="88"/>
      <c r="CKW8" s="88"/>
      <c r="CKX8" s="88"/>
      <c r="CKY8" s="88"/>
      <c r="CKZ8" s="88"/>
      <c r="CLA8" s="88"/>
      <c r="CLB8" s="88"/>
      <c r="CLC8" s="88"/>
      <c r="CLD8" s="88"/>
      <c r="CLE8" s="88"/>
      <c r="CLF8" s="88"/>
      <c r="CLG8" s="88"/>
      <c r="CLH8" s="88"/>
      <c r="CLI8" s="88"/>
      <c r="CLJ8" s="88"/>
      <c r="CLK8" s="88"/>
      <c r="CLL8" s="88"/>
      <c r="CLM8" s="88"/>
      <c r="CLN8" s="88"/>
      <c r="CLO8" s="88"/>
      <c r="CLP8" s="88"/>
      <c r="CLQ8" s="88"/>
      <c r="CLR8" s="88"/>
      <c r="CLS8" s="88"/>
      <c r="CLT8" s="88"/>
      <c r="CLU8" s="88"/>
      <c r="CLV8" s="88"/>
      <c r="CLW8" s="88"/>
      <c r="CLX8" s="88"/>
      <c r="CLY8" s="88"/>
      <c r="CLZ8" s="88"/>
      <c r="CMA8" s="88"/>
      <c r="CMB8" s="88"/>
      <c r="CMC8" s="88"/>
      <c r="CMD8" s="88"/>
      <c r="CME8" s="88"/>
      <c r="CMF8" s="88"/>
      <c r="CMG8" s="88"/>
      <c r="CMH8" s="88"/>
      <c r="CMI8" s="88"/>
      <c r="CMJ8" s="88"/>
      <c r="CMK8" s="88"/>
      <c r="CML8" s="88"/>
      <c r="CMM8" s="88"/>
      <c r="CMN8" s="88"/>
      <c r="CMO8" s="88"/>
      <c r="CMP8" s="88"/>
      <c r="CMQ8" s="88"/>
      <c r="CMR8" s="88"/>
      <c r="CMS8" s="88"/>
      <c r="CMT8" s="88"/>
      <c r="CMU8" s="88"/>
      <c r="CMV8" s="88"/>
      <c r="CMW8" s="88"/>
      <c r="CMX8" s="88"/>
      <c r="CMY8" s="88"/>
      <c r="CMZ8" s="88"/>
      <c r="CNA8" s="88"/>
      <c r="CNB8" s="88"/>
      <c r="CNC8" s="88"/>
      <c r="CND8" s="88"/>
      <c r="CNE8" s="88"/>
      <c r="CNF8" s="88"/>
      <c r="CNG8" s="88"/>
      <c r="CNH8" s="88"/>
      <c r="CNI8" s="88"/>
      <c r="CNJ8" s="88"/>
      <c r="CNK8" s="88"/>
      <c r="CNL8" s="88"/>
      <c r="CNM8" s="88"/>
      <c r="CNN8" s="88"/>
      <c r="CNO8" s="88"/>
      <c r="CNP8" s="88"/>
      <c r="CNQ8" s="88"/>
      <c r="CNR8" s="88"/>
      <c r="CNS8" s="88"/>
      <c r="CNT8" s="88"/>
      <c r="CNU8" s="88"/>
      <c r="CNV8" s="88"/>
      <c r="CNW8" s="88"/>
      <c r="CNX8" s="88"/>
      <c r="CNY8" s="88"/>
      <c r="CNZ8" s="88"/>
      <c r="COA8" s="88"/>
      <c r="COB8" s="88"/>
      <c r="COC8" s="88"/>
      <c r="COD8" s="88"/>
      <c r="COE8" s="88"/>
      <c r="COF8" s="88"/>
      <c r="COG8" s="88"/>
      <c r="COH8" s="88"/>
      <c r="COI8" s="88"/>
      <c r="COJ8" s="88"/>
      <c r="COK8" s="88"/>
      <c r="COL8" s="88"/>
      <c r="COM8" s="88"/>
      <c r="CON8" s="88"/>
      <c r="COO8" s="88"/>
      <c r="COP8" s="88"/>
      <c r="COQ8" s="88"/>
      <c r="COR8" s="88"/>
      <c r="COS8" s="88"/>
      <c r="COT8" s="88"/>
      <c r="COU8" s="88"/>
      <c r="COV8" s="88"/>
      <c r="COW8" s="88"/>
      <c r="COX8" s="88"/>
      <c r="COY8" s="88"/>
      <c r="COZ8" s="88"/>
      <c r="CPA8" s="88"/>
      <c r="CPB8" s="88"/>
      <c r="CPC8" s="88"/>
      <c r="CPD8" s="88"/>
      <c r="CPE8" s="88"/>
      <c r="CPF8" s="88"/>
      <c r="CPG8" s="88"/>
      <c r="CPH8" s="88"/>
      <c r="CPI8" s="88"/>
      <c r="CPJ8" s="88"/>
      <c r="CPK8" s="88"/>
      <c r="CPL8" s="88"/>
      <c r="CPM8" s="88"/>
      <c r="CPN8" s="88"/>
      <c r="CPO8" s="88"/>
      <c r="CPP8" s="88"/>
      <c r="CPQ8" s="88"/>
      <c r="CPR8" s="88"/>
      <c r="CPS8" s="88"/>
      <c r="CPT8" s="88"/>
      <c r="CPU8" s="88"/>
      <c r="CPV8" s="88"/>
      <c r="CPW8" s="88"/>
      <c r="CPX8" s="88"/>
      <c r="CPY8" s="88"/>
      <c r="CPZ8" s="88"/>
      <c r="CQA8" s="88"/>
      <c r="CQB8" s="88"/>
      <c r="CQC8" s="88"/>
      <c r="CQD8" s="88"/>
      <c r="CQE8" s="88"/>
      <c r="CQF8" s="88"/>
      <c r="CQG8" s="88"/>
      <c r="CQH8" s="88"/>
      <c r="CQI8" s="88"/>
      <c r="CQJ8" s="88"/>
      <c r="CQK8" s="88"/>
      <c r="CQL8" s="88"/>
      <c r="CQM8" s="88"/>
      <c r="CQN8" s="88"/>
      <c r="CQO8" s="88"/>
      <c r="CQP8" s="88"/>
      <c r="CQQ8" s="88"/>
      <c r="CQR8" s="88"/>
      <c r="CQS8" s="88"/>
      <c r="CQT8" s="88"/>
      <c r="CQU8" s="88"/>
      <c r="CQV8" s="88"/>
      <c r="CQW8" s="88"/>
      <c r="CQX8" s="88"/>
      <c r="CQY8" s="88"/>
      <c r="CQZ8" s="88"/>
      <c r="CRA8" s="88"/>
      <c r="CRB8" s="88"/>
      <c r="CRC8" s="88"/>
      <c r="CRD8" s="88"/>
      <c r="CRE8" s="88"/>
      <c r="CRF8" s="88"/>
      <c r="CRG8" s="88"/>
      <c r="CRH8" s="88"/>
      <c r="CRI8" s="88"/>
      <c r="CRJ8" s="88"/>
      <c r="CRK8" s="88"/>
      <c r="CRL8" s="88"/>
      <c r="CRM8" s="88"/>
      <c r="CRN8" s="88"/>
      <c r="CRO8" s="88"/>
      <c r="CRP8" s="88"/>
      <c r="CRQ8" s="88"/>
      <c r="CRR8" s="88"/>
      <c r="CRS8" s="88"/>
      <c r="CRT8" s="88"/>
      <c r="CRU8" s="88"/>
      <c r="CRV8" s="88"/>
      <c r="CRW8" s="88"/>
      <c r="CRX8" s="88"/>
      <c r="CRY8" s="88"/>
      <c r="CRZ8" s="88"/>
      <c r="CSA8" s="88"/>
      <c r="CSB8" s="88"/>
      <c r="CSC8" s="88"/>
      <c r="CSD8" s="90"/>
    </row>
    <row r="9" spans="1:2526" ht="30" customHeight="1" x14ac:dyDescent="0.25">
      <c r="B9" s="96"/>
      <c r="C9" s="12" t="s">
        <v>16</v>
      </c>
      <c r="D9" s="141"/>
      <c r="E9" s="13" t="s">
        <v>20</v>
      </c>
      <c r="F9" s="14"/>
      <c r="G9" s="222" t="str">
        <f>E96</f>
        <v>129h45min</v>
      </c>
      <c r="H9" s="222"/>
      <c r="I9" s="222"/>
      <c r="J9" s="222"/>
      <c r="K9" s="222"/>
      <c r="L9" s="222"/>
      <c r="M9" s="222"/>
      <c r="N9" s="222"/>
      <c r="O9" s="222"/>
      <c r="P9" s="222"/>
      <c r="Q9" s="222"/>
      <c r="R9" s="222"/>
      <c r="S9" s="222"/>
      <c r="T9" s="222"/>
      <c r="U9" s="222"/>
      <c r="V9" s="119"/>
      <c r="W9" s="221" t="s">
        <v>21</v>
      </c>
      <c r="X9" s="221"/>
      <c r="Y9" s="221"/>
      <c r="Z9" s="221"/>
      <c r="AA9" s="221"/>
      <c r="AB9" s="221"/>
      <c r="AC9" s="221"/>
      <c r="AD9" s="221"/>
      <c r="AE9" s="221"/>
      <c r="AF9" s="221"/>
      <c r="AG9" s="221"/>
      <c r="AH9" s="222" t="str">
        <f>E98</f>
        <v>35h15min</v>
      </c>
      <c r="AI9" s="222"/>
      <c r="AJ9" s="222"/>
      <c r="AK9" s="222"/>
      <c r="AL9" s="222"/>
      <c r="AM9" s="222"/>
      <c r="AN9" s="222"/>
      <c r="AO9" s="222"/>
      <c r="AP9" s="222"/>
      <c r="AQ9" s="222"/>
      <c r="AR9" s="222"/>
      <c r="AS9" s="222"/>
      <c r="AT9" s="222"/>
      <c r="AU9" s="222"/>
      <c r="AV9" s="222"/>
      <c r="AW9" s="222"/>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88"/>
      <c r="BLW9" s="88"/>
      <c r="BLX9" s="88"/>
      <c r="BLY9" s="88"/>
      <c r="BLZ9" s="88"/>
      <c r="BMA9" s="88"/>
      <c r="BMB9" s="88"/>
      <c r="BMC9" s="88"/>
      <c r="BMD9" s="88"/>
      <c r="BME9" s="88"/>
      <c r="BMF9" s="88"/>
      <c r="BMG9" s="88"/>
      <c r="BMH9" s="88"/>
      <c r="BMI9" s="88"/>
      <c r="BMJ9" s="88"/>
      <c r="BMK9" s="88"/>
      <c r="BML9" s="88"/>
      <c r="BMM9" s="88"/>
      <c r="BMN9" s="88"/>
      <c r="BMO9" s="88"/>
      <c r="BMP9" s="88"/>
      <c r="BMQ9" s="88"/>
      <c r="BMR9" s="88"/>
      <c r="BMS9" s="88"/>
      <c r="BMT9" s="88"/>
      <c r="BMU9" s="88"/>
      <c r="BMV9" s="88"/>
      <c r="BMW9" s="88"/>
      <c r="BMX9" s="88"/>
      <c r="BMY9" s="88"/>
      <c r="BMZ9" s="88"/>
      <c r="BNA9" s="88"/>
      <c r="BNB9" s="88"/>
      <c r="BNC9" s="88"/>
      <c r="BND9" s="88"/>
      <c r="BNE9" s="88"/>
      <c r="BNF9" s="88"/>
      <c r="BNG9" s="88"/>
      <c r="BNH9" s="88"/>
      <c r="BNI9" s="88"/>
      <c r="BNJ9" s="88"/>
      <c r="BNK9" s="88"/>
      <c r="BNL9" s="88"/>
      <c r="BNM9" s="88"/>
      <c r="BNN9" s="88"/>
      <c r="BNO9" s="88"/>
      <c r="BNP9" s="88"/>
      <c r="BNQ9" s="88"/>
      <c r="BNR9" s="88"/>
      <c r="BNS9" s="88"/>
      <c r="BNT9" s="88"/>
      <c r="BNU9" s="88"/>
      <c r="BNV9" s="88"/>
      <c r="BNW9" s="88"/>
      <c r="BNX9" s="88"/>
      <c r="BNY9" s="88"/>
      <c r="BNZ9" s="88"/>
      <c r="BOA9" s="88"/>
      <c r="BOB9" s="88"/>
      <c r="BOC9" s="88"/>
      <c r="BOD9" s="88"/>
      <c r="BOE9" s="88"/>
      <c r="BOF9" s="88"/>
      <c r="BOG9" s="88"/>
      <c r="BOH9" s="88"/>
      <c r="BOI9" s="88"/>
      <c r="BOJ9" s="88"/>
      <c r="BOK9" s="88"/>
      <c r="BOL9" s="88"/>
      <c r="BOM9" s="88"/>
      <c r="BON9" s="88"/>
      <c r="BOO9" s="88"/>
      <c r="BOP9" s="88"/>
      <c r="BOQ9" s="88"/>
      <c r="BOR9" s="88"/>
      <c r="BOS9" s="88"/>
      <c r="BOT9" s="88"/>
      <c r="BOU9" s="88"/>
      <c r="BOV9" s="88"/>
      <c r="BOW9" s="88"/>
      <c r="BOX9" s="88"/>
      <c r="BOY9" s="88"/>
      <c r="BOZ9" s="88"/>
      <c r="BPA9" s="88"/>
      <c r="BPB9" s="88"/>
      <c r="BPC9" s="88"/>
      <c r="BPD9" s="88"/>
      <c r="BPE9" s="88"/>
      <c r="BPF9" s="88"/>
      <c r="BPG9" s="88"/>
      <c r="BPH9" s="88"/>
      <c r="BPI9" s="88"/>
      <c r="BPJ9" s="88"/>
      <c r="BPK9" s="88"/>
      <c r="BPL9" s="88"/>
      <c r="BPM9" s="88"/>
      <c r="BPN9" s="88"/>
      <c r="BPO9" s="88"/>
      <c r="BPP9" s="88"/>
      <c r="BPQ9" s="88"/>
      <c r="BPR9" s="88"/>
      <c r="BPS9" s="88"/>
      <c r="BPT9" s="88"/>
      <c r="BPU9" s="88"/>
      <c r="BPV9" s="88"/>
      <c r="BPW9" s="88"/>
      <c r="BPX9" s="88"/>
      <c r="BPY9" s="88"/>
      <c r="BPZ9" s="88"/>
      <c r="BQA9" s="88"/>
      <c r="BQB9" s="88"/>
      <c r="BQC9" s="88"/>
      <c r="BQD9" s="88"/>
      <c r="BQE9" s="88"/>
      <c r="BQF9" s="88"/>
      <c r="BQG9" s="88"/>
      <c r="BQH9" s="88"/>
      <c r="BQI9" s="88"/>
      <c r="BQJ9" s="88"/>
      <c r="BQK9" s="88"/>
      <c r="BQL9" s="88"/>
      <c r="BQM9" s="88"/>
      <c r="BQN9" s="88"/>
      <c r="BQO9" s="88"/>
      <c r="BQP9" s="88"/>
      <c r="BQQ9" s="88"/>
      <c r="BQR9" s="88"/>
      <c r="BQS9" s="88"/>
      <c r="BQT9" s="88"/>
      <c r="BQU9" s="88"/>
      <c r="BQV9" s="88"/>
      <c r="BQW9" s="88"/>
      <c r="BQX9" s="88"/>
      <c r="BQY9" s="88"/>
      <c r="BQZ9" s="88"/>
      <c r="BRA9" s="88"/>
      <c r="BRB9" s="88"/>
      <c r="BRC9" s="88"/>
      <c r="BRD9" s="88"/>
      <c r="BRE9" s="88"/>
      <c r="BRF9" s="88"/>
      <c r="BRG9" s="88"/>
      <c r="BRH9" s="88"/>
      <c r="BRI9" s="88"/>
      <c r="BRJ9" s="88"/>
      <c r="BRK9" s="88"/>
      <c r="BRL9" s="88"/>
      <c r="BRM9" s="88"/>
      <c r="BRN9" s="88"/>
      <c r="BRO9" s="88"/>
      <c r="BRP9" s="88"/>
      <c r="BRQ9" s="88"/>
      <c r="BRR9" s="88"/>
      <c r="BRS9" s="88"/>
      <c r="BRT9" s="88"/>
      <c r="BRU9" s="88"/>
      <c r="BRV9" s="88"/>
      <c r="BRW9" s="88"/>
      <c r="BRX9" s="88"/>
      <c r="BRY9" s="88"/>
      <c r="BRZ9" s="88"/>
      <c r="BSA9" s="88"/>
      <c r="BSB9" s="88"/>
      <c r="BSC9" s="88"/>
      <c r="BSD9" s="88"/>
      <c r="BSE9" s="88"/>
      <c r="BSF9" s="88"/>
      <c r="BSG9" s="88"/>
      <c r="BSH9" s="88"/>
      <c r="BSI9" s="88"/>
      <c r="BSJ9" s="88"/>
      <c r="BSK9" s="88"/>
      <c r="BSL9" s="88"/>
      <c r="BSM9" s="88"/>
      <c r="BSN9" s="88"/>
      <c r="BSO9" s="88"/>
      <c r="BSP9" s="88"/>
      <c r="BSQ9" s="88"/>
      <c r="BSR9" s="88"/>
      <c r="BSS9" s="88"/>
      <c r="BST9" s="88"/>
      <c r="BSU9" s="88"/>
      <c r="BSV9" s="88"/>
      <c r="BSW9" s="88"/>
      <c r="BSX9" s="88"/>
      <c r="BSY9" s="88"/>
      <c r="BSZ9" s="88"/>
      <c r="BTA9" s="88"/>
      <c r="BTB9" s="88"/>
      <c r="BTC9" s="88"/>
      <c r="BTD9" s="88"/>
      <c r="BTE9" s="88"/>
      <c r="BTF9" s="88"/>
      <c r="BTG9" s="88"/>
      <c r="BTH9" s="88"/>
      <c r="BTI9" s="88"/>
      <c r="BTJ9" s="88"/>
      <c r="BTK9" s="88"/>
      <c r="BTL9" s="88"/>
      <c r="BTM9" s="88"/>
      <c r="BTN9" s="88"/>
      <c r="BTO9" s="88"/>
      <c r="BTP9" s="88"/>
      <c r="BTQ9" s="88"/>
      <c r="BTR9" s="88"/>
      <c r="BTS9" s="88"/>
      <c r="BTT9" s="88"/>
      <c r="BTU9" s="88"/>
      <c r="BTV9" s="88"/>
      <c r="BTW9" s="88"/>
      <c r="BTX9" s="88"/>
      <c r="BTY9" s="88"/>
      <c r="BTZ9" s="88"/>
      <c r="BUA9" s="88"/>
      <c r="BUB9" s="88"/>
      <c r="BUC9" s="88"/>
      <c r="BUD9" s="88"/>
      <c r="BUE9" s="88"/>
      <c r="BUF9" s="88"/>
      <c r="BUG9" s="88"/>
      <c r="BUH9" s="88"/>
      <c r="BUI9" s="88"/>
      <c r="BUJ9" s="88"/>
      <c r="BUK9" s="88"/>
      <c r="BUL9" s="88"/>
      <c r="BUM9" s="88"/>
      <c r="BUN9" s="88"/>
      <c r="BUO9" s="88"/>
      <c r="BUP9" s="88"/>
      <c r="BUQ9" s="88"/>
      <c r="BUR9" s="88"/>
      <c r="BUS9" s="88"/>
      <c r="BUT9" s="88"/>
      <c r="BUU9" s="88"/>
      <c r="BUV9" s="88"/>
      <c r="BUW9" s="88"/>
      <c r="BUX9" s="88"/>
      <c r="BUY9" s="88"/>
      <c r="BUZ9" s="88"/>
      <c r="BVA9" s="88"/>
      <c r="BVB9" s="88"/>
      <c r="BVC9" s="88"/>
      <c r="BVD9" s="88"/>
      <c r="BVE9" s="88"/>
      <c r="BVF9" s="88"/>
      <c r="BVG9" s="88"/>
      <c r="BVH9" s="88"/>
      <c r="BVI9" s="88"/>
      <c r="BVJ9" s="88"/>
      <c r="BVK9" s="88"/>
      <c r="BVL9" s="88"/>
      <c r="BVM9" s="88"/>
      <c r="BVN9" s="88"/>
      <c r="BVO9" s="88"/>
      <c r="BVP9" s="88"/>
      <c r="BVQ9" s="88"/>
      <c r="BVR9" s="88"/>
      <c r="BVS9" s="88"/>
      <c r="BVT9" s="88"/>
      <c r="BVU9" s="88"/>
      <c r="BVV9" s="88"/>
      <c r="BVW9" s="88"/>
      <c r="BVX9" s="88"/>
      <c r="BVY9" s="88"/>
      <c r="BVZ9" s="88"/>
      <c r="BWA9" s="88"/>
      <c r="BWB9" s="88"/>
      <c r="BWC9" s="88"/>
      <c r="BWD9" s="88"/>
      <c r="BWE9" s="88"/>
      <c r="BWF9" s="88"/>
      <c r="BWG9" s="88"/>
      <c r="BWH9" s="88"/>
      <c r="BWI9" s="88"/>
      <c r="BWJ9" s="88"/>
      <c r="BWK9" s="88"/>
      <c r="BWL9" s="88"/>
      <c r="BWM9" s="88"/>
      <c r="BWN9" s="88"/>
      <c r="BWO9" s="88"/>
      <c r="BWP9" s="88"/>
      <c r="BWQ9" s="88"/>
      <c r="BWR9" s="88"/>
      <c r="BWS9" s="88"/>
      <c r="BWT9" s="88"/>
      <c r="BWU9" s="88"/>
      <c r="BWV9" s="88"/>
      <c r="BWW9" s="88"/>
      <c r="BWX9" s="88"/>
      <c r="BWY9" s="88"/>
      <c r="BWZ9" s="88"/>
      <c r="BXA9" s="88"/>
      <c r="BXB9" s="88"/>
      <c r="BXC9" s="88"/>
      <c r="BXD9" s="88"/>
      <c r="BXE9" s="88"/>
      <c r="BXF9" s="88"/>
      <c r="BXG9" s="88"/>
      <c r="BXH9" s="88"/>
      <c r="BXI9" s="88"/>
      <c r="BXJ9" s="88"/>
      <c r="BXK9" s="88"/>
      <c r="BXL9" s="88"/>
      <c r="BXM9" s="88"/>
      <c r="BXN9" s="88"/>
      <c r="BXO9" s="88"/>
      <c r="BXP9" s="88"/>
      <c r="BXQ9" s="88"/>
      <c r="BXR9" s="88"/>
      <c r="BXS9" s="88"/>
      <c r="BXT9" s="88"/>
      <c r="BXU9" s="88"/>
      <c r="BXV9" s="88"/>
      <c r="BXW9" s="88"/>
      <c r="BXX9" s="88"/>
      <c r="BXY9" s="88"/>
      <c r="BXZ9" s="88"/>
      <c r="BYA9" s="88"/>
      <c r="BYB9" s="88"/>
      <c r="BYC9" s="88"/>
      <c r="BYD9" s="88"/>
      <c r="BYE9" s="88"/>
      <c r="BYF9" s="88"/>
      <c r="BYG9" s="88"/>
      <c r="BYH9" s="88"/>
      <c r="BYI9" s="88"/>
      <c r="BYJ9" s="88"/>
      <c r="BYK9" s="88"/>
      <c r="BYL9" s="88"/>
      <c r="BYM9" s="88"/>
      <c r="BYN9" s="88"/>
      <c r="BYO9" s="88"/>
      <c r="BYP9" s="88"/>
      <c r="BYQ9" s="88"/>
      <c r="BYR9" s="88"/>
      <c r="BYS9" s="88"/>
      <c r="BYT9" s="88"/>
      <c r="BYU9" s="88"/>
      <c r="BYV9" s="88"/>
      <c r="BYW9" s="88"/>
      <c r="BYX9" s="88"/>
      <c r="BYY9" s="88"/>
      <c r="BYZ9" s="88"/>
      <c r="BZA9" s="88"/>
      <c r="BZB9" s="88"/>
      <c r="BZC9" s="88"/>
      <c r="BZD9" s="88"/>
      <c r="BZE9" s="88"/>
      <c r="BZF9" s="88"/>
      <c r="BZG9" s="88"/>
      <c r="BZH9" s="88"/>
      <c r="BZI9" s="88"/>
      <c r="BZJ9" s="88"/>
      <c r="BZK9" s="88"/>
      <c r="BZL9" s="88"/>
      <c r="BZM9" s="88"/>
      <c r="BZN9" s="88"/>
      <c r="BZO9" s="88"/>
      <c r="BZP9" s="88"/>
      <c r="BZQ9" s="88"/>
      <c r="BZR9" s="88"/>
      <c r="BZS9" s="88"/>
      <c r="BZT9" s="88"/>
      <c r="BZU9" s="88"/>
      <c r="BZV9" s="88"/>
      <c r="BZW9" s="88"/>
      <c r="BZX9" s="88"/>
      <c r="BZY9" s="88"/>
      <c r="BZZ9" s="88"/>
      <c r="CAA9" s="88"/>
      <c r="CAB9" s="88"/>
      <c r="CAC9" s="88"/>
      <c r="CAD9" s="88"/>
      <c r="CAE9" s="88"/>
      <c r="CAF9" s="88"/>
      <c r="CAG9" s="88"/>
      <c r="CAH9" s="88"/>
      <c r="CAI9" s="88"/>
      <c r="CAJ9" s="88"/>
      <c r="CAK9" s="88"/>
      <c r="CAL9" s="88"/>
      <c r="CAM9" s="88"/>
      <c r="CAN9" s="88"/>
      <c r="CAO9" s="88"/>
      <c r="CAP9" s="88"/>
      <c r="CAQ9" s="88"/>
      <c r="CAR9" s="88"/>
      <c r="CAS9" s="88"/>
      <c r="CAT9" s="88"/>
      <c r="CAU9" s="88"/>
      <c r="CAV9" s="88"/>
      <c r="CAW9" s="88"/>
      <c r="CAX9" s="88"/>
      <c r="CAY9" s="88"/>
      <c r="CAZ9" s="88"/>
      <c r="CBA9" s="88"/>
      <c r="CBB9" s="88"/>
      <c r="CBC9" s="88"/>
      <c r="CBD9" s="88"/>
      <c r="CBE9" s="88"/>
      <c r="CBF9" s="88"/>
      <c r="CBG9" s="88"/>
      <c r="CBH9" s="88"/>
      <c r="CBI9" s="88"/>
      <c r="CBJ9" s="88"/>
      <c r="CBK9" s="88"/>
      <c r="CBL9" s="88"/>
      <c r="CBM9" s="88"/>
      <c r="CBN9" s="88"/>
      <c r="CBO9" s="88"/>
      <c r="CBP9" s="88"/>
      <c r="CBQ9" s="88"/>
      <c r="CBR9" s="88"/>
      <c r="CBS9" s="88"/>
      <c r="CBT9" s="88"/>
      <c r="CBU9" s="88"/>
      <c r="CBV9" s="88"/>
      <c r="CBW9" s="88"/>
      <c r="CBX9" s="88"/>
      <c r="CBY9" s="88"/>
      <c r="CBZ9" s="88"/>
      <c r="CCA9" s="88"/>
      <c r="CCB9" s="88"/>
      <c r="CCC9" s="88"/>
      <c r="CCD9" s="88"/>
      <c r="CCE9" s="88"/>
      <c r="CCF9" s="88"/>
      <c r="CCG9" s="88"/>
      <c r="CCH9" s="88"/>
      <c r="CCI9" s="88"/>
      <c r="CCJ9" s="88"/>
      <c r="CCK9" s="88"/>
      <c r="CCL9" s="88"/>
      <c r="CCM9" s="88"/>
      <c r="CCN9" s="88"/>
      <c r="CCO9" s="88"/>
      <c r="CCP9" s="88"/>
      <c r="CCQ9" s="88"/>
      <c r="CCR9" s="88"/>
      <c r="CCS9" s="88"/>
      <c r="CCT9" s="88"/>
      <c r="CCU9" s="88"/>
      <c r="CCV9" s="88"/>
      <c r="CCW9" s="88"/>
      <c r="CCX9" s="88"/>
      <c r="CCY9" s="88"/>
      <c r="CCZ9" s="88"/>
      <c r="CDA9" s="88"/>
      <c r="CDB9" s="88"/>
      <c r="CDC9" s="88"/>
      <c r="CDD9" s="88"/>
      <c r="CDE9" s="88"/>
      <c r="CDF9" s="88"/>
      <c r="CDG9" s="88"/>
      <c r="CDH9" s="88"/>
      <c r="CDI9" s="88"/>
      <c r="CDJ9" s="88"/>
      <c r="CDK9" s="88"/>
      <c r="CDL9" s="88"/>
      <c r="CDM9" s="88"/>
      <c r="CDN9" s="88"/>
      <c r="CDO9" s="88"/>
      <c r="CDP9" s="88"/>
      <c r="CDQ9" s="88"/>
      <c r="CDR9" s="88"/>
      <c r="CDS9" s="88"/>
      <c r="CDT9" s="88"/>
      <c r="CDU9" s="88"/>
      <c r="CDV9" s="88"/>
      <c r="CDW9" s="88"/>
      <c r="CDX9" s="88"/>
      <c r="CDY9" s="88"/>
      <c r="CDZ9" s="88"/>
      <c r="CEA9" s="88"/>
      <c r="CEB9" s="88"/>
      <c r="CEC9" s="88"/>
      <c r="CED9" s="88"/>
      <c r="CEE9" s="88"/>
      <c r="CEF9" s="88"/>
      <c r="CEG9" s="88"/>
      <c r="CEH9" s="88"/>
      <c r="CEI9" s="88"/>
      <c r="CEJ9" s="88"/>
      <c r="CEK9" s="88"/>
      <c r="CEL9" s="88"/>
      <c r="CEM9" s="88"/>
      <c r="CEN9" s="88"/>
      <c r="CEO9" s="88"/>
      <c r="CEP9" s="88"/>
      <c r="CEQ9" s="88"/>
      <c r="CER9" s="88"/>
      <c r="CES9" s="88"/>
      <c r="CET9" s="88"/>
      <c r="CEU9" s="88"/>
      <c r="CEV9" s="88"/>
      <c r="CEW9" s="88"/>
      <c r="CEX9" s="88"/>
      <c r="CEY9" s="88"/>
      <c r="CEZ9" s="88"/>
      <c r="CFA9" s="88"/>
      <c r="CFB9" s="88"/>
      <c r="CFC9" s="88"/>
      <c r="CFD9" s="88"/>
      <c r="CFE9" s="88"/>
      <c r="CFF9" s="88"/>
      <c r="CFG9" s="88"/>
      <c r="CFH9" s="88"/>
      <c r="CFI9" s="88"/>
      <c r="CFJ9" s="88"/>
      <c r="CFK9" s="88"/>
      <c r="CFL9" s="88"/>
      <c r="CFM9" s="88"/>
      <c r="CFN9" s="88"/>
      <c r="CFO9" s="88"/>
      <c r="CFP9" s="88"/>
      <c r="CFQ9" s="88"/>
      <c r="CFR9" s="88"/>
      <c r="CFS9" s="88"/>
      <c r="CFT9" s="88"/>
      <c r="CFU9" s="88"/>
      <c r="CFV9" s="88"/>
      <c r="CFW9" s="88"/>
      <c r="CFX9" s="88"/>
      <c r="CFY9" s="88"/>
      <c r="CFZ9" s="88"/>
      <c r="CGA9" s="88"/>
      <c r="CGB9" s="88"/>
      <c r="CGC9" s="88"/>
      <c r="CGD9" s="88"/>
      <c r="CGE9" s="88"/>
      <c r="CGF9" s="88"/>
      <c r="CGG9" s="88"/>
      <c r="CGH9" s="88"/>
      <c r="CGI9" s="88"/>
      <c r="CGJ9" s="88"/>
      <c r="CGK9" s="88"/>
      <c r="CGL9" s="88"/>
      <c r="CGM9" s="88"/>
      <c r="CGN9" s="88"/>
      <c r="CGO9" s="88"/>
      <c r="CGP9" s="88"/>
      <c r="CGQ9" s="88"/>
      <c r="CGR9" s="88"/>
      <c r="CGS9" s="88"/>
      <c r="CGT9" s="88"/>
      <c r="CGU9" s="88"/>
      <c r="CGV9" s="88"/>
      <c r="CGW9" s="88"/>
      <c r="CGX9" s="88"/>
      <c r="CGY9" s="88"/>
      <c r="CGZ9" s="88"/>
      <c r="CHA9" s="88"/>
      <c r="CHB9" s="88"/>
      <c r="CHC9" s="88"/>
      <c r="CHD9" s="88"/>
      <c r="CHE9" s="88"/>
      <c r="CHF9" s="88"/>
      <c r="CHG9" s="88"/>
      <c r="CHH9" s="88"/>
      <c r="CHI9" s="88"/>
      <c r="CHJ9" s="88"/>
      <c r="CHK9" s="88"/>
      <c r="CHL9" s="88"/>
      <c r="CHM9" s="88"/>
      <c r="CHN9" s="88"/>
      <c r="CHO9" s="88"/>
      <c r="CHP9" s="88"/>
      <c r="CHQ9" s="88"/>
      <c r="CHR9" s="88"/>
      <c r="CHS9" s="88"/>
      <c r="CHT9" s="88"/>
      <c r="CHU9" s="88"/>
      <c r="CHV9" s="88"/>
      <c r="CHW9" s="88"/>
      <c r="CHX9" s="88"/>
      <c r="CHY9" s="88"/>
      <c r="CHZ9" s="88"/>
      <c r="CIA9" s="88"/>
      <c r="CIB9" s="88"/>
      <c r="CIC9" s="88"/>
      <c r="CID9" s="88"/>
      <c r="CIE9" s="88"/>
      <c r="CIF9" s="88"/>
      <c r="CIG9" s="88"/>
      <c r="CIH9" s="88"/>
      <c r="CII9" s="88"/>
      <c r="CIJ9" s="88"/>
      <c r="CIK9" s="88"/>
      <c r="CIL9" s="88"/>
      <c r="CIM9" s="88"/>
      <c r="CIN9" s="88"/>
      <c r="CIO9" s="88"/>
      <c r="CIP9" s="88"/>
      <c r="CIQ9" s="88"/>
      <c r="CIR9" s="88"/>
      <c r="CIS9" s="88"/>
      <c r="CIT9" s="88"/>
      <c r="CIU9" s="88"/>
      <c r="CIV9" s="88"/>
      <c r="CIW9" s="88"/>
      <c r="CIX9" s="88"/>
      <c r="CIY9" s="88"/>
      <c r="CIZ9" s="88"/>
      <c r="CJA9" s="88"/>
      <c r="CJB9" s="88"/>
      <c r="CJC9" s="88"/>
      <c r="CJD9" s="88"/>
      <c r="CJE9" s="88"/>
      <c r="CJF9" s="88"/>
      <c r="CJG9" s="88"/>
      <c r="CJH9" s="88"/>
      <c r="CJI9" s="88"/>
      <c r="CJJ9" s="88"/>
      <c r="CJK9" s="88"/>
      <c r="CJL9" s="88"/>
      <c r="CJM9" s="88"/>
      <c r="CJN9" s="88"/>
      <c r="CJO9" s="88"/>
      <c r="CJP9" s="88"/>
      <c r="CJQ9" s="88"/>
      <c r="CJR9" s="88"/>
      <c r="CJS9" s="88"/>
      <c r="CJT9" s="88"/>
      <c r="CJU9" s="88"/>
      <c r="CJV9" s="88"/>
      <c r="CJW9" s="88"/>
      <c r="CJX9" s="88"/>
      <c r="CJY9" s="88"/>
      <c r="CJZ9" s="88"/>
      <c r="CKA9" s="88"/>
      <c r="CKB9" s="88"/>
      <c r="CKC9" s="88"/>
      <c r="CKD9" s="88"/>
      <c r="CKE9" s="88"/>
      <c r="CKF9" s="88"/>
      <c r="CKG9" s="88"/>
      <c r="CKH9" s="88"/>
      <c r="CKI9" s="88"/>
      <c r="CKJ9" s="88"/>
      <c r="CKK9" s="88"/>
      <c r="CKL9" s="88"/>
      <c r="CKM9" s="88"/>
      <c r="CKN9" s="88"/>
      <c r="CKO9" s="88"/>
      <c r="CKP9" s="88"/>
      <c r="CKQ9" s="88"/>
      <c r="CKR9" s="88"/>
      <c r="CKS9" s="88"/>
      <c r="CKT9" s="88"/>
      <c r="CKU9" s="88"/>
      <c r="CKV9" s="88"/>
      <c r="CKW9" s="88"/>
      <c r="CKX9" s="88"/>
      <c r="CKY9" s="88"/>
      <c r="CKZ9" s="88"/>
      <c r="CLA9" s="88"/>
      <c r="CLB9" s="88"/>
      <c r="CLC9" s="88"/>
      <c r="CLD9" s="88"/>
      <c r="CLE9" s="88"/>
      <c r="CLF9" s="88"/>
      <c r="CLG9" s="88"/>
      <c r="CLH9" s="88"/>
      <c r="CLI9" s="88"/>
      <c r="CLJ9" s="88"/>
      <c r="CLK9" s="88"/>
      <c r="CLL9" s="88"/>
      <c r="CLM9" s="88"/>
      <c r="CLN9" s="88"/>
      <c r="CLO9" s="88"/>
      <c r="CLP9" s="88"/>
      <c r="CLQ9" s="88"/>
      <c r="CLR9" s="88"/>
      <c r="CLS9" s="88"/>
      <c r="CLT9" s="88"/>
      <c r="CLU9" s="88"/>
      <c r="CLV9" s="88"/>
      <c r="CLW9" s="88"/>
      <c r="CLX9" s="88"/>
      <c r="CLY9" s="88"/>
      <c r="CLZ9" s="88"/>
      <c r="CMA9" s="88"/>
      <c r="CMB9" s="88"/>
      <c r="CMC9" s="88"/>
      <c r="CMD9" s="88"/>
      <c r="CME9" s="88"/>
      <c r="CMF9" s="88"/>
      <c r="CMG9" s="88"/>
      <c r="CMH9" s="88"/>
      <c r="CMI9" s="88"/>
      <c r="CMJ9" s="88"/>
      <c r="CMK9" s="88"/>
      <c r="CML9" s="88"/>
      <c r="CMM9" s="88"/>
      <c r="CMN9" s="88"/>
      <c r="CMO9" s="88"/>
      <c r="CMP9" s="88"/>
      <c r="CMQ9" s="88"/>
      <c r="CMR9" s="88"/>
      <c r="CMS9" s="88"/>
      <c r="CMT9" s="88"/>
      <c r="CMU9" s="88"/>
      <c r="CMV9" s="88"/>
      <c r="CMW9" s="88"/>
      <c r="CMX9" s="88"/>
      <c r="CMY9" s="88"/>
      <c r="CMZ9" s="88"/>
      <c r="CNA9" s="88"/>
      <c r="CNB9" s="88"/>
      <c r="CNC9" s="88"/>
      <c r="CND9" s="88"/>
      <c r="CNE9" s="88"/>
      <c r="CNF9" s="88"/>
      <c r="CNG9" s="88"/>
      <c r="CNH9" s="88"/>
      <c r="CNI9" s="88"/>
      <c r="CNJ9" s="88"/>
      <c r="CNK9" s="88"/>
      <c r="CNL9" s="88"/>
      <c r="CNM9" s="88"/>
      <c r="CNN9" s="88"/>
      <c r="CNO9" s="88"/>
      <c r="CNP9" s="88"/>
      <c r="CNQ9" s="88"/>
      <c r="CNR9" s="88"/>
      <c r="CNS9" s="88"/>
      <c r="CNT9" s="88"/>
      <c r="CNU9" s="88"/>
      <c r="CNV9" s="88"/>
      <c r="CNW9" s="88"/>
      <c r="CNX9" s="88"/>
      <c r="CNY9" s="88"/>
      <c r="CNZ9" s="88"/>
      <c r="COA9" s="88"/>
      <c r="COB9" s="88"/>
      <c r="COC9" s="88"/>
      <c r="COD9" s="88"/>
      <c r="COE9" s="88"/>
      <c r="COF9" s="88"/>
      <c r="COG9" s="88"/>
      <c r="COH9" s="88"/>
      <c r="COI9" s="88"/>
      <c r="COJ9" s="88"/>
      <c r="COK9" s="88"/>
      <c r="COL9" s="88"/>
      <c r="COM9" s="88"/>
      <c r="CON9" s="88"/>
      <c r="COO9" s="88"/>
      <c r="COP9" s="88"/>
      <c r="COQ9" s="88"/>
      <c r="COR9" s="88"/>
      <c r="COS9" s="88"/>
      <c r="COT9" s="88"/>
      <c r="COU9" s="88"/>
      <c r="COV9" s="88"/>
      <c r="COW9" s="88"/>
      <c r="COX9" s="88"/>
      <c r="COY9" s="88"/>
      <c r="COZ9" s="88"/>
      <c r="CPA9" s="88"/>
      <c r="CPB9" s="88"/>
      <c r="CPC9" s="88"/>
      <c r="CPD9" s="88"/>
      <c r="CPE9" s="88"/>
      <c r="CPF9" s="88"/>
      <c r="CPG9" s="88"/>
      <c r="CPH9" s="88"/>
      <c r="CPI9" s="88"/>
      <c r="CPJ9" s="88"/>
      <c r="CPK9" s="88"/>
      <c r="CPL9" s="88"/>
      <c r="CPM9" s="88"/>
      <c r="CPN9" s="88"/>
      <c r="CPO9" s="88"/>
      <c r="CPP9" s="88"/>
      <c r="CPQ9" s="88"/>
      <c r="CPR9" s="88"/>
      <c r="CPS9" s="88"/>
      <c r="CPT9" s="88"/>
      <c r="CPU9" s="88"/>
      <c r="CPV9" s="88"/>
      <c r="CPW9" s="88"/>
      <c r="CPX9" s="88"/>
      <c r="CPY9" s="88"/>
      <c r="CPZ9" s="88"/>
      <c r="CQA9" s="88"/>
      <c r="CQB9" s="88"/>
      <c r="CQC9" s="88"/>
      <c r="CQD9" s="88"/>
      <c r="CQE9" s="88"/>
      <c r="CQF9" s="88"/>
      <c r="CQG9" s="88"/>
      <c r="CQH9" s="88"/>
      <c r="CQI9" s="88"/>
      <c r="CQJ9" s="88"/>
      <c r="CQK9" s="88"/>
      <c r="CQL9" s="88"/>
      <c r="CQM9" s="88"/>
      <c r="CQN9" s="88"/>
      <c r="CQO9" s="88"/>
      <c r="CQP9" s="88"/>
      <c r="CQQ9" s="88"/>
      <c r="CQR9" s="88"/>
      <c r="CQS9" s="88"/>
      <c r="CQT9" s="88"/>
      <c r="CQU9" s="88"/>
      <c r="CQV9" s="88"/>
      <c r="CQW9" s="88"/>
      <c r="CQX9" s="88"/>
      <c r="CQY9" s="88"/>
      <c r="CQZ9" s="88"/>
      <c r="CRA9" s="88"/>
      <c r="CRB9" s="88"/>
      <c r="CRC9" s="88"/>
      <c r="CRD9" s="88"/>
      <c r="CRE9" s="88"/>
      <c r="CRF9" s="88"/>
      <c r="CRG9" s="88"/>
      <c r="CRH9" s="88"/>
      <c r="CRI9" s="88"/>
      <c r="CRJ9" s="88"/>
      <c r="CRK9" s="88"/>
      <c r="CRL9" s="88"/>
      <c r="CRM9" s="88"/>
      <c r="CRN9" s="88"/>
      <c r="CRO9" s="88"/>
      <c r="CRP9" s="88"/>
      <c r="CRQ9" s="88"/>
      <c r="CRR9" s="88"/>
      <c r="CRS9" s="88"/>
      <c r="CRT9" s="88"/>
      <c r="CRU9" s="88"/>
      <c r="CRV9" s="88"/>
      <c r="CRW9" s="88"/>
      <c r="CRX9" s="88"/>
      <c r="CRY9" s="88"/>
      <c r="CRZ9" s="88"/>
      <c r="CSA9" s="88"/>
      <c r="CSB9" s="88"/>
      <c r="CSC9" s="88"/>
      <c r="CSD9" s="90"/>
    </row>
    <row r="10" spans="1:25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3"/>
      <c r="BO10" s="223"/>
      <c r="BP10" s="223"/>
      <c r="BQ10" s="223"/>
      <c r="BR10" s="223"/>
      <c r="BS10" s="223"/>
      <c r="BT10" s="223"/>
      <c r="BU10" s="223"/>
      <c r="BV10" s="223"/>
      <c r="BW10" s="223"/>
      <c r="BX10" s="223"/>
      <c r="BY10" s="223"/>
      <c r="BZ10" s="223"/>
      <c r="CA10" s="223"/>
      <c r="CB10" s="223"/>
      <c r="CC10" s="223"/>
      <c r="CD10" s="223"/>
      <c r="CE10" s="223"/>
      <c r="CF10" s="223"/>
      <c r="CG10" s="223"/>
      <c r="CH10" s="223"/>
      <c r="CI10" s="223"/>
      <c r="CJ10" s="223"/>
      <c r="CK10" s="223"/>
      <c r="CL10" s="223"/>
      <c r="CM10" s="223"/>
      <c r="CN10" s="223"/>
      <c r="CO10" s="223"/>
      <c r="CP10" s="223"/>
      <c r="CQ10" s="92"/>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203"/>
      <c r="AFO10" s="203"/>
      <c r="AFP10" s="203"/>
      <c r="AFQ10" s="203"/>
      <c r="AFR10" s="203"/>
      <c r="AFS10" s="203"/>
      <c r="AFT10" s="203"/>
      <c r="AFU10" s="203"/>
      <c r="AFV10" s="203"/>
      <c r="AFW10" s="203"/>
      <c r="AFX10" s="203"/>
      <c r="AFY10" s="203"/>
      <c r="AFZ10" s="203"/>
      <c r="AGA10" s="203"/>
      <c r="AGB10" s="203"/>
      <c r="AGC10" s="203"/>
      <c r="AGD10" s="203"/>
      <c r="AGE10" s="203"/>
      <c r="AGF10" s="203"/>
      <c r="AGG10" s="203"/>
      <c r="AGH10" s="203"/>
      <c r="AGI10" s="203"/>
      <c r="AGJ10" s="203"/>
      <c r="AGK10" s="203"/>
      <c r="AGL10" s="203"/>
      <c r="AGM10" s="203"/>
      <c r="AGN10" s="203"/>
      <c r="AGO10" s="203"/>
      <c r="AGP10" s="203"/>
      <c r="AGQ10" s="203"/>
      <c r="AGR10" s="203"/>
      <c r="AGS10" s="203"/>
      <c r="AGT10" s="203"/>
      <c r="AGU10" s="203"/>
      <c r="AGV10" s="203"/>
      <c r="AGW10" s="203"/>
      <c r="AGX10" s="203"/>
      <c r="AGY10" s="203"/>
      <c r="AGZ10" s="203"/>
      <c r="AHA10" s="203"/>
      <c r="AHB10" s="203"/>
      <c r="AHC10" s="203"/>
      <c r="AHD10" s="203"/>
      <c r="AHE10" s="203"/>
      <c r="AHF10" s="203"/>
      <c r="AHG10" s="203"/>
      <c r="AHH10" s="203"/>
      <c r="AHI10" s="203"/>
      <c r="AHJ10" s="203"/>
      <c r="AHK10" s="203"/>
      <c r="AHL10" s="203"/>
      <c r="AHM10" s="203"/>
      <c r="AHN10" s="203"/>
      <c r="AHO10" s="203"/>
      <c r="AHP10" s="203"/>
      <c r="AHQ10" s="203"/>
      <c r="AHR10" s="203"/>
      <c r="AHS10" s="203"/>
      <c r="AHT10" s="203"/>
      <c r="AHU10" s="203"/>
      <c r="AHV10" s="203"/>
      <c r="AHW10" s="203"/>
      <c r="AHX10" s="203"/>
      <c r="AHY10" s="203"/>
      <c r="AHZ10" s="203"/>
      <c r="AIA10" s="203"/>
      <c r="AIB10" s="203"/>
      <c r="AIC10" s="203"/>
      <c r="AID10" s="203"/>
      <c r="AIE10" s="203"/>
      <c r="AIF10" s="203"/>
      <c r="AIG10" s="203"/>
      <c r="AIH10" s="203"/>
      <c r="AII10" s="203"/>
      <c r="AIJ10" s="203"/>
      <c r="AIK10" s="203"/>
      <c r="AIL10" s="203"/>
      <c r="AIM10" s="203"/>
      <c r="AIN10" s="203"/>
      <c r="AIO10" s="203"/>
      <c r="AIP10" s="203"/>
      <c r="AIQ10" s="203"/>
      <c r="AIR10" s="203"/>
      <c r="AIS10" s="203"/>
      <c r="AIT10" s="203"/>
      <c r="AIU10" s="203"/>
      <c r="AIV10" s="203"/>
      <c r="AIW10" s="203"/>
      <c r="AIX10" s="203"/>
      <c r="AIY10" s="203"/>
      <c r="AIZ10" s="203"/>
      <c r="AJA10" s="203"/>
      <c r="AJB10" s="203"/>
      <c r="AJC10" s="203"/>
      <c r="AJD10" s="203"/>
      <c r="AJE10" s="203"/>
      <c r="AJF10" s="203"/>
      <c r="AJG10" s="203"/>
      <c r="AJH10" s="203"/>
      <c r="AJI10" s="203"/>
      <c r="AJJ10" s="203"/>
      <c r="AJK10" s="203"/>
      <c r="AJL10" s="203"/>
      <c r="AJM10" s="203"/>
      <c r="AJN10" s="203"/>
      <c r="AJO10" s="203"/>
      <c r="AJP10" s="203"/>
      <c r="AJQ10" s="203"/>
      <c r="AJR10" s="203"/>
      <c r="AJS10" s="203"/>
      <c r="AJT10" s="203"/>
      <c r="AJU10" s="203"/>
      <c r="AJV10" s="203"/>
      <c r="AJW10" s="203"/>
      <c r="AJX10" s="203"/>
      <c r="AJY10" s="203"/>
      <c r="AJZ10" s="203"/>
      <c r="AKA10" s="203"/>
      <c r="AKB10" s="203"/>
      <c r="AKC10" s="203"/>
      <c r="AKD10" s="203"/>
      <c r="AKE10" s="203"/>
      <c r="AKF10" s="203"/>
      <c r="AKG10" s="203"/>
      <c r="AKH10" s="203"/>
      <c r="AKI10" s="203"/>
      <c r="AKJ10" s="203"/>
      <c r="AKK10" s="203"/>
      <c r="AKL10" s="203"/>
      <c r="AKM10" s="203"/>
      <c r="AKN10" s="203"/>
      <c r="AKO10" s="203"/>
      <c r="AKP10" s="203"/>
      <c r="AKQ10" s="203"/>
      <c r="AKR10" s="203"/>
      <c r="AKS10" s="203"/>
      <c r="AKT10" s="203"/>
      <c r="AKU10" s="203"/>
      <c r="AKV10" s="203"/>
      <c r="AKW10" s="203"/>
      <c r="AKX10" s="203"/>
      <c r="AKY10" s="203"/>
      <c r="AKZ10" s="203"/>
      <c r="ALA10" s="203"/>
      <c r="ALB10" s="203"/>
      <c r="ALC10" s="203"/>
      <c r="ALD10" s="203"/>
      <c r="ALE10" s="203"/>
      <c r="ALF10" s="203"/>
      <c r="ALG10" s="203"/>
      <c r="ALH10" s="203"/>
      <c r="ALI10" s="203"/>
      <c r="ALJ10" s="203"/>
      <c r="ALK10" s="203"/>
      <c r="ALL10" s="203"/>
      <c r="ALM10" s="203"/>
      <c r="ALN10" s="203"/>
      <c r="ALO10" s="203"/>
      <c r="ALP10" s="203"/>
      <c r="ALQ10" s="203"/>
      <c r="ALR10" s="203"/>
      <c r="ALS10" s="203"/>
      <c r="ALT10" s="203"/>
      <c r="ALU10" s="203"/>
      <c r="ALV10" s="203"/>
      <c r="ALW10" s="203"/>
      <c r="ALX10" s="203"/>
      <c r="ALY10" s="203"/>
      <c r="ALZ10" s="203"/>
      <c r="AMA10" s="203"/>
      <c r="AMB10" s="203"/>
      <c r="AMC10" s="203"/>
      <c r="AMD10" s="203"/>
      <c r="AME10" s="203"/>
      <c r="AMF10" s="203"/>
      <c r="AMG10" s="203"/>
      <c r="AMH10" s="203"/>
      <c r="AMI10" s="203"/>
      <c r="AMJ10" s="203"/>
      <c r="AMK10" s="203"/>
      <c r="AML10" s="203"/>
      <c r="AMM10" s="203"/>
      <c r="AMN10" s="203"/>
      <c r="AMO10" s="203"/>
      <c r="AMP10" s="203"/>
      <c r="AMQ10" s="203"/>
      <c r="AMR10" s="203"/>
      <c r="AMS10" s="203"/>
      <c r="AMT10" s="203"/>
      <c r="AMU10" s="203"/>
      <c r="AMV10" s="203"/>
      <c r="AMW10" s="203"/>
      <c r="AMX10" s="203"/>
      <c r="AMY10" s="203"/>
      <c r="AMZ10" s="203"/>
      <c r="ANA10" s="203"/>
      <c r="ANB10" s="203"/>
      <c r="ANC10" s="203"/>
      <c r="AND10" s="203"/>
      <c r="ANE10" s="203"/>
      <c r="ANF10" s="203"/>
      <c r="ANG10" s="203"/>
      <c r="ANH10" s="203"/>
      <c r="ANI10" s="203"/>
      <c r="ANJ10" s="203"/>
      <c r="ANK10" s="203"/>
      <c r="ANL10" s="203"/>
      <c r="ANM10" s="203"/>
      <c r="ANN10" s="203"/>
      <c r="ANO10" s="203"/>
      <c r="ANP10" s="203"/>
      <c r="ANQ10" s="203"/>
      <c r="ANR10" s="203"/>
      <c r="ANS10" s="203"/>
      <c r="ANT10" s="203"/>
      <c r="ANU10" s="203"/>
      <c r="ANV10" s="203"/>
      <c r="ANW10" s="203"/>
      <c r="ANX10" s="203"/>
      <c r="ANY10" s="203"/>
      <c r="ANZ10" s="203"/>
      <c r="AOA10" s="203"/>
      <c r="AOB10" s="203"/>
      <c r="AOC10" s="203"/>
      <c r="AOD10" s="203"/>
      <c r="AOE10" s="203"/>
      <c r="AOF10" s="203"/>
      <c r="AOG10" s="203"/>
      <c r="AOH10" s="203"/>
      <c r="AOI10" s="203"/>
      <c r="AOJ10" s="203"/>
      <c r="AOK10" s="203"/>
      <c r="AOL10" s="203"/>
      <c r="AOM10" s="203"/>
      <c r="AON10" s="203"/>
      <c r="AOO10" s="203"/>
      <c r="AOP10" s="203"/>
      <c r="AOQ10" s="203"/>
      <c r="AOR10" s="203"/>
      <c r="AOS10" s="203"/>
      <c r="AOT10" s="203"/>
      <c r="AOU10" s="203"/>
      <c r="AOV10" s="203"/>
      <c r="AOW10" s="203"/>
      <c r="AOX10" s="203"/>
      <c r="AOY10" s="203"/>
      <c r="AOZ10" s="203"/>
      <c r="APA10" s="203"/>
      <c r="APB10" s="203"/>
      <c r="APC10" s="203"/>
      <c r="APD10" s="203"/>
      <c r="APE10" s="203"/>
      <c r="APF10" s="203"/>
      <c r="APG10" s="203"/>
      <c r="APH10" s="203"/>
      <c r="API10" s="203"/>
      <c r="APJ10" s="203"/>
      <c r="APK10" s="203"/>
      <c r="APL10" s="203"/>
      <c r="APM10" s="203"/>
      <c r="APN10" s="203"/>
      <c r="APO10" s="203"/>
      <c r="APP10" s="203"/>
      <c r="APQ10" s="203"/>
      <c r="APR10" s="203"/>
      <c r="APS10" s="203"/>
      <c r="APT10" s="203"/>
      <c r="APU10" s="203"/>
      <c r="APV10" s="203"/>
      <c r="APW10" s="203"/>
      <c r="APX10" s="203"/>
      <c r="APY10" s="203"/>
      <c r="APZ10" s="203"/>
      <c r="AQA10" s="203"/>
      <c r="AQB10" s="203"/>
      <c r="AQC10" s="203"/>
      <c r="AQD10" s="203"/>
      <c r="AQE10" s="203"/>
      <c r="AQF10" s="203"/>
      <c r="AQG10" s="203"/>
      <c r="AQH10" s="203"/>
      <c r="AQI10" s="203"/>
      <c r="AQJ10" s="203"/>
      <c r="AQK10" s="203"/>
      <c r="AQL10" s="203"/>
      <c r="AQM10" s="203"/>
      <c r="AQN10" s="203"/>
      <c r="AQO10" s="203"/>
      <c r="AQP10" s="203"/>
      <c r="AQQ10" s="203"/>
      <c r="AQR10" s="203"/>
      <c r="AQS10" s="203"/>
      <c r="AQT10" s="203"/>
      <c r="AQU10" s="203"/>
      <c r="AQV10" s="203"/>
      <c r="AQW10" s="203"/>
      <c r="AQX10" s="203"/>
      <c r="AQY10" s="203"/>
      <c r="AQZ10" s="203"/>
      <c r="ARA10" s="203"/>
      <c r="ARB10" s="203"/>
      <c r="ARC10" s="203"/>
      <c r="ARD10" s="203"/>
      <c r="ARE10" s="203"/>
      <c r="ARF10" s="203"/>
      <c r="ARG10" s="203"/>
      <c r="ARH10" s="203"/>
      <c r="ARI10" s="203"/>
      <c r="ARJ10" s="203"/>
      <c r="ARK10" s="203"/>
      <c r="ARL10" s="203"/>
      <c r="ARM10" s="203"/>
      <c r="ARN10" s="203"/>
      <c r="ARO10" s="203"/>
      <c r="ARP10" s="203"/>
      <c r="ARQ10" s="203"/>
      <c r="ARR10" s="203"/>
      <c r="ARS10" s="203"/>
      <c r="ART10" s="203"/>
      <c r="ARU10" s="203"/>
      <c r="ARV10" s="203"/>
      <c r="ARW10" s="203"/>
      <c r="ARX10" s="203"/>
      <c r="ARY10" s="203"/>
      <c r="ARZ10" s="203"/>
      <c r="ASA10" s="203"/>
      <c r="ASB10" s="203"/>
      <c r="ASC10" s="203"/>
      <c r="ASD10" s="203"/>
      <c r="ASE10" s="203"/>
      <c r="ASF10" s="203"/>
      <c r="ASG10" s="203"/>
      <c r="ASH10" s="203"/>
      <c r="ASI10" s="203"/>
      <c r="ASJ10" s="203"/>
      <c r="ASK10" s="203"/>
      <c r="ASL10" s="203"/>
      <c r="ASM10" s="203"/>
      <c r="ASN10" s="203"/>
      <c r="ASO10" s="203"/>
      <c r="ASP10" s="203"/>
      <c r="ASQ10" s="203"/>
      <c r="ASR10" s="203"/>
      <c r="ASS10" s="203"/>
      <c r="AST10" s="203"/>
      <c r="ASU10" s="203"/>
      <c r="ASV10" s="203"/>
      <c r="ASW10" s="203"/>
      <c r="ASX10" s="203"/>
      <c r="ASY10" s="203"/>
      <c r="ASZ10" s="203"/>
      <c r="ATA10" s="203"/>
      <c r="ATB10" s="203"/>
      <c r="ATC10" s="203"/>
      <c r="ATD10" s="203"/>
      <c r="ATE10" s="203"/>
      <c r="ATF10" s="203"/>
      <c r="ATG10" s="203"/>
      <c r="ATH10" s="203"/>
      <c r="ATI10" s="203"/>
      <c r="ATJ10" s="203"/>
      <c r="ATK10" s="203"/>
      <c r="ATL10" s="203"/>
      <c r="ATM10" s="203"/>
      <c r="ATN10" s="203"/>
      <c r="ATO10" s="203"/>
      <c r="ATP10" s="203"/>
      <c r="ATQ10" s="203"/>
      <c r="ATR10" s="203"/>
      <c r="ATS10" s="203"/>
      <c r="ATT10" s="203"/>
      <c r="ATU10" s="203"/>
      <c r="ATV10" s="203"/>
      <c r="ATW10" s="203"/>
      <c r="ATX10" s="203"/>
      <c r="ATY10" s="203"/>
      <c r="ATZ10" s="203"/>
      <c r="AUA10" s="203"/>
      <c r="AUB10" s="203"/>
      <c r="AUC10" s="203"/>
      <c r="AUD10" s="203"/>
      <c r="AUE10" s="203"/>
      <c r="AUF10" s="203"/>
      <c r="AUG10" s="203"/>
      <c r="AUH10" s="203"/>
      <c r="AUI10" s="203"/>
      <c r="AUJ10" s="203"/>
      <c r="AUK10" s="203"/>
      <c r="AUL10" s="203"/>
      <c r="AUM10" s="203"/>
      <c r="AUN10" s="203"/>
      <c r="AUO10" s="203"/>
      <c r="AUP10" s="203"/>
      <c r="AUQ10" s="203"/>
      <c r="AUR10" s="203"/>
      <c r="AUS10" s="203"/>
      <c r="AUT10" s="203"/>
      <c r="AUU10" s="203"/>
      <c r="AUV10" s="203"/>
      <c r="AUW10" s="203"/>
      <c r="AUX10" s="203"/>
      <c r="AUY10" s="203"/>
      <c r="AUZ10" s="203"/>
      <c r="AVA10" s="203"/>
      <c r="AVB10" s="203"/>
      <c r="AVC10" s="203"/>
      <c r="AVD10" s="203"/>
      <c r="AVE10" s="203"/>
      <c r="AVF10" s="203"/>
      <c r="AVG10" s="203"/>
      <c r="AVH10" s="203"/>
      <c r="AVI10" s="203"/>
      <c r="AVJ10" s="203"/>
      <c r="AVK10" s="203"/>
      <c r="AVL10" s="203"/>
      <c r="AVM10" s="203"/>
      <c r="AVN10" s="203"/>
      <c r="AVO10" s="203"/>
      <c r="AVP10" s="203"/>
      <c r="AVQ10" s="203"/>
      <c r="AVR10" s="203"/>
      <c r="AVS10" s="203"/>
      <c r="AVT10" s="203"/>
      <c r="AVU10" s="203"/>
      <c r="AVV10" s="203"/>
      <c r="AVW10" s="203"/>
      <c r="AVX10" s="203"/>
      <c r="AVY10" s="203"/>
      <c r="AVZ10" s="203"/>
      <c r="AWA10" s="203"/>
      <c r="AWB10" s="203"/>
      <c r="AWC10" s="203"/>
      <c r="AWD10" s="203"/>
      <c r="AWE10" s="203"/>
      <c r="AWF10" s="203"/>
      <c r="AWG10" s="203"/>
      <c r="AWH10" s="203"/>
      <c r="AWI10" s="203"/>
      <c r="AWJ10" s="203"/>
      <c r="AWK10" s="203"/>
      <c r="AWL10" s="203"/>
      <c r="AWM10" s="203"/>
      <c r="AWN10" s="203"/>
      <c r="AWO10" s="203"/>
      <c r="AWP10" s="203"/>
      <c r="AWQ10" s="203"/>
      <c r="AWR10" s="203"/>
      <c r="AWS10" s="203"/>
      <c r="AWT10" s="203"/>
      <c r="AWU10" s="203"/>
      <c r="AWV10" s="203"/>
      <c r="AWW10" s="203"/>
      <c r="AWX10" s="203"/>
      <c r="AWY10" s="203"/>
      <c r="AWZ10" s="203"/>
      <c r="AXA10" s="203"/>
      <c r="AXB10" s="203"/>
      <c r="AXC10" s="203"/>
      <c r="AXD10" s="203"/>
      <c r="AXE10" s="203"/>
      <c r="AXF10" s="203"/>
      <c r="AXG10" s="203"/>
      <c r="AXH10" s="203"/>
      <c r="AXI10" s="203"/>
      <c r="AXJ10" s="203"/>
      <c r="AXK10" s="203"/>
      <c r="AXL10" s="203"/>
      <c r="AXM10" s="203"/>
      <c r="AXN10" s="203"/>
      <c r="AXO10" s="203"/>
      <c r="AXP10" s="203"/>
      <c r="AXQ10" s="203"/>
      <c r="AXR10" s="203"/>
      <c r="AXS10" s="203"/>
      <c r="AXT10" s="203"/>
      <c r="AXU10" s="203"/>
      <c r="AXV10" s="203"/>
      <c r="AXW10" s="203"/>
      <c r="AXX10" s="203"/>
      <c r="AXY10" s="203"/>
      <c r="AXZ10" s="203"/>
      <c r="AYA10" s="203"/>
      <c r="AYB10" s="203"/>
      <c r="AYC10" s="203"/>
      <c r="AYD10" s="203"/>
      <c r="AYE10" s="203"/>
      <c r="AYF10" s="203"/>
      <c r="AYG10" s="203"/>
      <c r="AYH10" s="203"/>
      <c r="AYI10" s="203"/>
      <c r="AYJ10" s="203"/>
      <c r="AYK10" s="203"/>
      <c r="AYL10" s="203"/>
      <c r="AYM10" s="203"/>
      <c r="AYN10" s="203"/>
      <c r="AYO10" s="203"/>
      <c r="AYP10" s="203"/>
      <c r="AYQ10" s="203"/>
      <c r="AYR10" s="203"/>
      <c r="AYS10" s="203"/>
      <c r="AYT10" s="203"/>
      <c r="AYU10" s="203"/>
      <c r="AYV10" s="203"/>
      <c r="AYW10" s="203"/>
      <c r="AYX10" s="203"/>
      <c r="AYY10" s="203"/>
      <c r="AYZ10" s="203"/>
      <c r="AZA10" s="203"/>
      <c r="AZB10" s="203"/>
      <c r="AZC10" s="203"/>
      <c r="AZD10" s="203"/>
      <c r="AZE10" s="203"/>
      <c r="AZF10" s="203"/>
      <c r="AZG10" s="203"/>
      <c r="AZH10" s="203"/>
      <c r="AZI10" s="203"/>
      <c r="AZJ10" s="203"/>
      <c r="AZK10" s="203"/>
      <c r="AZL10" s="203"/>
      <c r="AZM10" s="203"/>
      <c r="AZN10" s="203"/>
      <c r="AZO10" s="203"/>
      <c r="AZP10" s="203"/>
      <c r="AZQ10" s="203"/>
      <c r="AZR10" s="203"/>
      <c r="AZS10" s="203"/>
      <c r="AZT10" s="203"/>
      <c r="AZU10" s="203"/>
      <c r="AZV10" s="203"/>
      <c r="AZW10" s="203"/>
      <c r="AZX10" s="203"/>
      <c r="AZY10" s="203"/>
      <c r="AZZ10" s="203"/>
      <c r="BAA10" s="203"/>
      <c r="BAB10" s="203"/>
      <c r="BAC10" s="203"/>
      <c r="BAD10" s="203"/>
      <c r="BAE10" s="203"/>
      <c r="BAF10" s="203"/>
      <c r="BAG10" s="203"/>
      <c r="BAH10" s="203"/>
      <c r="BAI10" s="203"/>
      <c r="BAJ10" s="203"/>
      <c r="BAK10" s="203"/>
      <c r="BAL10" s="203"/>
      <c r="BAM10" s="203"/>
      <c r="BAN10" s="203"/>
      <c r="BAO10" s="203"/>
      <c r="BAP10" s="203"/>
      <c r="BAQ10" s="203"/>
      <c r="BAR10" s="203"/>
      <c r="BAS10" s="203"/>
      <c r="BAT10" s="203"/>
      <c r="BAU10" s="203"/>
      <c r="BAV10" s="203"/>
      <c r="BAW10" s="203"/>
      <c r="BAX10" s="203"/>
      <c r="BAY10" s="203"/>
      <c r="BAZ10" s="203"/>
      <c r="BBA10" s="203"/>
      <c r="BBB10" s="203"/>
      <c r="BBC10" s="203"/>
      <c r="BBD10" s="203"/>
      <c r="BBE10" s="203"/>
      <c r="BBF10" s="203"/>
      <c r="BBG10" s="203"/>
      <c r="BBH10" s="203"/>
      <c r="BBI10" s="203"/>
      <c r="BBJ10" s="203"/>
      <c r="BBK10" s="203"/>
      <c r="BBL10" s="203"/>
      <c r="BBM10" s="203"/>
      <c r="BBN10" s="203"/>
      <c r="BBO10" s="203"/>
      <c r="BBP10" s="203"/>
      <c r="BBQ10" s="203"/>
      <c r="BBR10" s="203"/>
      <c r="BBS10" s="203"/>
      <c r="BBT10" s="203"/>
      <c r="BBU10" s="203"/>
      <c r="BBV10" s="203"/>
      <c r="BBW10" s="203"/>
      <c r="BBX10" s="203"/>
      <c r="BBY10" s="203"/>
      <c r="BBZ10" s="203"/>
      <c r="BCA10" s="203"/>
      <c r="BCB10" s="203"/>
      <c r="BCC10" s="203"/>
      <c r="BCD10" s="203"/>
      <c r="BCE10" s="203"/>
      <c r="BCF10" s="203"/>
      <c r="BCG10" s="203"/>
      <c r="BCH10" s="203"/>
      <c r="BCI10" s="203"/>
      <c r="BCJ10" s="203"/>
      <c r="BCK10" s="203"/>
      <c r="BCL10" s="203"/>
      <c r="BCM10" s="203"/>
      <c r="BCN10" s="203"/>
      <c r="BCO10" s="203"/>
      <c r="BCP10" s="203"/>
      <c r="BCQ10" s="203"/>
      <c r="BCR10" s="203"/>
      <c r="BCS10" s="203"/>
      <c r="BCT10" s="203"/>
      <c r="BCU10" s="203"/>
      <c r="BCV10" s="203"/>
      <c r="BCW10" s="203"/>
      <c r="BCX10" s="203"/>
      <c r="BCY10" s="203"/>
      <c r="BCZ10" s="203"/>
      <c r="BDA10" s="203"/>
      <c r="BDB10" s="203"/>
      <c r="BDC10" s="203"/>
      <c r="BDD10" s="203"/>
      <c r="BDE10" s="203"/>
      <c r="BDF10" s="203"/>
      <c r="BDG10" s="203"/>
      <c r="BDH10" s="203"/>
      <c r="BDI10" s="203"/>
      <c r="BDJ10" s="203"/>
      <c r="BDK10" s="203"/>
      <c r="BDL10" s="203"/>
      <c r="BDM10" s="203"/>
      <c r="BDN10" s="203"/>
      <c r="BDO10" s="203"/>
      <c r="BDP10" s="203"/>
      <c r="BDQ10" s="203"/>
      <c r="BDR10" s="203"/>
      <c r="BDS10" s="203"/>
      <c r="BDT10" s="203"/>
      <c r="BDU10" s="203"/>
      <c r="BDV10" s="203"/>
      <c r="BDW10" s="203"/>
      <c r="BDX10" s="203"/>
      <c r="BDY10" s="203"/>
      <c r="BDZ10" s="203"/>
      <c r="BEA10" s="203"/>
      <c r="BEB10" s="203"/>
      <c r="BEC10" s="203"/>
      <c r="BED10" s="203"/>
      <c r="BEE10" s="203"/>
      <c r="BEF10" s="203"/>
      <c r="BEG10" s="203"/>
      <c r="BEH10" s="203"/>
      <c r="BEI10" s="203"/>
      <c r="BEJ10" s="203"/>
      <c r="BEK10" s="203"/>
      <c r="BEL10" s="203"/>
      <c r="BEM10" s="203"/>
      <c r="BEN10" s="203"/>
      <c r="BEO10" s="203"/>
      <c r="BEP10" s="203"/>
      <c r="BEQ10" s="203"/>
      <c r="BER10" s="203"/>
      <c r="BES10" s="203"/>
      <c r="BET10" s="203"/>
      <c r="BEU10" s="203"/>
      <c r="BEV10" s="203"/>
      <c r="BEW10" s="203"/>
      <c r="BEX10" s="203"/>
      <c r="BEY10" s="203"/>
      <c r="BEZ10" s="203"/>
      <c r="BFA10" s="203"/>
      <c r="BFB10" s="203"/>
      <c r="BFC10" s="203"/>
      <c r="BFD10" s="203"/>
      <c r="BFE10" s="203"/>
      <c r="BFF10" s="203"/>
      <c r="BFG10" s="203"/>
      <c r="BFH10" s="203"/>
      <c r="BFI10" s="203"/>
      <c r="BFJ10" s="203"/>
      <c r="BFK10" s="203"/>
      <c r="BFL10" s="203"/>
      <c r="BFM10" s="203"/>
      <c r="BFN10" s="203"/>
      <c r="BFO10" s="203"/>
      <c r="BFP10" s="203"/>
      <c r="BFQ10" s="203"/>
      <c r="BFR10" s="203"/>
      <c r="BFS10" s="203"/>
      <c r="BFT10" s="203"/>
      <c r="BFU10" s="203"/>
      <c r="BFV10" s="203"/>
      <c r="BFW10" s="203"/>
      <c r="BFX10" s="203"/>
      <c r="BFY10" s="203"/>
      <c r="BFZ10" s="203"/>
      <c r="BGA10" s="203"/>
      <c r="BGB10" s="203"/>
      <c r="BGC10" s="203"/>
      <c r="BGD10" s="203"/>
      <c r="BGE10" s="203"/>
      <c r="BGF10" s="203"/>
      <c r="BGG10" s="203"/>
      <c r="BGH10" s="203"/>
      <c r="BGI10" s="203"/>
      <c r="BGJ10" s="203"/>
      <c r="BGK10" s="203"/>
      <c r="BGL10" s="203"/>
      <c r="BGM10" s="203"/>
      <c r="BGN10" s="203"/>
      <c r="BGO10" s="203"/>
      <c r="BGP10" s="203"/>
      <c r="BGQ10" s="203"/>
      <c r="BGR10" s="203"/>
      <c r="BGS10" s="203"/>
      <c r="BGT10" s="203"/>
      <c r="BGU10" s="203"/>
      <c r="BGV10" s="203"/>
      <c r="BGW10" s="203"/>
      <c r="BGX10" s="203"/>
      <c r="BGY10" s="203"/>
      <c r="BGZ10" s="203"/>
      <c r="BHA10" s="203"/>
      <c r="BHB10" s="203"/>
      <c r="BHC10" s="203"/>
      <c r="BHD10" s="203"/>
      <c r="BHE10" s="203"/>
      <c r="BHF10" s="203"/>
      <c r="BHG10" s="203"/>
      <c r="BHH10" s="203"/>
      <c r="BHI10" s="203"/>
      <c r="BHJ10" s="203"/>
      <c r="BHK10" s="203"/>
      <c r="BHL10" s="203"/>
      <c r="BHM10" s="203"/>
      <c r="BHN10" s="203"/>
      <c r="BHO10" s="203"/>
      <c r="BHP10" s="203"/>
      <c r="BHQ10" s="203"/>
      <c r="BHR10" s="203"/>
      <c r="BHS10" s="203"/>
      <c r="BHT10" s="203"/>
      <c r="BHU10" s="203"/>
      <c r="BHV10" s="203"/>
      <c r="BHW10" s="203"/>
      <c r="BHX10" s="203"/>
      <c r="BHY10" s="203"/>
      <c r="BHZ10" s="203"/>
      <c r="BIA10" s="203"/>
      <c r="BIB10" s="203"/>
      <c r="BIC10" s="203"/>
      <c r="BID10" s="203"/>
      <c r="BIE10" s="203"/>
      <c r="BIF10" s="203"/>
      <c r="BIG10" s="203"/>
      <c r="BIH10" s="203"/>
      <c r="BII10" s="203"/>
      <c r="BIJ10" s="203"/>
      <c r="BIK10" s="203"/>
      <c r="BIL10" s="203"/>
      <c r="BIM10" s="203"/>
      <c r="BIN10" s="203"/>
      <c r="BIO10" s="203"/>
      <c r="BIP10" s="203"/>
      <c r="BIQ10" s="203"/>
      <c r="BIR10" s="203"/>
      <c r="BIS10" s="203"/>
      <c r="BIT10" s="203"/>
      <c r="BIU10" s="203"/>
      <c r="BIV10" s="203"/>
      <c r="BIW10" s="203"/>
      <c r="BIX10" s="203"/>
      <c r="BIY10" s="203"/>
      <c r="BIZ10" s="203"/>
      <c r="BJA10" s="203"/>
      <c r="BJB10" s="203"/>
      <c r="BJC10" s="203"/>
      <c r="BJD10" s="203"/>
      <c r="BJE10" s="203"/>
      <c r="BJF10" s="203"/>
      <c r="BJG10" s="203"/>
      <c r="BJH10" s="203"/>
      <c r="BJI10" s="203"/>
      <c r="BJJ10" s="203"/>
      <c r="BJK10" s="203"/>
      <c r="BJL10" s="203"/>
      <c r="BJM10" s="203"/>
      <c r="BJN10" s="203"/>
      <c r="BJO10" s="203"/>
      <c r="BJP10" s="203"/>
      <c r="BJQ10" s="203"/>
      <c r="BJR10" s="203"/>
      <c r="BJS10" s="203"/>
      <c r="BJT10" s="203"/>
      <c r="BJU10" s="203"/>
      <c r="BJV10" s="203"/>
      <c r="BJW10" s="203"/>
      <c r="BJX10" s="203"/>
      <c r="BJY10" s="203"/>
      <c r="BJZ10" s="203"/>
      <c r="BKA10" s="203"/>
      <c r="BKB10" s="203"/>
      <c r="BKC10" s="203"/>
      <c r="BKD10" s="203"/>
      <c r="BKE10" s="203"/>
      <c r="BKF10" s="203"/>
      <c r="BKG10" s="203"/>
      <c r="BKH10" s="203"/>
      <c r="BKI10" s="203"/>
      <c r="BKJ10" s="203"/>
      <c r="BKK10" s="203"/>
      <c r="BKL10" s="203"/>
      <c r="BKM10" s="203"/>
      <c r="BKN10" s="203"/>
      <c r="BKO10" s="203"/>
      <c r="BKP10" s="203"/>
      <c r="BKQ10" s="203"/>
      <c r="BKR10" s="203"/>
      <c r="BKS10" s="203"/>
      <c r="BKT10" s="203"/>
      <c r="BKU10" s="203"/>
      <c r="BKV10" s="203"/>
      <c r="BKW10" s="203"/>
      <c r="BKX10" s="203"/>
      <c r="BKY10" s="203"/>
      <c r="BKZ10" s="203"/>
      <c r="BLA10" s="203"/>
      <c r="BLB10" s="203"/>
      <c r="BLC10" s="203"/>
      <c r="BLD10" s="203"/>
      <c r="BLE10" s="203"/>
      <c r="BLF10" s="203"/>
      <c r="BLG10" s="203"/>
      <c r="BLH10" s="203"/>
      <c r="BLI10" s="203"/>
      <c r="BLJ10" s="203"/>
      <c r="BLK10" s="203"/>
      <c r="BLL10" s="203"/>
      <c r="BLM10" s="203"/>
      <c r="BLN10" s="203"/>
      <c r="BLO10" s="203"/>
      <c r="BLP10" s="203"/>
      <c r="BLQ10" s="203"/>
      <c r="BLR10" s="203"/>
      <c r="BLS10" s="203"/>
      <c r="BLT10" s="203"/>
      <c r="BLU10" s="203"/>
      <c r="BLV10" s="203"/>
      <c r="BLW10" s="203"/>
      <c r="BLX10" s="203"/>
      <c r="BLY10" s="203"/>
      <c r="BLZ10" s="203"/>
      <c r="BMA10" s="203"/>
      <c r="BMB10" s="203"/>
      <c r="BMC10" s="203"/>
      <c r="BMD10" s="203"/>
      <c r="BME10" s="203"/>
      <c r="BMF10" s="203"/>
      <c r="BMG10" s="203"/>
      <c r="BMH10" s="203"/>
      <c r="BMI10" s="203"/>
      <c r="BMJ10" s="203"/>
      <c r="BMK10" s="203"/>
      <c r="BML10" s="203"/>
      <c r="BMM10" s="203"/>
      <c r="BMN10" s="203"/>
      <c r="BMO10" s="203"/>
      <c r="BMP10" s="203"/>
      <c r="BMQ10" s="203"/>
      <c r="BMR10" s="203"/>
      <c r="BMS10" s="203"/>
      <c r="BMT10" s="203"/>
      <c r="BMU10" s="203"/>
      <c r="BMV10" s="203"/>
      <c r="BMW10" s="203"/>
      <c r="BMX10" s="203"/>
      <c r="BMY10" s="203"/>
      <c r="BMZ10" s="203"/>
      <c r="BNA10" s="203"/>
      <c r="BNB10" s="203"/>
      <c r="BNC10" s="203"/>
      <c r="BND10" s="203"/>
      <c r="BNE10" s="203"/>
      <c r="BNF10" s="203"/>
      <c r="BNG10" s="203"/>
      <c r="BNH10" s="203"/>
      <c r="BNI10" s="203"/>
      <c r="BNJ10" s="203"/>
      <c r="BNK10" s="203"/>
      <c r="BNL10" s="203"/>
      <c r="BNM10" s="203"/>
      <c r="BNN10" s="203"/>
      <c r="BNO10" s="203"/>
      <c r="BNP10" s="203"/>
      <c r="BNQ10" s="203"/>
      <c r="BNR10" s="203"/>
      <c r="BNS10" s="203"/>
      <c r="BNT10" s="203"/>
      <c r="BNU10" s="203"/>
      <c r="BNV10" s="203"/>
      <c r="BNW10" s="203"/>
      <c r="BNX10" s="203"/>
      <c r="BNY10" s="203"/>
      <c r="BNZ10" s="203"/>
      <c r="BOA10" s="203"/>
      <c r="BOB10" s="203"/>
      <c r="BOC10" s="203"/>
      <c r="BOD10" s="203"/>
      <c r="BOE10" s="203"/>
      <c r="BOF10" s="203"/>
      <c r="BOG10" s="203"/>
      <c r="BOH10" s="203"/>
      <c r="BOI10" s="203"/>
      <c r="BOJ10" s="203"/>
      <c r="BOK10" s="203"/>
      <c r="BOL10" s="203"/>
      <c r="BOM10" s="203"/>
      <c r="BON10" s="203"/>
      <c r="BOO10" s="203"/>
      <c r="BOP10" s="203"/>
      <c r="BOQ10" s="203"/>
      <c r="BOR10" s="203"/>
      <c r="BOS10" s="203"/>
      <c r="BOT10" s="203"/>
      <c r="BOU10" s="203"/>
      <c r="BOV10" s="203"/>
      <c r="BOW10" s="203"/>
      <c r="BOX10" s="203"/>
      <c r="BOY10" s="203"/>
      <c r="BOZ10" s="203"/>
      <c r="BPA10" s="203"/>
      <c r="BPB10" s="203"/>
      <c r="BPC10" s="203"/>
      <c r="BPD10" s="203"/>
      <c r="BPE10" s="203"/>
      <c r="BPF10" s="203"/>
      <c r="BPG10" s="203"/>
      <c r="BPH10" s="203"/>
      <c r="BPI10" s="203"/>
      <c r="BPJ10" s="203"/>
      <c r="BPK10" s="203"/>
      <c r="BPL10" s="203"/>
      <c r="BPM10" s="203"/>
      <c r="BPN10" s="203"/>
      <c r="BPO10" s="203"/>
      <c r="BPP10" s="203"/>
      <c r="BPQ10" s="203"/>
      <c r="BPR10" s="203"/>
      <c r="BPS10" s="203"/>
      <c r="BPT10" s="203"/>
      <c r="BPU10" s="203"/>
      <c r="BPV10" s="203"/>
      <c r="BPW10" s="203"/>
      <c r="BPX10" s="203"/>
      <c r="BPY10" s="203"/>
      <c r="BPZ10" s="203"/>
      <c r="BQA10" s="203"/>
      <c r="BQB10" s="203"/>
      <c r="BQC10" s="203"/>
      <c r="BQD10" s="203"/>
      <c r="BQE10" s="203"/>
      <c r="BQF10" s="203"/>
      <c r="BQG10" s="203"/>
      <c r="BQH10" s="203"/>
      <c r="BQI10" s="203"/>
      <c r="BQJ10" s="203"/>
      <c r="BQK10" s="203"/>
      <c r="BQL10" s="203"/>
      <c r="BQM10" s="203"/>
      <c r="BQN10" s="203"/>
      <c r="BQO10" s="203"/>
      <c r="BQP10" s="203"/>
      <c r="BQQ10" s="203"/>
      <c r="BQR10" s="203"/>
      <c r="BQS10" s="203"/>
      <c r="BQT10" s="203"/>
      <c r="BQU10" s="203"/>
      <c r="BQV10" s="203"/>
      <c r="BQW10" s="203"/>
      <c r="BQX10" s="203"/>
      <c r="BQY10" s="203"/>
      <c r="BQZ10" s="203"/>
      <c r="BRA10" s="203"/>
      <c r="BRB10" s="203"/>
      <c r="BRC10" s="203"/>
      <c r="BRD10" s="203"/>
      <c r="BRE10" s="203"/>
      <c r="BRF10" s="203"/>
      <c r="BRG10" s="203"/>
      <c r="BRH10" s="203"/>
      <c r="BRI10" s="203"/>
      <c r="BRJ10" s="203"/>
      <c r="BRK10" s="203"/>
      <c r="BRL10" s="203"/>
      <c r="BRM10" s="203"/>
      <c r="BRN10" s="203"/>
      <c r="BRO10" s="203"/>
      <c r="BRP10" s="203"/>
      <c r="BRQ10" s="203"/>
      <c r="BRR10" s="203"/>
      <c r="BRS10" s="203"/>
      <c r="BRT10" s="203"/>
      <c r="BRU10" s="203"/>
      <c r="BRV10" s="203"/>
      <c r="BRW10" s="203"/>
      <c r="BRX10" s="203"/>
      <c r="BRY10" s="203"/>
      <c r="BRZ10" s="203"/>
      <c r="BSA10" s="203"/>
      <c r="BSB10" s="203"/>
      <c r="BSC10" s="203"/>
      <c r="BSD10" s="203"/>
      <c r="BSE10" s="203"/>
      <c r="BSF10" s="203"/>
      <c r="BSG10" s="203"/>
      <c r="BSH10" s="203"/>
      <c r="BSI10" s="203"/>
      <c r="BSJ10" s="203"/>
      <c r="BSK10" s="203"/>
      <c r="BSL10" s="203"/>
      <c r="BSM10" s="203"/>
      <c r="BSN10" s="203"/>
      <c r="BSO10" s="203"/>
      <c r="BSP10" s="203"/>
      <c r="BSQ10" s="203"/>
      <c r="BSR10" s="203"/>
      <c r="BSS10" s="203"/>
      <c r="BST10" s="203"/>
      <c r="BSU10" s="203"/>
      <c r="BSV10" s="203"/>
      <c r="BSW10" s="203"/>
      <c r="BSX10" s="203"/>
      <c r="BSY10" s="203"/>
      <c r="BSZ10" s="203"/>
      <c r="BTA10" s="203"/>
      <c r="BTB10" s="203"/>
      <c r="BTC10" s="203"/>
      <c r="BTD10" s="203"/>
      <c r="BTE10" s="203"/>
      <c r="BTF10" s="203"/>
      <c r="BTG10" s="203"/>
      <c r="BTH10" s="203"/>
      <c r="BTI10" s="203"/>
      <c r="BTJ10" s="203"/>
      <c r="BTK10" s="203"/>
      <c r="BTL10" s="203"/>
      <c r="BTM10" s="203"/>
      <c r="BTN10" s="203"/>
      <c r="BTO10" s="203"/>
      <c r="BTP10" s="203"/>
      <c r="BTQ10" s="203"/>
      <c r="BTR10" s="203"/>
      <c r="BTS10" s="203"/>
      <c r="BTT10" s="203"/>
      <c r="BTU10" s="203"/>
      <c r="BTV10" s="203"/>
      <c r="BTW10" s="203"/>
      <c r="BTX10" s="203"/>
      <c r="BTY10" s="203"/>
      <c r="BTZ10" s="203"/>
      <c r="BUA10" s="203"/>
      <c r="BUB10" s="203"/>
      <c r="BUC10" s="203"/>
      <c r="BUD10" s="203"/>
      <c r="BUE10" s="203"/>
      <c r="BUF10" s="203"/>
      <c r="BUG10" s="203"/>
      <c r="BUH10" s="203"/>
      <c r="BUI10" s="203"/>
      <c r="BUJ10" s="203"/>
      <c r="BUK10" s="203"/>
      <c r="BUL10" s="203"/>
      <c r="BUM10" s="203"/>
      <c r="BUN10" s="203"/>
      <c r="BUO10" s="203"/>
      <c r="BUP10" s="203"/>
      <c r="BUQ10" s="203"/>
      <c r="BUR10" s="203"/>
      <c r="BUS10" s="203"/>
      <c r="BUT10" s="203"/>
      <c r="BUU10" s="203"/>
      <c r="BUV10" s="203"/>
      <c r="BUW10" s="203"/>
      <c r="BUX10" s="203"/>
      <c r="BUY10" s="203"/>
      <c r="BUZ10" s="203"/>
      <c r="BVA10" s="203"/>
      <c r="BVB10" s="203"/>
      <c r="BVC10" s="203"/>
      <c r="BVD10" s="203"/>
      <c r="BVE10" s="203"/>
      <c r="BVF10" s="203"/>
      <c r="BVG10" s="203"/>
      <c r="BVH10" s="203"/>
      <c r="BVI10" s="203"/>
      <c r="BVJ10" s="203"/>
      <c r="BVK10" s="203"/>
      <c r="BVL10" s="203"/>
      <c r="BVM10" s="203"/>
      <c r="BVN10" s="203"/>
      <c r="BVO10" s="203"/>
      <c r="BVP10" s="203"/>
      <c r="BVQ10" s="203"/>
      <c r="BVR10" s="203"/>
      <c r="BVS10" s="203"/>
      <c r="BVT10" s="203"/>
      <c r="BVU10" s="203"/>
      <c r="BVV10" s="203"/>
      <c r="BVW10" s="203"/>
      <c r="BVX10" s="203"/>
      <c r="BVY10" s="203"/>
      <c r="BVZ10" s="203"/>
      <c r="BWA10" s="203"/>
      <c r="BWB10" s="203"/>
      <c r="BWC10" s="203"/>
      <c r="BWD10" s="203"/>
      <c r="BWE10" s="203"/>
      <c r="BWF10" s="203"/>
      <c r="BWG10" s="203"/>
      <c r="BWH10" s="203"/>
      <c r="BWI10" s="203"/>
      <c r="BWJ10" s="203"/>
      <c r="BWK10" s="203"/>
      <c r="BWL10" s="203"/>
      <c r="BWM10" s="203"/>
      <c r="BWN10" s="203"/>
      <c r="BWO10" s="203"/>
      <c r="BWP10" s="203"/>
      <c r="BWQ10" s="203"/>
      <c r="BWR10" s="203"/>
      <c r="BWS10" s="203"/>
      <c r="BWT10" s="203"/>
      <c r="BWU10" s="203"/>
      <c r="BWV10" s="203"/>
      <c r="BWW10" s="203"/>
      <c r="BWX10" s="203"/>
      <c r="BWY10" s="203"/>
      <c r="BWZ10" s="203"/>
      <c r="BXA10" s="203"/>
      <c r="BXB10" s="203"/>
      <c r="BXC10" s="203"/>
      <c r="BXD10" s="203"/>
      <c r="BXE10" s="203"/>
      <c r="BXF10" s="203"/>
      <c r="BXG10" s="203"/>
      <c r="BXH10" s="203"/>
      <c r="BXI10" s="203"/>
      <c r="BXJ10" s="203"/>
      <c r="BXK10" s="203"/>
      <c r="BXL10" s="203"/>
      <c r="BXM10" s="203"/>
      <c r="BXN10" s="203"/>
      <c r="BXO10" s="203"/>
      <c r="BXP10" s="203"/>
      <c r="BXQ10" s="203"/>
      <c r="BXR10" s="203"/>
      <c r="BXS10" s="203"/>
      <c r="BXT10" s="203"/>
      <c r="BXU10" s="203"/>
      <c r="BXV10" s="203"/>
      <c r="BXW10" s="203"/>
      <c r="BXX10" s="203"/>
      <c r="BXY10" s="203"/>
      <c r="BXZ10" s="203"/>
      <c r="BYA10" s="203"/>
      <c r="BYB10" s="203"/>
      <c r="BYC10" s="203"/>
      <c r="BYD10" s="203"/>
      <c r="BYE10" s="203"/>
      <c r="BYF10" s="203"/>
      <c r="BYG10" s="203"/>
      <c r="BYH10" s="203"/>
      <c r="BYI10" s="203"/>
      <c r="BYJ10" s="203"/>
      <c r="BYK10" s="203"/>
      <c r="BYL10" s="203"/>
      <c r="BYM10" s="203"/>
      <c r="BYN10" s="203"/>
      <c r="BYO10" s="203"/>
      <c r="BYP10" s="203"/>
      <c r="BYQ10" s="203"/>
      <c r="BYR10" s="203"/>
      <c r="BYS10" s="203"/>
      <c r="BYT10" s="203"/>
      <c r="BYU10" s="203"/>
      <c r="BYV10" s="203"/>
      <c r="BYW10" s="203"/>
      <c r="BYX10" s="203"/>
      <c r="BYY10" s="203"/>
      <c r="BYZ10" s="203"/>
      <c r="BZA10" s="203"/>
      <c r="BZB10" s="203"/>
      <c r="BZC10" s="203"/>
      <c r="BZD10" s="203"/>
      <c r="BZE10" s="203"/>
      <c r="BZF10" s="203"/>
      <c r="BZG10" s="203"/>
      <c r="BZH10" s="203"/>
      <c r="BZI10" s="203"/>
      <c r="BZJ10" s="203"/>
      <c r="BZK10" s="203"/>
      <c r="BZL10" s="203"/>
      <c r="BZM10" s="203"/>
      <c r="BZN10" s="203"/>
      <c r="BZO10" s="203"/>
      <c r="BZP10" s="203"/>
      <c r="BZQ10" s="203"/>
      <c r="BZR10" s="203"/>
      <c r="BZS10" s="203"/>
      <c r="BZT10" s="203"/>
      <c r="BZU10" s="203"/>
      <c r="BZV10" s="203"/>
      <c r="BZW10" s="203"/>
      <c r="BZX10" s="203"/>
      <c r="BZY10" s="203"/>
      <c r="BZZ10" s="203"/>
      <c r="CAA10" s="203"/>
      <c r="CAB10" s="203"/>
      <c r="CAC10" s="203"/>
      <c r="CAD10" s="203"/>
      <c r="CAE10" s="203"/>
      <c r="CAF10" s="203"/>
      <c r="CAG10" s="203"/>
      <c r="CAH10" s="203"/>
      <c r="CAI10" s="203"/>
      <c r="CAJ10" s="203"/>
      <c r="CAK10" s="203"/>
      <c r="CAL10" s="203"/>
      <c r="CAM10" s="203"/>
      <c r="CAN10" s="203"/>
      <c r="CAO10" s="203"/>
      <c r="CAP10" s="203"/>
      <c r="CAQ10" s="203"/>
      <c r="CAR10" s="203"/>
      <c r="CAS10" s="203"/>
      <c r="CAT10" s="203"/>
      <c r="CAU10" s="203"/>
      <c r="CAV10" s="203"/>
      <c r="CAW10" s="203"/>
      <c r="CAX10" s="203"/>
      <c r="CAY10" s="203"/>
      <c r="CAZ10" s="203"/>
      <c r="CBA10" s="203"/>
      <c r="CBB10" s="203"/>
      <c r="CBC10" s="203"/>
      <c r="CBD10" s="203"/>
      <c r="CBE10" s="203"/>
      <c r="CBF10" s="203"/>
      <c r="CBG10" s="203"/>
      <c r="CBH10" s="203"/>
      <c r="CBI10" s="203"/>
      <c r="CBJ10" s="203"/>
      <c r="CBK10" s="203"/>
      <c r="CBL10" s="203"/>
      <c r="CBM10" s="203"/>
      <c r="CBN10" s="203"/>
      <c r="CBO10" s="203"/>
      <c r="CBP10" s="203"/>
      <c r="CBQ10" s="203"/>
      <c r="CBR10" s="203"/>
      <c r="CBS10" s="203"/>
      <c r="CBT10" s="203"/>
      <c r="CBU10" s="203"/>
      <c r="CBV10" s="203"/>
      <c r="CBW10" s="203"/>
      <c r="CBX10" s="203"/>
      <c r="CBY10" s="203"/>
      <c r="CBZ10" s="203"/>
      <c r="CCA10" s="203"/>
      <c r="CCB10" s="203"/>
      <c r="CCC10" s="203"/>
      <c r="CCD10" s="203"/>
      <c r="CCE10" s="203"/>
      <c r="CCF10" s="203"/>
      <c r="CCG10" s="203"/>
      <c r="CCH10" s="203"/>
      <c r="CCI10" s="203"/>
      <c r="CCJ10" s="203"/>
      <c r="CCK10" s="203"/>
      <c r="CCL10" s="203"/>
      <c r="CCM10" s="203"/>
      <c r="CCN10" s="203"/>
      <c r="CCO10" s="203"/>
      <c r="CCP10" s="203"/>
      <c r="CCQ10" s="203"/>
      <c r="CCR10" s="203"/>
      <c r="CCS10" s="203"/>
      <c r="CCT10" s="203"/>
      <c r="CCU10" s="203"/>
      <c r="CCV10" s="203"/>
      <c r="CCW10" s="203"/>
      <c r="CCX10" s="203"/>
      <c r="CCY10" s="203"/>
      <c r="CCZ10" s="203"/>
      <c r="CDA10" s="203"/>
      <c r="CDB10" s="203"/>
      <c r="CDC10" s="203"/>
      <c r="CDD10" s="203"/>
      <c r="CDE10" s="203"/>
      <c r="CDF10" s="203"/>
      <c r="CDG10" s="203"/>
      <c r="CDH10" s="203"/>
      <c r="CDI10" s="203"/>
      <c r="CDJ10" s="203"/>
      <c r="CDK10" s="203"/>
      <c r="CDL10" s="203"/>
      <c r="CDM10" s="203"/>
      <c r="CDN10" s="203"/>
      <c r="CDO10" s="203"/>
      <c r="CDP10" s="203"/>
      <c r="CDQ10" s="203"/>
      <c r="CDR10" s="203"/>
      <c r="CDS10" s="203"/>
      <c r="CDT10" s="203"/>
      <c r="CDU10" s="203"/>
      <c r="CDV10" s="203"/>
      <c r="CDW10" s="203"/>
      <c r="CDX10" s="203"/>
      <c r="CDY10" s="203"/>
      <c r="CDZ10" s="203"/>
      <c r="CEA10" s="203"/>
      <c r="CEB10" s="203"/>
      <c r="CEC10" s="203"/>
      <c r="CED10" s="203"/>
      <c r="CEE10" s="203"/>
      <c r="CEF10" s="203"/>
      <c r="CEG10" s="203"/>
      <c r="CEH10" s="203"/>
      <c r="CEI10" s="203"/>
      <c r="CEJ10" s="203"/>
      <c r="CEK10" s="203"/>
      <c r="CEL10" s="203"/>
      <c r="CEM10" s="203"/>
      <c r="CEN10" s="203"/>
      <c r="CEO10" s="203"/>
      <c r="CEP10" s="203"/>
      <c r="CEQ10" s="203"/>
      <c r="CER10" s="203"/>
      <c r="CES10" s="203"/>
      <c r="CET10" s="203"/>
      <c r="CEU10" s="203"/>
      <c r="CEV10" s="203"/>
      <c r="CEW10" s="203"/>
      <c r="CEX10" s="203"/>
      <c r="CEY10" s="203"/>
      <c r="CEZ10" s="203"/>
      <c r="CFA10" s="203"/>
      <c r="CFB10" s="203"/>
      <c r="CFC10" s="203"/>
      <c r="CFD10" s="203"/>
      <c r="CFE10" s="203"/>
      <c r="CFF10" s="203"/>
      <c r="CFG10" s="203"/>
      <c r="CFH10" s="203"/>
      <c r="CFI10" s="203"/>
      <c r="CFJ10" s="203"/>
      <c r="CFK10" s="203"/>
      <c r="CFL10" s="203"/>
      <c r="CFM10" s="203"/>
      <c r="CFN10" s="203"/>
      <c r="CFO10" s="203"/>
      <c r="CFP10" s="203"/>
      <c r="CFQ10" s="203"/>
      <c r="CFR10" s="203"/>
      <c r="CFS10" s="203"/>
      <c r="CFT10" s="203"/>
      <c r="CFU10" s="203"/>
      <c r="CFV10" s="203"/>
      <c r="CFW10" s="203"/>
      <c r="CFX10" s="203"/>
      <c r="CFY10" s="203"/>
      <c r="CFZ10" s="203"/>
      <c r="CGA10" s="203"/>
      <c r="CGB10" s="203"/>
      <c r="CGC10" s="203"/>
      <c r="CGD10" s="203"/>
      <c r="CGE10" s="203"/>
      <c r="CGF10" s="203"/>
      <c r="CGG10" s="203"/>
      <c r="CGH10" s="203"/>
      <c r="CGI10" s="203"/>
      <c r="CGJ10" s="203"/>
      <c r="CGK10" s="203"/>
      <c r="CGL10" s="203"/>
      <c r="CGM10" s="203"/>
      <c r="CGN10" s="203"/>
      <c r="CGO10" s="203"/>
      <c r="CGP10" s="203"/>
      <c r="CGQ10" s="203"/>
      <c r="CGR10" s="203"/>
      <c r="CGS10" s="203"/>
      <c r="CGT10" s="203"/>
      <c r="CGU10" s="203"/>
      <c r="CGV10" s="203"/>
      <c r="CGW10" s="203"/>
      <c r="CGX10" s="203"/>
      <c r="CGY10" s="203"/>
      <c r="CGZ10" s="203"/>
      <c r="CHA10" s="203"/>
      <c r="CHB10" s="203"/>
      <c r="CHC10" s="203"/>
      <c r="CHD10" s="203"/>
      <c r="CHE10" s="203"/>
      <c r="CHF10" s="203"/>
      <c r="CHG10" s="203"/>
      <c r="CHH10" s="203"/>
      <c r="CHI10" s="203"/>
      <c r="CHJ10" s="203"/>
      <c r="CHK10" s="203"/>
      <c r="CHL10" s="203"/>
      <c r="CHM10" s="203"/>
      <c r="CHN10" s="203"/>
      <c r="CHO10" s="203"/>
      <c r="CHP10" s="203"/>
      <c r="CHQ10" s="203"/>
      <c r="CHR10" s="203"/>
      <c r="CHS10" s="203"/>
      <c r="CHT10" s="203"/>
      <c r="CHU10" s="203"/>
      <c r="CHV10" s="203"/>
      <c r="CHW10" s="203"/>
      <c r="CHX10" s="203"/>
      <c r="CHY10" s="203"/>
      <c r="CHZ10" s="203"/>
      <c r="CIA10" s="203"/>
      <c r="CIB10" s="203"/>
      <c r="CIC10" s="203"/>
      <c r="CID10" s="203"/>
      <c r="CIE10" s="203"/>
      <c r="CIF10" s="203"/>
      <c r="CIG10" s="203"/>
      <c r="CIH10" s="203"/>
      <c r="CII10" s="203"/>
      <c r="CIJ10" s="203"/>
      <c r="CIK10" s="203"/>
      <c r="CIL10" s="203"/>
      <c r="CIM10" s="203"/>
      <c r="CIN10" s="203"/>
      <c r="CIO10" s="203"/>
      <c r="CIP10" s="203"/>
      <c r="CIQ10" s="203"/>
      <c r="CIR10" s="203"/>
      <c r="CIS10" s="203"/>
      <c r="CIT10" s="203"/>
      <c r="CIU10" s="203"/>
      <c r="CIV10" s="203"/>
      <c r="CIW10" s="203"/>
      <c r="CIX10" s="203"/>
      <c r="CIY10" s="203"/>
      <c r="CIZ10" s="203"/>
      <c r="CJA10" s="203"/>
      <c r="CJB10" s="203"/>
      <c r="CJC10" s="203"/>
      <c r="CJD10" s="203"/>
      <c r="CJE10" s="203"/>
      <c r="CJF10" s="203"/>
      <c r="CJG10" s="203"/>
      <c r="CJH10" s="203"/>
      <c r="CJI10" s="203"/>
      <c r="CJJ10" s="203"/>
      <c r="CJK10" s="203"/>
      <c r="CJL10" s="203"/>
      <c r="CJM10" s="203"/>
      <c r="CJN10" s="203"/>
      <c r="CJO10" s="203"/>
      <c r="CJP10" s="203"/>
      <c r="CJQ10" s="203"/>
      <c r="CJR10" s="203"/>
      <c r="CJS10" s="203"/>
      <c r="CJT10" s="203"/>
      <c r="CJU10" s="203"/>
      <c r="CJV10" s="203"/>
      <c r="CJW10" s="203"/>
      <c r="CJX10" s="203"/>
      <c r="CJY10" s="203"/>
      <c r="CJZ10" s="203"/>
      <c r="CKA10" s="203"/>
      <c r="CKB10" s="203"/>
      <c r="CKC10" s="203"/>
      <c r="CKD10" s="203"/>
      <c r="CKE10" s="203"/>
      <c r="CKF10" s="203"/>
      <c r="CKG10" s="203"/>
      <c r="CKH10" s="203"/>
      <c r="CKI10" s="203"/>
      <c r="CKJ10" s="203"/>
      <c r="CKK10" s="203"/>
      <c r="CKL10" s="203"/>
      <c r="CKM10" s="203"/>
      <c r="CKN10" s="203"/>
      <c r="CKO10" s="203"/>
      <c r="CKP10" s="203"/>
      <c r="CKQ10" s="203"/>
      <c r="CKR10" s="203"/>
      <c r="CKS10" s="203"/>
      <c r="CKT10" s="203"/>
      <c r="CKU10" s="203"/>
      <c r="CKV10" s="203"/>
      <c r="CKW10" s="203"/>
      <c r="CKX10" s="203"/>
      <c r="CKY10" s="203"/>
      <c r="CKZ10" s="203"/>
      <c r="CLA10" s="203"/>
      <c r="CLB10" s="203"/>
      <c r="CLC10" s="203"/>
      <c r="CLD10" s="203"/>
      <c r="CLE10" s="203"/>
      <c r="CLF10" s="203"/>
      <c r="CLG10" s="203"/>
      <c r="CLH10" s="203"/>
      <c r="CLI10" s="203"/>
      <c r="CLJ10" s="203"/>
      <c r="CLK10" s="203"/>
      <c r="CLL10" s="203"/>
      <c r="CLM10" s="203"/>
      <c r="CLN10" s="203"/>
      <c r="CLO10" s="203"/>
      <c r="CLP10" s="203"/>
      <c r="CLQ10" s="203"/>
      <c r="CLR10" s="203"/>
      <c r="CLS10" s="203"/>
      <c r="CLT10" s="203"/>
      <c r="CLU10" s="203"/>
      <c r="CLV10" s="203"/>
      <c r="CLW10" s="203"/>
      <c r="CLX10" s="203"/>
      <c r="CLY10" s="203"/>
      <c r="CLZ10" s="203"/>
      <c r="CMA10" s="203"/>
      <c r="CMB10" s="203"/>
      <c r="CMC10" s="203"/>
      <c r="CMD10" s="203"/>
      <c r="CME10" s="203"/>
      <c r="CMF10" s="203"/>
      <c r="CMG10" s="203"/>
      <c r="CMH10" s="203"/>
      <c r="CMI10" s="203"/>
      <c r="CMJ10" s="203"/>
      <c r="CMK10" s="203"/>
      <c r="CML10" s="203"/>
      <c r="CMM10" s="203"/>
      <c r="CMN10" s="203"/>
      <c r="CMO10" s="203"/>
      <c r="CMP10" s="203"/>
      <c r="CMQ10" s="203"/>
      <c r="CMR10" s="203"/>
      <c r="CMS10" s="203"/>
      <c r="CMT10" s="203"/>
      <c r="CMU10" s="203"/>
      <c r="CMV10" s="203"/>
      <c r="CMW10" s="203"/>
      <c r="CMX10" s="203"/>
      <c r="CMY10" s="203"/>
      <c r="CMZ10" s="203"/>
      <c r="CNA10" s="203"/>
      <c r="CNB10" s="203"/>
      <c r="CNC10" s="203"/>
      <c r="CND10" s="203"/>
      <c r="CNE10" s="203"/>
      <c r="CNF10" s="203"/>
      <c r="CNG10" s="203"/>
      <c r="CNH10" s="203"/>
      <c r="CNI10" s="203"/>
      <c r="CNJ10" s="203"/>
      <c r="CNK10" s="203"/>
      <c r="CNL10" s="203"/>
      <c r="CNM10" s="203"/>
      <c r="CNN10" s="203"/>
      <c r="CNO10" s="203"/>
      <c r="CNP10" s="203"/>
      <c r="CNQ10" s="203"/>
      <c r="CNR10" s="203"/>
      <c r="CNS10" s="203"/>
      <c r="CNT10" s="203"/>
      <c r="CNU10" s="203"/>
      <c r="CNV10" s="203"/>
      <c r="CNW10" s="203"/>
      <c r="CNX10" s="203"/>
      <c r="CNY10" s="203"/>
      <c r="CNZ10" s="203"/>
      <c r="COA10" s="203"/>
      <c r="COB10" s="203"/>
      <c r="COC10" s="203"/>
      <c r="COD10" s="203"/>
      <c r="COE10" s="203"/>
      <c r="COF10" s="203"/>
      <c r="COG10" s="203"/>
      <c r="COH10" s="203"/>
      <c r="COI10" s="203"/>
      <c r="COJ10" s="203"/>
      <c r="COK10" s="203"/>
      <c r="COL10" s="203"/>
      <c r="COM10" s="203"/>
      <c r="CON10" s="203"/>
      <c r="COO10" s="203"/>
      <c r="COP10" s="203"/>
      <c r="COQ10" s="203"/>
      <c r="COR10" s="203"/>
      <c r="COS10" s="203"/>
      <c r="COT10" s="203"/>
      <c r="COU10" s="203"/>
      <c r="COV10" s="203"/>
      <c r="COW10" s="203"/>
      <c r="COX10" s="203"/>
      <c r="COY10" s="203"/>
      <c r="COZ10" s="203"/>
      <c r="CPA10" s="203"/>
      <c r="CPB10" s="203"/>
      <c r="CPC10" s="203"/>
      <c r="CPD10" s="203"/>
      <c r="CPE10" s="203"/>
      <c r="CPF10" s="203"/>
      <c r="CPG10" s="203"/>
      <c r="CPH10" s="203"/>
      <c r="CPI10" s="203"/>
      <c r="CPJ10" s="203"/>
      <c r="CPK10" s="203"/>
      <c r="CPL10" s="203"/>
      <c r="CPM10" s="203"/>
      <c r="CPN10" s="203"/>
      <c r="CPO10" s="203"/>
      <c r="CPP10" s="203"/>
      <c r="CPQ10" s="203"/>
      <c r="CPR10" s="203"/>
      <c r="CPS10" s="203"/>
      <c r="CPT10" s="203"/>
      <c r="CPU10" s="203"/>
      <c r="CPV10" s="203"/>
      <c r="CPW10" s="203"/>
      <c r="CPX10" s="203"/>
      <c r="CPY10" s="203"/>
      <c r="CPZ10" s="203"/>
      <c r="CQA10" s="203"/>
      <c r="CQB10" s="203"/>
      <c r="CQC10" s="203"/>
      <c r="CQD10" s="203"/>
      <c r="CQE10" s="203"/>
      <c r="CQF10" s="203"/>
      <c r="CQG10" s="203"/>
      <c r="CQH10" s="203"/>
      <c r="CQI10" s="203"/>
      <c r="CQJ10" s="203"/>
      <c r="CQK10" s="203"/>
      <c r="CQL10" s="203"/>
      <c r="CQM10" s="203"/>
      <c r="CQN10" s="203"/>
      <c r="CQO10" s="203"/>
      <c r="CQP10" s="203"/>
      <c r="CQQ10" s="203"/>
      <c r="CQR10" s="203"/>
      <c r="CQS10" s="203"/>
      <c r="CQT10" s="203"/>
      <c r="CQU10" s="203"/>
      <c r="CQV10" s="203"/>
      <c r="CQW10" s="203"/>
      <c r="CQX10" s="203"/>
      <c r="CQY10" s="203"/>
      <c r="CQZ10" s="203"/>
      <c r="CRA10" s="203"/>
      <c r="CRB10" s="203"/>
      <c r="CRC10" s="203"/>
      <c r="CRD10" s="203"/>
      <c r="CRE10" s="203"/>
      <c r="CRF10" s="203"/>
      <c r="CRG10" s="203"/>
      <c r="CRH10" s="203"/>
      <c r="CRI10" s="203"/>
      <c r="CRJ10" s="203"/>
      <c r="CRK10" s="203"/>
      <c r="CRL10" s="203"/>
      <c r="CRM10" s="203"/>
      <c r="CRN10" s="203"/>
      <c r="CRO10" s="203"/>
      <c r="CRP10" s="203"/>
      <c r="CRQ10" s="203"/>
      <c r="CRR10" s="203"/>
      <c r="CRS10" s="203"/>
      <c r="CRT10" s="203"/>
      <c r="CRU10" s="203"/>
      <c r="CRV10" s="203"/>
      <c r="CRW10" s="203"/>
      <c r="CRX10" s="203"/>
      <c r="CRY10" s="203"/>
      <c r="CRZ10" s="203"/>
      <c r="CSA10" s="203"/>
      <c r="CSB10" s="203"/>
      <c r="CSC10" s="203"/>
      <c r="CSD10" s="90"/>
    </row>
    <row r="11" spans="1:2526" ht="20.100000000000001" customHeight="1" x14ac:dyDescent="0.25">
      <c r="B11" s="96"/>
      <c r="C11" s="214"/>
      <c r="D11" s="214"/>
      <c r="E11" s="214"/>
      <c r="F11" s="220" t="s">
        <v>96</v>
      </c>
      <c r="G11" s="220"/>
      <c r="H11" s="220"/>
      <c r="I11" s="220"/>
      <c r="J11" s="220"/>
      <c r="K11" s="220"/>
      <c r="L11" s="220"/>
      <c r="M11" s="220"/>
      <c r="N11" s="220"/>
      <c r="O11" s="220"/>
      <c r="P11" s="220"/>
      <c r="Q11" s="220"/>
      <c r="R11" s="220"/>
      <c r="S11" s="220"/>
      <c r="T11" s="220"/>
      <c r="U11" s="220"/>
      <c r="V11" s="220"/>
      <c r="W11" s="220"/>
      <c r="X11" s="220"/>
      <c r="Y11" s="220"/>
      <c r="Z11" s="220"/>
      <c r="AA11" s="220"/>
      <c r="AB11" s="220"/>
      <c r="AC11" s="220"/>
      <c r="AD11" s="220"/>
      <c r="AE11" s="220"/>
      <c r="AF11" s="220"/>
      <c r="AG11" s="220"/>
      <c r="AH11" s="220"/>
      <c r="AI11" s="220"/>
      <c r="AJ11" s="220"/>
      <c r="AK11" s="220"/>
      <c r="AL11" s="220"/>
      <c r="AM11" s="220"/>
      <c r="AN11" s="220"/>
      <c r="AO11" s="220"/>
      <c r="AP11" s="220"/>
      <c r="AQ11" s="220"/>
      <c r="AR11" s="220"/>
      <c r="AS11" s="220"/>
      <c r="AT11" s="220"/>
      <c r="AU11" s="220"/>
      <c r="AV11" s="220"/>
      <c r="AW11" s="220"/>
      <c r="AX11" s="220"/>
      <c r="AY11" s="220"/>
      <c r="AZ11" s="220"/>
      <c r="BA11" s="220"/>
      <c r="BB11" s="220"/>
      <c r="BC11" s="220"/>
      <c r="BD11" s="220"/>
      <c r="BE11" s="220"/>
      <c r="BF11" s="220"/>
      <c r="BG11" s="220"/>
      <c r="BH11" s="220"/>
      <c r="BI11" s="220"/>
      <c r="BJ11" s="220"/>
      <c r="BK11" s="220"/>
      <c r="BL11" s="220"/>
      <c r="BM11" s="220"/>
      <c r="BN11" s="220" t="s">
        <v>96</v>
      </c>
      <c r="BO11" s="220"/>
      <c r="BP11" s="220"/>
      <c r="BQ11" s="220"/>
      <c r="BR11" s="220"/>
      <c r="BS11" s="220"/>
      <c r="BT11" s="220"/>
      <c r="BU11" s="220"/>
      <c r="BV11" s="220"/>
      <c r="BW11" s="220"/>
      <c r="BX11" s="220"/>
      <c r="BY11" s="220"/>
      <c r="BZ11" s="220"/>
      <c r="CA11" s="220"/>
      <c r="CB11" s="220"/>
      <c r="CC11" s="220"/>
      <c r="CD11" s="220"/>
      <c r="CE11" s="220"/>
      <c r="CF11" s="220"/>
      <c r="CG11" s="220"/>
      <c r="CH11" s="220"/>
      <c r="CI11" s="220"/>
      <c r="CJ11" s="220"/>
      <c r="CK11" s="220"/>
      <c r="CL11" s="220"/>
      <c r="CM11" s="220"/>
      <c r="CN11" s="220"/>
      <c r="CO11" s="220"/>
      <c r="CP11" s="220"/>
      <c r="CQ11" s="220"/>
      <c r="CR11" s="220"/>
      <c r="CS11" s="220"/>
      <c r="CT11" s="220"/>
      <c r="CU11" s="220"/>
      <c r="CV11" s="220"/>
      <c r="CW11" s="220"/>
      <c r="CX11" s="220"/>
      <c r="CY11" s="220"/>
      <c r="CZ11" s="220"/>
      <c r="DA11" s="220"/>
      <c r="DB11" s="220"/>
      <c r="DC11" s="220"/>
      <c r="DD11" s="220"/>
      <c r="DE11" s="220"/>
      <c r="DF11" s="220"/>
      <c r="DG11" s="220"/>
      <c r="DH11" s="220"/>
      <c r="DI11" s="220"/>
      <c r="DJ11" s="220"/>
      <c r="DK11" s="220"/>
      <c r="DL11" s="220"/>
      <c r="DM11" s="220"/>
      <c r="DN11" s="220"/>
      <c r="DO11" s="220"/>
      <c r="DP11" s="220"/>
      <c r="DQ11" s="220"/>
      <c r="DR11" s="220"/>
      <c r="DS11" s="220"/>
      <c r="DT11" s="220"/>
      <c r="DU11" s="220"/>
      <c r="DV11" s="204" t="s">
        <v>61</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61</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60</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94</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94</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91</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91</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88</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88</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86</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83</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83</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204" t="s">
        <v>80</v>
      </c>
      <c r="AFO11" s="204"/>
      <c r="AFP11" s="204"/>
      <c r="AFQ11" s="204"/>
      <c r="AFR11" s="204"/>
      <c r="AFS11" s="204"/>
      <c r="AFT11" s="204"/>
      <c r="AFU11" s="204"/>
      <c r="AFV11" s="204"/>
      <c r="AFW11" s="204"/>
      <c r="AFX11" s="204"/>
      <c r="AFY11" s="204"/>
      <c r="AFZ11" s="204"/>
      <c r="AGA11" s="204"/>
      <c r="AGB11" s="204"/>
      <c r="AGC11" s="204"/>
      <c r="AGD11" s="204"/>
      <c r="AGE11" s="204"/>
      <c r="AGF11" s="204"/>
      <c r="AGG11" s="204"/>
      <c r="AGH11" s="204"/>
      <c r="AGI11" s="204"/>
      <c r="AGJ11" s="204"/>
      <c r="AGK11" s="204"/>
      <c r="AGL11" s="204"/>
      <c r="AGM11" s="204"/>
      <c r="AGN11" s="204"/>
      <c r="AGO11" s="204"/>
      <c r="AGP11" s="204"/>
      <c r="AGQ11" s="204"/>
      <c r="AGR11" s="204"/>
      <c r="AGS11" s="204"/>
      <c r="AGT11" s="204"/>
      <c r="AGU11" s="204"/>
      <c r="AGV11" s="204"/>
      <c r="AGW11" s="204"/>
      <c r="AGX11" s="204"/>
      <c r="AGY11" s="204"/>
      <c r="AGZ11" s="204"/>
      <c r="AHA11" s="204"/>
      <c r="AHB11" s="204"/>
      <c r="AHC11" s="204"/>
      <c r="AHD11" s="204"/>
      <c r="AHE11" s="204"/>
      <c r="AHF11" s="204"/>
      <c r="AHG11" s="204"/>
      <c r="AHH11" s="204"/>
      <c r="AHI11" s="204"/>
      <c r="AHJ11" s="204"/>
      <c r="AHK11" s="204"/>
      <c r="AHL11" s="204"/>
      <c r="AHM11" s="204"/>
      <c r="AHN11" s="204"/>
      <c r="AHO11" s="204"/>
      <c r="AHP11" s="204"/>
      <c r="AHQ11" s="204"/>
      <c r="AHR11" s="204"/>
      <c r="AHS11" s="204"/>
      <c r="AHT11" s="204"/>
      <c r="AHU11" s="204"/>
      <c r="AHV11" s="204" t="s">
        <v>80</v>
      </c>
      <c r="AHW11" s="204"/>
      <c r="AHX11" s="204"/>
      <c r="AHY11" s="204"/>
      <c r="AHZ11" s="204"/>
      <c r="AIA11" s="204"/>
      <c r="AIB11" s="204"/>
      <c r="AIC11" s="204"/>
      <c r="AID11" s="204"/>
      <c r="AIE11" s="204"/>
      <c r="AIF11" s="204"/>
      <c r="AIG11" s="204"/>
      <c r="AIH11" s="204"/>
      <c r="AII11" s="204"/>
      <c r="AIJ11" s="204"/>
      <c r="AIK11" s="204"/>
      <c r="AIL11" s="204"/>
      <c r="AIM11" s="204"/>
      <c r="AIN11" s="204"/>
      <c r="AIO11" s="204"/>
      <c r="AIP11" s="204"/>
      <c r="AIQ11" s="204"/>
      <c r="AIR11" s="204"/>
      <c r="AIS11" s="204"/>
      <c r="AIT11" s="204"/>
      <c r="AIU11" s="204"/>
      <c r="AIV11" s="204"/>
      <c r="AIW11" s="204"/>
      <c r="AIX11" s="204"/>
      <c r="AIY11" s="204"/>
      <c r="AIZ11" s="204"/>
      <c r="AJA11" s="204"/>
      <c r="AJB11" s="204"/>
      <c r="AJC11" s="204"/>
      <c r="AJD11" s="204"/>
      <c r="AJE11" s="204"/>
      <c r="AJF11" s="204"/>
      <c r="AJG11" s="204"/>
      <c r="AJH11" s="204"/>
      <c r="AJI11" s="204"/>
      <c r="AJJ11" s="204"/>
      <c r="AJK11" s="204"/>
      <c r="AJL11" s="204"/>
      <c r="AJM11" s="204"/>
      <c r="AJN11" s="204"/>
      <c r="AJO11" s="204"/>
      <c r="AJP11" s="204"/>
      <c r="AJQ11" s="204"/>
      <c r="AJR11" s="204"/>
      <c r="AJS11" s="204"/>
      <c r="AJT11" s="204"/>
      <c r="AJU11" s="204"/>
      <c r="AJV11" s="204"/>
      <c r="AJW11" s="204"/>
      <c r="AJX11" s="204"/>
      <c r="AJY11" s="204"/>
      <c r="AJZ11" s="204"/>
      <c r="AKA11" s="204"/>
      <c r="AKB11" s="204"/>
      <c r="AKC11" s="204"/>
      <c r="AKD11" s="204" t="s">
        <v>148</v>
      </c>
      <c r="AKE11" s="204"/>
      <c r="AKF11" s="204"/>
      <c r="AKG11" s="204"/>
      <c r="AKH11" s="204"/>
      <c r="AKI11" s="204"/>
      <c r="AKJ11" s="204"/>
      <c r="AKK11" s="204"/>
      <c r="AKL11" s="204"/>
      <c r="AKM11" s="204"/>
      <c r="AKN11" s="204"/>
      <c r="AKO11" s="204"/>
      <c r="AKP11" s="204"/>
      <c r="AKQ11" s="204"/>
      <c r="AKR11" s="204"/>
      <c r="AKS11" s="204"/>
      <c r="AKT11" s="204"/>
      <c r="AKU11" s="204"/>
      <c r="AKV11" s="204"/>
      <c r="AKW11" s="204"/>
      <c r="AKX11" s="204"/>
      <c r="AKY11" s="204"/>
      <c r="AKZ11" s="204"/>
      <c r="ALA11" s="204"/>
      <c r="ALB11" s="204"/>
      <c r="ALC11" s="204"/>
      <c r="ALD11" s="204"/>
      <c r="ALE11" s="204"/>
      <c r="ALF11" s="204"/>
      <c r="ALG11" s="204"/>
      <c r="ALH11" s="204"/>
      <c r="ALI11" s="204"/>
      <c r="ALJ11" s="204"/>
      <c r="ALK11" s="204"/>
      <c r="ALL11" s="204"/>
      <c r="ALM11" s="204"/>
      <c r="ALN11" s="204"/>
      <c r="ALO11" s="204"/>
      <c r="ALP11" s="204"/>
      <c r="ALQ11" s="204"/>
      <c r="ALR11" s="204"/>
      <c r="ALS11" s="204"/>
      <c r="ALT11" s="204"/>
      <c r="ALU11" s="204"/>
      <c r="ALV11" s="204"/>
      <c r="ALW11" s="204"/>
      <c r="ALX11" s="204"/>
      <c r="ALY11" s="204"/>
      <c r="ALZ11" s="204"/>
      <c r="AMA11" s="204"/>
      <c r="AMB11" s="204"/>
      <c r="AMC11" s="204"/>
      <c r="AMD11" s="204"/>
      <c r="AME11" s="204"/>
      <c r="AMF11" s="204"/>
      <c r="AMG11" s="204"/>
      <c r="AMH11" s="204"/>
      <c r="AMI11" s="204"/>
      <c r="AMJ11" s="204"/>
      <c r="AMK11" s="204"/>
      <c r="AML11" s="204" t="s">
        <v>148</v>
      </c>
      <c r="AMM11" s="204"/>
      <c r="AMN11" s="204"/>
      <c r="AMO11" s="204"/>
      <c r="AMP11" s="204"/>
      <c r="AMQ11" s="204"/>
      <c r="AMR11" s="204"/>
      <c r="AMS11" s="204"/>
      <c r="AMT11" s="204"/>
      <c r="AMU11" s="204"/>
      <c r="AMV11" s="204"/>
      <c r="AMW11" s="204"/>
      <c r="AMX11" s="204"/>
      <c r="AMY11" s="204"/>
      <c r="AMZ11" s="204"/>
      <c r="ANA11" s="204"/>
      <c r="ANB11" s="204"/>
      <c r="ANC11" s="204"/>
      <c r="AND11" s="204"/>
      <c r="ANE11" s="204"/>
      <c r="ANF11" s="204"/>
      <c r="ANG11" s="204"/>
      <c r="ANH11" s="204"/>
      <c r="ANI11" s="204"/>
      <c r="ANJ11" s="204"/>
      <c r="ANK11" s="204"/>
      <c r="ANL11" s="204"/>
      <c r="ANM11" s="204"/>
      <c r="ANN11" s="204"/>
      <c r="ANO11" s="204"/>
      <c r="ANP11" s="204"/>
      <c r="ANQ11" s="204"/>
      <c r="ANR11" s="204"/>
      <c r="ANS11" s="204"/>
      <c r="ANT11" s="204"/>
      <c r="ANU11" s="204"/>
      <c r="ANV11" s="204"/>
      <c r="ANW11" s="204"/>
      <c r="ANX11" s="204"/>
      <c r="ANY11" s="204"/>
      <c r="ANZ11" s="204"/>
      <c r="AOA11" s="204"/>
      <c r="AOB11" s="204"/>
      <c r="AOC11" s="204"/>
      <c r="AOD11" s="204"/>
      <c r="AOE11" s="204"/>
      <c r="AOF11" s="204"/>
      <c r="AOG11" s="204"/>
      <c r="AOH11" s="204"/>
      <c r="AOI11" s="204"/>
      <c r="AOJ11" s="204"/>
      <c r="AOK11" s="204"/>
      <c r="AOL11" s="204"/>
      <c r="AOM11" s="204"/>
      <c r="AON11" s="204"/>
      <c r="AOO11" s="204"/>
      <c r="AOP11" s="204"/>
      <c r="AOQ11" s="204"/>
      <c r="AOR11" s="204"/>
      <c r="AOS11" s="204"/>
      <c r="AOT11" s="204" t="s">
        <v>146</v>
      </c>
      <c r="AOU11" s="204"/>
      <c r="AOV11" s="204"/>
      <c r="AOW11" s="204"/>
      <c r="AOX11" s="204"/>
      <c r="AOY11" s="204"/>
      <c r="AOZ11" s="204"/>
      <c r="APA11" s="204"/>
      <c r="APB11" s="204"/>
      <c r="APC11" s="204"/>
      <c r="APD11" s="204"/>
      <c r="APE11" s="204"/>
      <c r="APF11" s="204"/>
      <c r="APG11" s="204"/>
      <c r="APH11" s="204"/>
      <c r="API11" s="204"/>
      <c r="APJ11" s="204"/>
      <c r="APK11" s="204"/>
      <c r="APL11" s="204"/>
      <c r="APM11" s="204"/>
      <c r="APN11" s="204"/>
      <c r="APO11" s="204"/>
      <c r="APP11" s="204"/>
      <c r="APQ11" s="204"/>
      <c r="APR11" s="204"/>
      <c r="APS11" s="204"/>
      <c r="APT11" s="204"/>
      <c r="APU11" s="204"/>
      <c r="APV11" s="204"/>
      <c r="APW11" s="204"/>
      <c r="APX11" s="204"/>
      <c r="APY11" s="204"/>
      <c r="APZ11" s="204"/>
      <c r="AQA11" s="204"/>
      <c r="AQB11" s="204"/>
      <c r="AQC11" s="204"/>
      <c r="AQD11" s="204"/>
      <c r="AQE11" s="204"/>
      <c r="AQF11" s="204"/>
      <c r="AQG11" s="204"/>
      <c r="AQH11" s="204"/>
      <c r="AQI11" s="204"/>
      <c r="AQJ11" s="204"/>
      <c r="AQK11" s="204"/>
      <c r="AQL11" s="204"/>
      <c r="AQM11" s="204"/>
      <c r="AQN11" s="204"/>
      <c r="AQO11" s="204"/>
      <c r="AQP11" s="204"/>
      <c r="AQQ11" s="204"/>
      <c r="AQR11" s="204"/>
      <c r="AQS11" s="204"/>
      <c r="AQT11" s="204"/>
      <c r="AQU11" s="204"/>
      <c r="AQV11" s="204"/>
      <c r="AQW11" s="204"/>
      <c r="AQX11" s="204"/>
      <c r="AQY11" s="204"/>
      <c r="AQZ11" s="204"/>
      <c r="ARA11" s="204"/>
      <c r="ARB11" s="204" t="s">
        <v>143</v>
      </c>
      <c r="ARC11" s="204"/>
      <c r="ARD11" s="204"/>
      <c r="ARE11" s="204"/>
      <c r="ARF11" s="204"/>
      <c r="ARG11" s="204"/>
      <c r="ARH11" s="204"/>
      <c r="ARI11" s="204"/>
      <c r="ARJ11" s="204"/>
      <c r="ARK11" s="204"/>
      <c r="ARL11" s="204"/>
      <c r="ARM11" s="204"/>
      <c r="ARN11" s="204"/>
      <c r="ARO11" s="204"/>
      <c r="ARP11" s="204"/>
      <c r="ARQ11" s="204"/>
      <c r="ARR11" s="204"/>
      <c r="ARS11" s="204"/>
      <c r="ART11" s="204"/>
      <c r="ARU11" s="204"/>
      <c r="ARV11" s="204"/>
      <c r="ARW11" s="204"/>
      <c r="ARX11" s="204"/>
      <c r="ARY11" s="204"/>
      <c r="ARZ11" s="204"/>
      <c r="ASA11" s="204"/>
      <c r="ASB11" s="204"/>
      <c r="ASC11" s="204"/>
      <c r="ASD11" s="204"/>
      <c r="ASE11" s="204"/>
      <c r="ASF11" s="204"/>
      <c r="ASG11" s="204"/>
      <c r="ASH11" s="204"/>
      <c r="ASI11" s="204"/>
      <c r="ASJ11" s="204"/>
      <c r="ASK11" s="204"/>
      <c r="ASL11" s="204"/>
      <c r="ASM11" s="204"/>
      <c r="ASN11" s="204"/>
      <c r="ASO11" s="204"/>
      <c r="ASP11" s="204"/>
      <c r="ASQ11" s="204"/>
      <c r="ASR11" s="204"/>
      <c r="ASS11" s="204"/>
      <c r="AST11" s="204"/>
      <c r="ASU11" s="204"/>
      <c r="ASV11" s="204"/>
      <c r="ASW11" s="204"/>
      <c r="ASX11" s="204"/>
      <c r="ASY11" s="204"/>
      <c r="ASZ11" s="204"/>
      <c r="ATA11" s="204"/>
      <c r="ATB11" s="204"/>
      <c r="ATC11" s="204"/>
      <c r="ATD11" s="204"/>
      <c r="ATE11" s="204"/>
      <c r="ATF11" s="204"/>
      <c r="ATG11" s="204"/>
      <c r="ATH11" s="204"/>
      <c r="ATI11" s="204"/>
      <c r="ATJ11" s="204" t="s">
        <v>143</v>
      </c>
      <c r="ATK11" s="204"/>
      <c r="ATL11" s="204"/>
      <c r="ATM11" s="204"/>
      <c r="ATN11" s="204"/>
      <c r="ATO11" s="204"/>
      <c r="ATP11" s="204"/>
      <c r="ATQ11" s="204"/>
      <c r="ATR11" s="204"/>
      <c r="ATS11" s="204"/>
      <c r="ATT11" s="204"/>
      <c r="ATU11" s="204"/>
      <c r="ATV11" s="204"/>
      <c r="ATW11" s="204"/>
      <c r="ATX11" s="204"/>
      <c r="ATY11" s="204"/>
      <c r="ATZ11" s="204"/>
      <c r="AUA11" s="204"/>
      <c r="AUB11" s="204"/>
      <c r="AUC11" s="204"/>
      <c r="AUD11" s="204"/>
      <c r="AUE11" s="204"/>
      <c r="AUF11" s="204"/>
      <c r="AUG11" s="204"/>
      <c r="AUH11" s="204"/>
      <c r="AUI11" s="204"/>
      <c r="AUJ11" s="204"/>
      <c r="AUK11" s="204"/>
      <c r="AUL11" s="204"/>
      <c r="AUM11" s="204"/>
      <c r="AUN11" s="204"/>
      <c r="AUO11" s="204"/>
      <c r="AUP11" s="204"/>
      <c r="AUQ11" s="204"/>
      <c r="AUR11" s="204"/>
      <c r="AUS11" s="204"/>
      <c r="AUT11" s="204"/>
      <c r="AUU11" s="204"/>
      <c r="AUV11" s="204"/>
      <c r="AUW11" s="204"/>
      <c r="AUX11" s="204"/>
      <c r="AUY11" s="204"/>
      <c r="AUZ11" s="204"/>
      <c r="AVA11" s="204"/>
      <c r="AVB11" s="204"/>
      <c r="AVC11" s="204"/>
      <c r="AVD11" s="204"/>
      <c r="AVE11" s="204"/>
      <c r="AVF11" s="204"/>
      <c r="AVG11" s="204"/>
      <c r="AVH11" s="204"/>
      <c r="AVI11" s="204"/>
      <c r="AVJ11" s="204"/>
      <c r="AVK11" s="204"/>
      <c r="AVL11" s="204"/>
      <c r="AVM11" s="204"/>
      <c r="AVN11" s="204"/>
      <c r="AVO11" s="204"/>
      <c r="AVP11" s="204"/>
      <c r="AVQ11" s="204"/>
      <c r="AVR11" s="204" t="s">
        <v>140</v>
      </c>
      <c r="AVS11" s="204"/>
      <c r="AVT11" s="204"/>
      <c r="AVU11" s="204"/>
      <c r="AVV11" s="204"/>
      <c r="AVW11" s="204"/>
      <c r="AVX11" s="204"/>
      <c r="AVY11" s="204"/>
      <c r="AVZ11" s="204"/>
      <c r="AWA11" s="204"/>
      <c r="AWB11" s="204"/>
      <c r="AWC11" s="204"/>
      <c r="AWD11" s="204"/>
      <c r="AWE11" s="204"/>
      <c r="AWF11" s="204"/>
      <c r="AWG11" s="204"/>
      <c r="AWH11" s="204"/>
      <c r="AWI11" s="204"/>
      <c r="AWJ11" s="204"/>
      <c r="AWK11" s="204"/>
      <c r="AWL11" s="204"/>
      <c r="AWM11" s="204"/>
      <c r="AWN11" s="204"/>
      <c r="AWO11" s="204"/>
      <c r="AWP11" s="204"/>
      <c r="AWQ11" s="204"/>
      <c r="AWR11" s="204"/>
      <c r="AWS11" s="204"/>
      <c r="AWT11" s="204"/>
      <c r="AWU11" s="204"/>
      <c r="AWV11" s="204"/>
      <c r="AWW11" s="204"/>
      <c r="AWX11" s="204"/>
      <c r="AWY11" s="204"/>
      <c r="AWZ11" s="204"/>
      <c r="AXA11" s="204"/>
      <c r="AXB11" s="204"/>
      <c r="AXC11" s="204"/>
      <c r="AXD11" s="204"/>
      <c r="AXE11" s="204"/>
      <c r="AXF11" s="204"/>
      <c r="AXG11" s="204"/>
      <c r="AXH11" s="204"/>
      <c r="AXI11" s="204"/>
      <c r="AXJ11" s="204"/>
      <c r="AXK11" s="204"/>
      <c r="AXL11" s="204"/>
      <c r="AXM11" s="204"/>
      <c r="AXN11" s="204"/>
      <c r="AXO11" s="204"/>
      <c r="AXP11" s="204"/>
      <c r="AXQ11" s="204"/>
      <c r="AXR11" s="204"/>
      <c r="AXS11" s="204"/>
      <c r="AXT11" s="204"/>
      <c r="AXU11" s="204"/>
      <c r="AXV11" s="204"/>
      <c r="AXW11" s="204"/>
      <c r="AXX11" s="204"/>
      <c r="AXY11" s="204"/>
      <c r="AXZ11" s="204" t="s">
        <v>140</v>
      </c>
      <c r="AYA11" s="204"/>
      <c r="AYB11" s="204"/>
      <c r="AYC11" s="204"/>
      <c r="AYD11" s="204"/>
      <c r="AYE11" s="204"/>
      <c r="AYF11" s="204"/>
      <c r="AYG11" s="204"/>
      <c r="AYH11" s="204"/>
      <c r="AYI11" s="204"/>
      <c r="AYJ11" s="204"/>
      <c r="AYK11" s="204"/>
      <c r="AYL11" s="204"/>
      <c r="AYM11" s="204"/>
      <c r="AYN11" s="204"/>
      <c r="AYO11" s="204"/>
      <c r="AYP11" s="204"/>
      <c r="AYQ11" s="204"/>
      <c r="AYR11" s="204"/>
      <c r="AYS11" s="204"/>
      <c r="AYT11" s="204"/>
      <c r="AYU11" s="204"/>
      <c r="AYV11" s="204"/>
      <c r="AYW11" s="204"/>
      <c r="AYX11" s="204"/>
      <c r="AYY11" s="204"/>
      <c r="AYZ11" s="204"/>
      <c r="AZA11" s="204"/>
      <c r="AZB11" s="204"/>
      <c r="AZC11" s="204"/>
      <c r="AZD11" s="204"/>
      <c r="AZE11" s="204"/>
      <c r="AZF11" s="204"/>
      <c r="AZG11" s="204"/>
      <c r="AZH11" s="204"/>
      <c r="AZI11" s="204"/>
      <c r="AZJ11" s="204"/>
      <c r="AZK11" s="204"/>
      <c r="AZL11" s="204"/>
      <c r="AZM11" s="204"/>
      <c r="AZN11" s="204"/>
      <c r="AZO11" s="204"/>
      <c r="AZP11" s="204"/>
      <c r="AZQ11" s="204"/>
      <c r="AZR11" s="204"/>
      <c r="AZS11" s="204"/>
      <c r="AZT11" s="204"/>
      <c r="AZU11" s="204"/>
      <c r="AZV11" s="204"/>
      <c r="AZW11" s="204"/>
      <c r="AZX11" s="204"/>
      <c r="AZY11" s="204"/>
      <c r="AZZ11" s="204"/>
      <c r="BAA11" s="204"/>
      <c r="BAB11" s="204"/>
      <c r="BAC11" s="204"/>
      <c r="BAD11" s="204"/>
      <c r="BAE11" s="204"/>
      <c r="BAF11" s="204"/>
      <c r="BAG11" s="204"/>
      <c r="BAH11" s="204" t="s">
        <v>137</v>
      </c>
      <c r="BAI11" s="204"/>
      <c r="BAJ11" s="204"/>
      <c r="BAK11" s="204"/>
      <c r="BAL11" s="204"/>
      <c r="BAM11" s="204"/>
      <c r="BAN11" s="204"/>
      <c r="BAO11" s="204"/>
      <c r="BAP11" s="204"/>
      <c r="BAQ11" s="204"/>
      <c r="BAR11" s="204"/>
      <c r="BAS11" s="204"/>
      <c r="BAT11" s="204"/>
      <c r="BAU11" s="204"/>
      <c r="BAV11" s="204"/>
      <c r="BAW11" s="204"/>
      <c r="BAX11" s="204"/>
      <c r="BAY11" s="204"/>
      <c r="BAZ11" s="204"/>
      <c r="BBA11" s="204"/>
      <c r="BBB11" s="204"/>
      <c r="BBC11" s="204"/>
      <c r="BBD11" s="204"/>
      <c r="BBE11" s="204"/>
      <c r="BBF11" s="204"/>
      <c r="BBG11" s="204"/>
      <c r="BBH11" s="204"/>
      <c r="BBI11" s="204"/>
      <c r="BBJ11" s="204"/>
      <c r="BBK11" s="204"/>
      <c r="BBL11" s="204"/>
      <c r="BBM11" s="204"/>
      <c r="BBN11" s="204"/>
      <c r="BBO11" s="204"/>
      <c r="BBP11" s="204"/>
      <c r="BBQ11" s="204"/>
      <c r="BBR11" s="204"/>
      <c r="BBS11" s="204"/>
      <c r="BBT11" s="204"/>
      <c r="BBU11" s="204"/>
      <c r="BBV11" s="204"/>
      <c r="BBW11" s="204"/>
      <c r="BBX11" s="204"/>
      <c r="BBY11" s="204"/>
      <c r="BBZ11" s="204"/>
      <c r="BCA11" s="204"/>
      <c r="BCB11" s="204"/>
      <c r="BCC11" s="204"/>
      <c r="BCD11" s="204"/>
      <c r="BCE11" s="204"/>
      <c r="BCF11" s="204"/>
      <c r="BCG11" s="204"/>
      <c r="BCH11" s="204"/>
      <c r="BCI11" s="204"/>
      <c r="BCJ11" s="204"/>
      <c r="BCK11" s="204"/>
      <c r="BCL11" s="204"/>
      <c r="BCM11" s="204"/>
      <c r="BCN11" s="204"/>
      <c r="BCO11" s="204"/>
      <c r="BCP11" s="204" t="s">
        <v>137</v>
      </c>
      <c r="BCQ11" s="204"/>
      <c r="BCR11" s="204"/>
      <c r="BCS11" s="204"/>
      <c r="BCT11" s="204"/>
      <c r="BCU11" s="204"/>
      <c r="BCV11" s="204"/>
      <c r="BCW11" s="204"/>
      <c r="BCX11" s="204"/>
      <c r="BCY11" s="204"/>
      <c r="BCZ11" s="204"/>
      <c r="BDA11" s="204"/>
      <c r="BDB11" s="204"/>
      <c r="BDC11" s="204"/>
      <c r="BDD11" s="204"/>
      <c r="BDE11" s="204"/>
      <c r="BDF11" s="204"/>
      <c r="BDG11" s="204"/>
      <c r="BDH11" s="204"/>
      <c r="BDI11" s="204"/>
      <c r="BDJ11" s="204"/>
      <c r="BDK11" s="204"/>
      <c r="BDL11" s="204"/>
      <c r="BDM11" s="204"/>
      <c r="BDN11" s="204"/>
      <c r="BDO11" s="204"/>
      <c r="BDP11" s="204"/>
      <c r="BDQ11" s="204"/>
      <c r="BDR11" s="204"/>
      <c r="BDS11" s="204"/>
      <c r="BDT11" s="204"/>
      <c r="BDU11" s="204"/>
      <c r="BDV11" s="204"/>
      <c r="BDW11" s="204"/>
      <c r="BDX11" s="204"/>
      <c r="BDY11" s="204"/>
      <c r="BDZ11" s="204"/>
      <c r="BEA11" s="204"/>
      <c r="BEB11" s="204"/>
      <c r="BEC11" s="204"/>
      <c r="BED11" s="204"/>
      <c r="BEE11" s="204"/>
      <c r="BEF11" s="204"/>
      <c r="BEG11" s="204"/>
      <c r="BEH11" s="204"/>
      <c r="BEI11" s="204"/>
      <c r="BEJ11" s="204"/>
      <c r="BEK11" s="204"/>
      <c r="BEL11" s="204"/>
      <c r="BEM11" s="204"/>
      <c r="BEN11" s="204"/>
      <c r="BEO11" s="204"/>
      <c r="BEP11" s="204"/>
      <c r="BEQ11" s="204"/>
      <c r="BER11" s="204"/>
      <c r="BES11" s="204"/>
      <c r="BET11" s="204"/>
      <c r="BEU11" s="204"/>
      <c r="BEV11" s="204"/>
      <c r="BEW11" s="204"/>
      <c r="BEX11" s="204" t="s">
        <v>135</v>
      </c>
      <c r="BEY11" s="204"/>
      <c r="BEZ11" s="204"/>
      <c r="BFA11" s="204"/>
      <c r="BFB11" s="204"/>
      <c r="BFC11" s="204"/>
      <c r="BFD11" s="204"/>
      <c r="BFE11" s="204"/>
      <c r="BFF11" s="204"/>
      <c r="BFG11" s="204"/>
      <c r="BFH11" s="204"/>
      <c r="BFI11" s="204"/>
      <c r="BFJ11" s="204"/>
      <c r="BFK11" s="204"/>
      <c r="BFL11" s="204"/>
      <c r="BFM11" s="204"/>
      <c r="BFN11" s="204"/>
      <c r="BFO11" s="204"/>
      <c r="BFP11" s="204"/>
      <c r="BFQ11" s="204"/>
      <c r="BFR11" s="204"/>
      <c r="BFS11" s="204"/>
      <c r="BFT11" s="204"/>
      <c r="BFU11" s="204"/>
      <c r="BFV11" s="204"/>
      <c r="BFW11" s="204"/>
      <c r="BFX11" s="204"/>
      <c r="BFY11" s="204"/>
      <c r="BFZ11" s="204"/>
      <c r="BGA11" s="204"/>
      <c r="BGB11" s="204"/>
      <c r="BGC11" s="204"/>
      <c r="BGD11" s="204"/>
      <c r="BGE11" s="204"/>
      <c r="BGF11" s="204"/>
      <c r="BGG11" s="204"/>
      <c r="BGH11" s="204"/>
      <c r="BGI11" s="204"/>
      <c r="BGJ11" s="204"/>
      <c r="BGK11" s="204"/>
      <c r="BGL11" s="204"/>
      <c r="BGM11" s="204"/>
      <c r="BGN11" s="204"/>
      <c r="BGO11" s="204"/>
      <c r="BGP11" s="204"/>
      <c r="BGQ11" s="204"/>
      <c r="BGR11" s="204"/>
      <c r="BGS11" s="204"/>
      <c r="BGT11" s="204"/>
      <c r="BGU11" s="204"/>
      <c r="BGV11" s="204"/>
      <c r="BGW11" s="204"/>
      <c r="BGX11" s="204"/>
      <c r="BGY11" s="204"/>
      <c r="BGZ11" s="204"/>
      <c r="BHA11" s="204"/>
      <c r="BHB11" s="204"/>
      <c r="BHC11" s="204"/>
      <c r="BHD11" s="204"/>
      <c r="BHE11" s="204"/>
      <c r="BHF11" s="204" t="s">
        <v>132</v>
      </c>
      <c r="BHG11" s="204"/>
      <c r="BHH11" s="204"/>
      <c r="BHI11" s="204"/>
      <c r="BHJ11" s="204"/>
      <c r="BHK11" s="204"/>
      <c r="BHL11" s="204"/>
      <c r="BHM11" s="204"/>
      <c r="BHN11" s="204"/>
      <c r="BHO11" s="204"/>
      <c r="BHP11" s="204"/>
      <c r="BHQ11" s="204"/>
      <c r="BHR11" s="204"/>
      <c r="BHS11" s="204"/>
      <c r="BHT11" s="204"/>
      <c r="BHU11" s="204"/>
      <c r="BHV11" s="204"/>
      <c r="BHW11" s="204"/>
      <c r="BHX11" s="204"/>
      <c r="BHY11" s="204"/>
      <c r="BHZ11" s="204"/>
      <c r="BIA11" s="204"/>
      <c r="BIB11" s="204"/>
      <c r="BIC11" s="204"/>
      <c r="BID11" s="204"/>
      <c r="BIE11" s="204"/>
      <c r="BIF11" s="204"/>
      <c r="BIG11" s="204"/>
      <c r="BIH11" s="204"/>
      <c r="BII11" s="204"/>
      <c r="BIJ11" s="204"/>
      <c r="BIK11" s="204"/>
      <c r="BIL11" s="204"/>
      <c r="BIM11" s="204"/>
      <c r="BIN11" s="204"/>
      <c r="BIO11" s="204"/>
      <c r="BIP11" s="204"/>
      <c r="BIQ11" s="204"/>
      <c r="BIR11" s="204"/>
      <c r="BIS11" s="204"/>
      <c r="BIT11" s="204"/>
      <c r="BIU11" s="204"/>
      <c r="BIV11" s="204"/>
      <c r="BIW11" s="204"/>
      <c r="BIX11" s="204"/>
      <c r="BIY11" s="204"/>
      <c r="BIZ11" s="204"/>
      <c r="BJA11" s="204"/>
      <c r="BJB11" s="204"/>
      <c r="BJC11" s="204"/>
      <c r="BJD11" s="204"/>
      <c r="BJE11" s="204"/>
      <c r="BJF11" s="204"/>
      <c r="BJG11" s="204"/>
      <c r="BJH11" s="204"/>
      <c r="BJI11" s="204"/>
      <c r="BJJ11" s="204"/>
      <c r="BJK11" s="204"/>
      <c r="BJL11" s="204"/>
      <c r="BJM11" s="204"/>
      <c r="BJN11" s="204" t="s">
        <v>132</v>
      </c>
      <c r="BJO11" s="204"/>
      <c r="BJP11" s="204"/>
      <c r="BJQ11" s="204"/>
      <c r="BJR11" s="204"/>
      <c r="BJS11" s="204"/>
      <c r="BJT11" s="204"/>
      <c r="BJU11" s="204"/>
      <c r="BJV11" s="204"/>
      <c r="BJW11" s="204"/>
      <c r="BJX11" s="204"/>
      <c r="BJY11" s="204"/>
      <c r="BJZ11" s="204"/>
      <c r="BKA11" s="204"/>
      <c r="BKB11" s="204"/>
      <c r="BKC11" s="204"/>
      <c r="BKD11" s="204"/>
      <c r="BKE11" s="204"/>
      <c r="BKF11" s="204"/>
      <c r="BKG11" s="204"/>
      <c r="BKH11" s="204"/>
      <c r="BKI11" s="204"/>
      <c r="BKJ11" s="204"/>
      <c r="BKK11" s="204"/>
      <c r="BKL11" s="204"/>
      <c r="BKM11" s="204"/>
      <c r="BKN11" s="204"/>
      <c r="BKO11" s="204"/>
      <c r="BKP11" s="204"/>
      <c r="BKQ11" s="204"/>
      <c r="BKR11" s="204"/>
      <c r="BKS11" s="204"/>
      <c r="BKT11" s="204"/>
      <c r="BKU11" s="204"/>
      <c r="BKV11" s="204"/>
      <c r="BKW11" s="204"/>
      <c r="BKX11" s="204"/>
      <c r="BKY11" s="204"/>
      <c r="BKZ11" s="204"/>
      <c r="BLA11" s="204"/>
      <c r="BLB11" s="204"/>
      <c r="BLC11" s="204"/>
      <c r="BLD11" s="204"/>
      <c r="BLE11" s="204"/>
      <c r="BLF11" s="204"/>
      <c r="BLG11" s="204"/>
      <c r="BLH11" s="204"/>
      <c r="BLI11" s="204"/>
      <c r="BLJ11" s="204"/>
      <c r="BLK11" s="204"/>
      <c r="BLL11" s="204"/>
      <c r="BLM11" s="204"/>
      <c r="BLN11" s="204"/>
      <c r="BLO11" s="204"/>
      <c r="BLP11" s="204"/>
      <c r="BLQ11" s="204"/>
      <c r="BLR11" s="204"/>
      <c r="BLS11" s="204"/>
      <c r="BLT11" s="204"/>
      <c r="BLU11" s="204"/>
      <c r="BLV11" s="204" t="s">
        <v>129</v>
      </c>
      <c r="BLW11" s="204"/>
      <c r="BLX11" s="204"/>
      <c r="BLY11" s="204"/>
      <c r="BLZ11" s="204"/>
      <c r="BMA11" s="204"/>
      <c r="BMB11" s="204"/>
      <c r="BMC11" s="204"/>
      <c r="BMD11" s="204"/>
      <c r="BME11" s="204"/>
      <c r="BMF11" s="204"/>
      <c r="BMG11" s="204"/>
      <c r="BMH11" s="204"/>
      <c r="BMI11" s="204"/>
      <c r="BMJ11" s="204"/>
      <c r="BMK11" s="204"/>
      <c r="BML11" s="204"/>
      <c r="BMM11" s="204"/>
      <c r="BMN11" s="204"/>
      <c r="BMO11" s="204"/>
      <c r="BMP11" s="204"/>
      <c r="BMQ11" s="204"/>
      <c r="BMR11" s="204"/>
      <c r="BMS11" s="204"/>
      <c r="BMT11" s="204"/>
      <c r="BMU11" s="204"/>
      <c r="BMV11" s="204"/>
      <c r="BMW11" s="204"/>
      <c r="BMX11" s="204"/>
      <c r="BMY11" s="204"/>
      <c r="BMZ11" s="204"/>
      <c r="BNA11" s="204"/>
      <c r="BNB11" s="204"/>
      <c r="BNC11" s="204"/>
      <c r="BND11" s="204"/>
      <c r="BNE11" s="204"/>
      <c r="BNF11" s="204"/>
      <c r="BNG11" s="204"/>
      <c r="BNH11" s="204"/>
      <c r="BNI11" s="204"/>
      <c r="BNJ11" s="204"/>
      <c r="BNK11" s="204"/>
      <c r="BNL11" s="204"/>
      <c r="BNM11" s="204"/>
      <c r="BNN11" s="204"/>
      <c r="BNO11" s="204"/>
      <c r="BNP11" s="204"/>
      <c r="BNQ11" s="204"/>
      <c r="BNR11" s="204"/>
      <c r="BNS11" s="204"/>
      <c r="BNT11" s="204"/>
      <c r="BNU11" s="204"/>
      <c r="BNV11" s="204"/>
      <c r="BNW11" s="204"/>
      <c r="BNX11" s="204"/>
      <c r="BNY11" s="204"/>
      <c r="BNZ11" s="204"/>
      <c r="BOA11" s="204"/>
      <c r="BOB11" s="204"/>
      <c r="BOC11" s="204"/>
      <c r="BOD11" s="204" t="s">
        <v>129</v>
      </c>
      <c r="BOE11" s="204"/>
      <c r="BOF11" s="204"/>
      <c r="BOG11" s="204"/>
      <c r="BOH11" s="204"/>
      <c r="BOI11" s="204"/>
      <c r="BOJ11" s="204"/>
      <c r="BOK11" s="204"/>
      <c r="BOL11" s="204"/>
      <c r="BOM11" s="204"/>
      <c r="BON11" s="204"/>
      <c r="BOO11" s="204"/>
      <c r="BOP11" s="204"/>
      <c r="BOQ11" s="204"/>
      <c r="BOR11" s="204"/>
      <c r="BOS11" s="204"/>
      <c r="BOT11" s="204"/>
      <c r="BOU11" s="204"/>
      <c r="BOV11" s="204"/>
      <c r="BOW11" s="204"/>
      <c r="BOX11" s="204"/>
      <c r="BOY11" s="204"/>
      <c r="BOZ11" s="204"/>
      <c r="BPA11" s="204"/>
      <c r="BPB11" s="204"/>
      <c r="BPC11" s="204"/>
      <c r="BPD11" s="204"/>
      <c r="BPE11" s="204"/>
      <c r="BPF11" s="204"/>
      <c r="BPG11" s="204"/>
      <c r="BPH11" s="204"/>
      <c r="BPI11" s="204"/>
      <c r="BPJ11" s="204"/>
      <c r="BPK11" s="204"/>
      <c r="BPL11" s="204"/>
      <c r="BPM11" s="204"/>
      <c r="BPN11" s="204"/>
      <c r="BPO11" s="204"/>
      <c r="BPP11" s="204"/>
      <c r="BPQ11" s="204"/>
      <c r="BPR11" s="204"/>
      <c r="BPS11" s="204"/>
      <c r="BPT11" s="204"/>
      <c r="BPU11" s="204"/>
      <c r="BPV11" s="204"/>
      <c r="BPW11" s="204"/>
      <c r="BPX11" s="204"/>
      <c r="BPY11" s="204"/>
      <c r="BPZ11" s="204"/>
      <c r="BQA11" s="204"/>
      <c r="BQB11" s="204"/>
      <c r="BQC11" s="204"/>
      <c r="BQD11" s="204"/>
      <c r="BQE11" s="204"/>
      <c r="BQF11" s="204"/>
      <c r="BQG11" s="204"/>
      <c r="BQH11" s="204"/>
      <c r="BQI11" s="204"/>
      <c r="BQJ11" s="204"/>
      <c r="BQK11" s="204"/>
      <c r="BQL11" s="204" t="s">
        <v>126</v>
      </c>
      <c r="BQM11" s="204"/>
      <c r="BQN11" s="204"/>
      <c r="BQO11" s="204"/>
      <c r="BQP11" s="204"/>
      <c r="BQQ11" s="204"/>
      <c r="BQR11" s="204"/>
      <c r="BQS11" s="204"/>
      <c r="BQT11" s="204"/>
      <c r="BQU11" s="204"/>
      <c r="BQV11" s="204"/>
      <c r="BQW11" s="204"/>
      <c r="BQX11" s="204"/>
      <c r="BQY11" s="204"/>
      <c r="BQZ11" s="204"/>
      <c r="BRA11" s="204"/>
      <c r="BRB11" s="204"/>
      <c r="BRC11" s="204"/>
      <c r="BRD11" s="204"/>
      <c r="BRE11" s="204"/>
      <c r="BRF11" s="204"/>
      <c r="BRG11" s="204"/>
      <c r="BRH11" s="204"/>
      <c r="BRI11" s="204"/>
      <c r="BRJ11" s="204"/>
      <c r="BRK11" s="204"/>
      <c r="BRL11" s="204"/>
      <c r="BRM11" s="204"/>
      <c r="BRN11" s="204"/>
      <c r="BRO11" s="204"/>
      <c r="BRP11" s="204"/>
      <c r="BRQ11" s="204"/>
      <c r="BRR11" s="204"/>
      <c r="BRS11" s="204"/>
      <c r="BRT11" s="204"/>
      <c r="BRU11" s="204"/>
      <c r="BRV11" s="204"/>
      <c r="BRW11" s="204"/>
      <c r="BRX11" s="204"/>
      <c r="BRY11" s="204"/>
      <c r="BRZ11" s="204"/>
      <c r="BSA11" s="204"/>
      <c r="BSB11" s="204"/>
      <c r="BSC11" s="204"/>
      <c r="BSD11" s="204"/>
      <c r="BSE11" s="204"/>
      <c r="BSF11" s="204"/>
      <c r="BSG11" s="204"/>
      <c r="BSH11" s="204"/>
      <c r="BSI11" s="204"/>
      <c r="BSJ11" s="204"/>
      <c r="BSK11" s="204"/>
      <c r="BSL11" s="204"/>
      <c r="BSM11" s="204"/>
      <c r="BSN11" s="204"/>
      <c r="BSO11" s="204"/>
      <c r="BSP11" s="204"/>
      <c r="BSQ11" s="204"/>
      <c r="BSR11" s="204"/>
      <c r="BSS11" s="204"/>
      <c r="BST11" s="204" t="s">
        <v>126</v>
      </c>
      <c r="BSU11" s="204"/>
      <c r="BSV11" s="204"/>
      <c r="BSW11" s="204"/>
      <c r="BSX11" s="204"/>
      <c r="BSY11" s="204"/>
      <c r="BSZ11" s="204"/>
      <c r="BTA11" s="204"/>
      <c r="BTB11" s="204"/>
      <c r="BTC11" s="204"/>
      <c r="BTD11" s="204"/>
      <c r="BTE11" s="204"/>
      <c r="BTF11" s="204"/>
      <c r="BTG11" s="204"/>
      <c r="BTH11" s="204"/>
      <c r="BTI11" s="204"/>
      <c r="BTJ11" s="204"/>
      <c r="BTK11" s="204"/>
      <c r="BTL11" s="204"/>
      <c r="BTM11" s="204"/>
      <c r="BTN11" s="204"/>
      <c r="BTO11" s="204"/>
      <c r="BTP11" s="204"/>
      <c r="BTQ11" s="204"/>
      <c r="BTR11" s="204"/>
      <c r="BTS11" s="204"/>
      <c r="BTT11" s="204"/>
      <c r="BTU11" s="204"/>
      <c r="BTV11" s="204"/>
      <c r="BTW11" s="204"/>
      <c r="BTX11" s="204"/>
      <c r="BTY11" s="204"/>
      <c r="BTZ11" s="204"/>
      <c r="BUA11" s="204"/>
      <c r="BUB11" s="204"/>
      <c r="BUC11" s="204"/>
      <c r="BUD11" s="204"/>
      <c r="BUE11" s="204"/>
      <c r="BUF11" s="204"/>
      <c r="BUG11" s="204"/>
      <c r="BUH11" s="204"/>
      <c r="BUI11" s="204"/>
      <c r="BUJ11" s="204"/>
      <c r="BUK11" s="204"/>
      <c r="BUL11" s="204"/>
      <c r="BUM11" s="204"/>
      <c r="BUN11" s="204"/>
      <c r="BUO11" s="204"/>
      <c r="BUP11" s="204"/>
      <c r="BUQ11" s="204"/>
      <c r="BUR11" s="204"/>
      <c r="BUS11" s="204"/>
      <c r="BUT11" s="204"/>
      <c r="BUU11" s="204"/>
      <c r="BUV11" s="204"/>
      <c r="BUW11" s="204"/>
      <c r="BUX11" s="204"/>
      <c r="BUY11" s="204"/>
      <c r="BUZ11" s="204"/>
      <c r="BVA11" s="204"/>
      <c r="BVB11" s="204" t="s">
        <v>124</v>
      </c>
      <c r="BVC11" s="204"/>
      <c r="BVD11" s="204"/>
      <c r="BVE11" s="204"/>
      <c r="BVF11" s="204"/>
      <c r="BVG11" s="204"/>
      <c r="BVH11" s="204"/>
      <c r="BVI11" s="204"/>
      <c r="BVJ11" s="204"/>
      <c r="BVK11" s="204"/>
      <c r="BVL11" s="204"/>
      <c r="BVM11" s="204"/>
      <c r="BVN11" s="204"/>
      <c r="BVO11" s="204"/>
      <c r="BVP11" s="204"/>
      <c r="BVQ11" s="204"/>
      <c r="BVR11" s="204"/>
      <c r="BVS11" s="204"/>
      <c r="BVT11" s="204"/>
      <c r="BVU11" s="204"/>
      <c r="BVV11" s="204"/>
      <c r="BVW11" s="204"/>
      <c r="BVX11" s="204"/>
      <c r="BVY11" s="204"/>
      <c r="BVZ11" s="204"/>
      <c r="BWA11" s="204"/>
      <c r="BWB11" s="204"/>
      <c r="BWC11" s="204"/>
      <c r="BWD11" s="204"/>
      <c r="BWE11" s="204"/>
      <c r="BWF11" s="204"/>
      <c r="BWG11" s="204"/>
      <c r="BWH11" s="204"/>
      <c r="BWI11" s="204"/>
      <c r="BWJ11" s="204"/>
      <c r="BWK11" s="204"/>
      <c r="BWL11" s="204"/>
      <c r="BWM11" s="204"/>
      <c r="BWN11" s="204"/>
      <c r="BWO11" s="204"/>
      <c r="BWP11" s="204"/>
      <c r="BWQ11" s="204"/>
      <c r="BWR11" s="204"/>
      <c r="BWS11" s="204"/>
      <c r="BWT11" s="204"/>
      <c r="BWU11" s="204"/>
      <c r="BWV11" s="204"/>
      <c r="BWW11" s="204"/>
      <c r="BWX11" s="204"/>
      <c r="BWY11" s="204"/>
      <c r="BWZ11" s="204"/>
      <c r="BXA11" s="204"/>
      <c r="BXB11" s="204"/>
      <c r="BXC11" s="204"/>
      <c r="BXD11" s="204"/>
      <c r="BXE11" s="204"/>
      <c r="BXF11" s="204"/>
      <c r="BXG11" s="204"/>
      <c r="BXH11" s="204"/>
      <c r="BXI11" s="204"/>
      <c r="BXJ11" s="204" t="s">
        <v>121</v>
      </c>
      <c r="BXK11" s="204"/>
      <c r="BXL11" s="204"/>
      <c r="BXM11" s="204"/>
      <c r="BXN11" s="204"/>
      <c r="BXO11" s="204"/>
      <c r="BXP11" s="204"/>
      <c r="BXQ11" s="204"/>
      <c r="BXR11" s="204"/>
      <c r="BXS11" s="204"/>
      <c r="BXT11" s="204"/>
      <c r="BXU11" s="204"/>
      <c r="BXV11" s="204"/>
      <c r="BXW11" s="204"/>
      <c r="BXX11" s="204"/>
      <c r="BXY11" s="204"/>
      <c r="BXZ11" s="204"/>
      <c r="BYA11" s="204"/>
      <c r="BYB11" s="204"/>
      <c r="BYC11" s="204"/>
      <c r="BYD11" s="204"/>
      <c r="BYE11" s="204"/>
      <c r="BYF11" s="204"/>
      <c r="BYG11" s="204"/>
      <c r="BYH11" s="204"/>
      <c r="BYI11" s="204"/>
      <c r="BYJ11" s="204"/>
      <c r="BYK11" s="204"/>
      <c r="BYL11" s="204"/>
      <c r="BYM11" s="204"/>
      <c r="BYN11" s="204"/>
      <c r="BYO11" s="204"/>
      <c r="BYP11" s="204"/>
      <c r="BYQ11" s="204"/>
      <c r="BYR11" s="204"/>
      <c r="BYS11" s="204"/>
      <c r="BYT11" s="204"/>
      <c r="BYU11" s="204"/>
      <c r="BYV11" s="204"/>
      <c r="BYW11" s="204"/>
      <c r="BYX11" s="204"/>
      <c r="BYY11" s="204"/>
      <c r="BYZ11" s="204"/>
      <c r="BZA11" s="204"/>
      <c r="BZB11" s="204"/>
      <c r="BZC11" s="204"/>
      <c r="BZD11" s="204"/>
      <c r="BZE11" s="204"/>
      <c r="BZF11" s="204"/>
      <c r="BZG11" s="204"/>
      <c r="BZH11" s="204"/>
      <c r="BZI11" s="204"/>
      <c r="BZJ11" s="204"/>
      <c r="BZK11" s="204"/>
      <c r="BZL11" s="204"/>
      <c r="BZM11" s="204"/>
      <c r="BZN11" s="204"/>
      <c r="BZO11" s="204"/>
      <c r="BZP11" s="204"/>
      <c r="BZQ11" s="204"/>
      <c r="BZR11" s="204" t="s">
        <v>121</v>
      </c>
      <c r="BZS11" s="204"/>
      <c r="BZT11" s="204"/>
      <c r="BZU11" s="204"/>
      <c r="BZV11" s="204"/>
      <c r="BZW11" s="204"/>
      <c r="BZX11" s="204"/>
      <c r="BZY11" s="204"/>
      <c r="BZZ11" s="204"/>
      <c r="CAA11" s="204"/>
      <c r="CAB11" s="204"/>
      <c r="CAC11" s="204"/>
      <c r="CAD11" s="204"/>
      <c r="CAE11" s="204"/>
      <c r="CAF11" s="204"/>
      <c r="CAG11" s="204"/>
      <c r="CAH11" s="204"/>
      <c r="CAI11" s="204"/>
      <c r="CAJ11" s="204"/>
      <c r="CAK11" s="204"/>
      <c r="CAL11" s="204"/>
      <c r="CAM11" s="204"/>
      <c r="CAN11" s="204"/>
      <c r="CAO11" s="204"/>
      <c r="CAP11" s="204"/>
      <c r="CAQ11" s="204"/>
      <c r="CAR11" s="204"/>
      <c r="CAS11" s="204"/>
      <c r="CAT11" s="204"/>
      <c r="CAU11" s="204"/>
      <c r="CAV11" s="204"/>
      <c r="CAW11" s="204"/>
      <c r="CAX11" s="204"/>
      <c r="CAY11" s="204"/>
      <c r="CAZ11" s="204"/>
      <c r="CBA11" s="204"/>
      <c r="CBB11" s="204"/>
      <c r="CBC11" s="204"/>
      <c r="CBD11" s="204"/>
      <c r="CBE11" s="204"/>
      <c r="CBF11" s="204"/>
      <c r="CBG11" s="204"/>
      <c r="CBH11" s="204"/>
      <c r="CBI11" s="204"/>
      <c r="CBJ11" s="204"/>
      <c r="CBK11" s="204"/>
      <c r="CBL11" s="204"/>
      <c r="CBM11" s="204"/>
      <c r="CBN11" s="204"/>
      <c r="CBO11" s="204"/>
      <c r="CBP11" s="204"/>
      <c r="CBQ11" s="204"/>
      <c r="CBR11" s="204"/>
      <c r="CBS11" s="204"/>
      <c r="CBT11" s="204"/>
      <c r="CBU11" s="204"/>
      <c r="CBV11" s="204"/>
      <c r="CBW11" s="204"/>
      <c r="CBX11" s="204"/>
      <c r="CBY11" s="204"/>
      <c r="CBZ11" s="204" t="s">
        <v>118</v>
      </c>
      <c r="CCA11" s="204"/>
      <c r="CCB11" s="204"/>
      <c r="CCC11" s="204"/>
      <c r="CCD11" s="204"/>
      <c r="CCE11" s="204"/>
      <c r="CCF11" s="204"/>
      <c r="CCG11" s="204"/>
      <c r="CCH11" s="204"/>
      <c r="CCI11" s="204"/>
      <c r="CCJ11" s="204"/>
      <c r="CCK11" s="204"/>
      <c r="CCL11" s="204"/>
      <c r="CCM11" s="204"/>
      <c r="CCN11" s="204"/>
      <c r="CCO11" s="204"/>
      <c r="CCP11" s="204"/>
      <c r="CCQ11" s="204"/>
      <c r="CCR11" s="204"/>
      <c r="CCS11" s="204"/>
      <c r="CCT11" s="204"/>
      <c r="CCU11" s="204"/>
      <c r="CCV11" s="204"/>
      <c r="CCW11" s="204"/>
      <c r="CCX11" s="204"/>
      <c r="CCY11" s="204"/>
      <c r="CCZ11" s="204"/>
      <c r="CDA11" s="204"/>
      <c r="CDB11" s="204"/>
      <c r="CDC11" s="204"/>
      <c r="CDD11" s="204"/>
      <c r="CDE11" s="204"/>
      <c r="CDF11" s="204"/>
      <c r="CDG11" s="204"/>
      <c r="CDH11" s="204"/>
      <c r="CDI11" s="204"/>
      <c r="CDJ11" s="204"/>
      <c r="CDK11" s="204"/>
      <c r="CDL11" s="204"/>
      <c r="CDM11" s="204"/>
      <c r="CDN11" s="204"/>
      <c r="CDO11" s="204"/>
      <c r="CDP11" s="204"/>
      <c r="CDQ11" s="204"/>
      <c r="CDR11" s="204"/>
      <c r="CDS11" s="204"/>
      <c r="CDT11" s="204"/>
      <c r="CDU11" s="204"/>
      <c r="CDV11" s="204"/>
      <c r="CDW11" s="204"/>
      <c r="CDX11" s="204"/>
      <c r="CDY11" s="204"/>
      <c r="CDZ11" s="204"/>
      <c r="CEA11" s="204"/>
      <c r="CEB11" s="204"/>
      <c r="CEC11" s="204"/>
      <c r="CED11" s="204"/>
      <c r="CEE11" s="204"/>
      <c r="CEF11" s="204"/>
      <c r="CEG11" s="204"/>
      <c r="CEH11" s="204" t="s">
        <v>118</v>
      </c>
      <c r="CEI11" s="204"/>
      <c r="CEJ11" s="204"/>
      <c r="CEK11" s="204"/>
      <c r="CEL11" s="204"/>
      <c r="CEM11" s="204"/>
      <c r="CEN11" s="204"/>
      <c r="CEO11" s="204"/>
      <c r="CEP11" s="204"/>
      <c r="CEQ11" s="204"/>
      <c r="CER11" s="204"/>
      <c r="CES11" s="204"/>
      <c r="CET11" s="204"/>
      <c r="CEU11" s="204"/>
      <c r="CEV11" s="204"/>
      <c r="CEW11" s="204"/>
      <c r="CEX11" s="204"/>
      <c r="CEY11" s="204"/>
      <c r="CEZ11" s="204"/>
      <c r="CFA11" s="204"/>
      <c r="CFB11" s="204"/>
      <c r="CFC11" s="204"/>
      <c r="CFD11" s="204"/>
      <c r="CFE11" s="204"/>
      <c r="CFF11" s="204"/>
      <c r="CFG11" s="204"/>
      <c r="CFH11" s="204"/>
      <c r="CFI11" s="204"/>
      <c r="CFJ11" s="204"/>
      <c r="CFK11" s="204"/>
      <c r="CFL11" s="204"/>
      <c r="CFM11" s="204"/>
      <c r="CFN11" s="204"/>
      <c r="CFO11" s="204"/>
      <c r="CFP11" s="204"/>
      <c r="CFQ11" s="204"/>
      <c r="CFR11" s="204"/>
      <c r="CFS11" s="204"/>
      <c r="CFT11" s="204"/>
      <c r="CFU11" s="204"/>
      <c r="CFV11" s="204"/>
      <c r="CFW11" s="204"/>
      <c r="CFX11" s="204"/>
      <c r="CFY11" s="204"/>
      <c r="CFZ11" s="204"/>
      <c r="CGA11" s="204"/>
      <c r="CGB11" s="204"/>
      <c r="CGC11" s="204"/>
      <c r="CGD11" s="204"/>
      <c r="CGE11" s="204"/>
      <c r="CGF11" s="204"/>
      <c r="CGG11" s="204"/>
      <c r="CGH11" s="204"/>
      <c r="CGI11" s="204"/>
      <c r="CGJ11" s="204"/>
      <c r="CGK11" s="204"/>
      <c r="CGL11" s="204"/>
      <c r="CGM11" s="204"/>
      <c r="CGN11" s="204"/>
      <c r="CGO11" s="204"/>
      <c r="CGP11" s="204" t="s">
        <v>115</v>
      </c>
      <c r="CGQ11" s="204"/>
      <c r="CGR11" s="204"/>
      <c r="CGS11" s="204"/>
      <c r="CGT11" s="204"/>
      <c r="CGU11" s="204"/>
      <c r="CGV11" s="204"/>
      <c r="CGW11" s="204"/>
      <c r="CGX11" s="204"/>
      <c r="CGY11" s="204"/>
      <c r="CGZ11" s="204"/>
      <c r="CHA11" s="204"/>
      <c r="CHB11" s="204"/>
      <c r="CHC11" s="204"/>
      <c r="CHD11" s="204"/>
      <c r="CHE11" s="204"/>
      <c r="CHF11" s="204"/>
      <c r="CHG11" s="204"/>
      <c r="CHH11" s="204"/>
      <c r="CHI11" s="204"/>
      <c r="CHJ11" s="204"/>
      <c r="CHK11" s="204"/>
      <c r="CHL11" s="204"/>
      <c r="CHM11" s="204"/>
      <c r="CHN11" s="204"/>
      <c r="CHO11" s="204"/>
      <c r="CHP11" s="204"/>
      <c r="CHQ11" s="204"/>
      <c r="CHR11" s="204"/>
      <c r="CHS11" s="204"/>
      <c r="CHT11" s="204"/>
      <c r="CHU11" s="204"/>
      <c r="CHV11" s="204"/>
      <c r="CHW11" s="204"/>
      <c r="CHX11" s="204"/>
      <c r="CHY11" s="204"/>
      <c r="CHZ11" s="204"/>
      <c r="CIA11" s="204"/>
      <c r="CIB11" s="204"/>
      <c r="CIC11" s="204"/>
      <c r="CID11" s="204"/>
      <c r="CIE11" s="204"/>
      <c r="CIF11" s="204"/>
      <c r="CIG11" s="204"/>
      <c r="CIH11" s="204"/>
      <c r="CII11" s="204"/>
      <c r="CIJ11" s="204"/>
      <c r="CIK11" s="204"/>
      <c r="CIL11" s="204"/>
      <c r="CIM11" s="204"/>
      <c r="CIN11" s="204"/>
      <c r="CIO11" s="204"/>
      <c r="CIP11" s="204"/>
      <c r="CIQ11" s="204"/>
      <c r="CIR11" s="204"/>
      <c r="CIS11" s="204"/>
      <c r="CIT11" s="204"/>
      <c r="CIU11" s="204"/>
      <c r="CIV11" s="204"/>
      <c r="CIW11" s="204"/>
      <c r="CIX11" s="204" t="s">
        <v>115</v>
      </c>
      <c r="CIY11" s="204"/>
      <c r="CIZ11" s="204"/>
      <c r="CJA11" s="204"/>
      <c r="CJB11" s="204"/>
      <c r="CJC11" s="204"/>
      <c r="CJD11" s="204"/>
      <c r="CJE11" s="204"/>
      <c r="CJF11" s="204"/>
      <c r="CJG11" s="204"/>
      <c r="CJH11" s="204"/>
      <c r="CJI11" s="204"/>
      <c r="CJJ11" s="204"/>
      <c r="CJK11" s="204"/>
      <c r="CJL11" s="204"/>
      <c r="CJM11" s="204"/>
      <c r="CJN11" s="204"/>
      <c r="CJO11" s="204"/>
      <c r="CJP11" s="204"/>
      <c r="CJQ11" s="204"/>
      <c r="CJR11" s="204"/>
      <c r="CJS11" s="204"/>
      <c r="CJT11" s="204"/>
      <c r="CJU11" s="204"/>
      <c r="CJV11" s="204"/>
      <c r="CJW11" s="204"/>
      <c r="CJX11" s="204"/>
      <c r="CJY11" s="204"/>
      <c r="CJZ11" s="204"/>
      <c r="CKA11" s="204"/>
      <c r="CKB11" s="204"/>
      <c r="CKC11" s="204"/>
      <c r="CKD11" s="204"/>
      <c r="CKE11" s="204"/>
      <c r="CKF11" s="204"/>
      <c r="CKG11" s="204"/>
      <c r="CKH11" s="204"/>
      <c r="CKI11" s="204"/>
      <c r="CKJ11" s="204"/>
      <c r="CKK11" s="204"/>
      <c r="CKL11" s="204"/>
      <c r="CKM11" s="204"/>
      <c r="CKN11" s="204"/>
      <c r="CKO11" s="204"/>
      <c r="CKP11" s="204"/>
      <c r="CKQ11" s="204"/>
      <c r="CKR11" s="204"/>
      <c r="CKS11" s="204"/>
      <c r="CKT11" s="204"/>
      <c r="CKU11" s="204"/>
      <c r="CKV11" s="204"/>
      <c r="CKW11" s="204"/>
      <c r="CKX11" s="204"/>
      <c r="CKY11" s="204"/>
      <c r="CKZ11" s="204"/>
      <c r="CLA11" s="204"/>
      <c r="CLB11" s="204"/>
      <c r="CLC11" s="204"/>
      <c r="CLD11" s="204"/>
      <c r="CLE11" s="204"/>
      <c r="CLF11" s="204" t="s">
        <v>113</v>
      </c>
      <c r="CLG11" s="204"/>
      <c r="CLH11" s="204"/>
      <c r="CLI11" s="204"/>
      <c r="CLJ11" s="204"/>
      <c r="CLK11" s="204"/>
      <c r="CLL11" s="204"/>
      <c r="CLM11" s="204"/>
      <c r="CLN11" s="204"/>
      <c r="CLO11" s="204"/>
      <c r="CLP11" s="204"/>
      <c r="CLQ11" s="204"/>
      <c r="CLR11" s="204"/>
      <c r="CLS11" s="204"/>
      <c r="CLT11" s="204"/>
      <c r="CLU11" s="204"/>
      <c r="CLV11" s="204"/>
      <c r="CLW11" s="204"/>
      <c r="CLX11" s="204"/>
      <c r="CLY11" s="204"/>
      <c r="CLZ11" s="204"/>
      <c r="CMA11" s="204"/>
      <c r="CMB11" s="204"/>
      <c r="CMC11" s="204"/>
      <c r="CMD11" s="204"/>
      <c r="CME11" s="204"/>
      <c r="CMF11" s="204"/>
      <c r="CMG11" s="204"/>
      <c r="CMH11" s="204"/>
      <c r="CMI11" s="204"/>
      <c r="CMJ11" s="204"/>
      <c r="CMK11" s="204"/>
      <c r="CML11" s="204"/>
      <c r="CMM11" s="204"/>
      <c r="CMN11" s="204"/>
      <c r="CMO11" s="204"/>
      <c r="CMP11" s="204"/>
      <c r="CMQ11" s="204"/>
      <c r="CMR11" s="204"/>
      <c r="CMS11" s="204"/>
      <c r="CMT11" s="204"/>
      <c r="CMU11" s="204"/>
      <c r="CMV11" s="204"/>
      <c r="CMW11" s="204"/>
      <c r="CMX11" s="204"/>
      <c r="CMY11" s="204"/>
      <c r="CMZ11" s="204"/>
      <c r="CNA11" s="204"/>
      <c r="CNB11" s="204"/>
      <c r="CNC11" s="204"/>
      <c r="CND11" s="204"/>
      <c r="CNE11" s="204"/>
      <c r="CNF11" s="204"/>
      <c r="CNG11" s="204"/>
      <c r="CNH11" s="204"/>
      <c r="CNI11" s="204"/>
      <c r="CNJ11" s="204"/>
      <c r="CNK11" s="204"/>
      <c r="CNL11" s="204"/>
      <c r="CNM11" s="204"/>
      <c r="CNN11" s="204" t="s">
        <v>110</v>
      </c>
      <c r="CNO11" s="204"/>
      <c r="CNP11" s="204"/>
      <c r="CNQ11" s="204"/>
      <c r="CNR11" s="204"/>
      <c r="CNS11" s="204"/>
      <c r="CNT11" s="204"/>
      <c r="CNU11" s="204"/>
      <c r="CNV11" s="204"/>
      <c r="CNW11" s="204"/>
      <c r="CNX11" s="204"/>
      <c r="CNY11" s="204"/>
      <c r="CNZ11" s="204"/>
      <c r="COA11" s="204"/>
      <c r="COB11" s="204"/>
      <c r="COC11" s="204"/>
      <c r="COD11" s="204"/>
      <c r="COE11" s="204"/>
      <c r="COF11" s="204"/>
      <c r="COG11" s="204"/>
      <c r="COH11" s="204"/>
      <c r="COI11" s="204"/>
      <c r="COJ11" s="204"/>
      <c r="COK11" s="204"/>
      <c r="COL11" s="204"/>
      <c r="COM11" s="204"/>
      <c r="CON11" s="204"/>
      <c r="COO11" s="204"/>
      <c r="COP11" s="204"/>
      <c r="COQ11" s="204"/>
      <c r="COR11" s="204"/>
      <c r="COS11" s="204"/>
      <c r="COT11" s="204"/>
      <c r="COU11" s="204"/>
      <c r="COV11" s="204"/>
      <c r="COW11" s="204"/>
      <c r="COX11" s="204"/>
      <c r="COY11" s="204"/>
      <c r="COZ11" s="204"/>
      <c r="CPA11" s="204"/>
      <c r="CPB11" s="204"/>
      <c r="CPC11" s="204"/>
      <c r="CPD11" s="204"/>
      <c r="CPE11" s="204"/>
      <c r="CPF11" s="204"/>
      <c r="CPG11" s="204"/>
      <c r="CPH11" s="204"/>
      <c r="CPI11" s="204"/>
      <c r="CPJ11" s="204"/>
      <c r="CPK11" s="204"/>
      <c r="CPL11" s="204"/>
      <c r="CPM11" s="204"/>
      <c r="CPN11" s="204"/>
      <c r="CPO11" s="204"/>
      <c r="CPP11" s="204"/>
      <c r="CPQ11" s="204"/>
      <c r="CPR11" s="204"/>
      <c r="CPS11" s="204"/>
      <c r="CPT11" s="204"/>
      <c r="CPU11" s="204"/>
      <c r="CPV11" s="204" t="s">
        <v>110</v>
      </c>
      <c r="CPW11" s="204"/>
      <c r="CPX11" s="204"/>
      <c r="CPY11" s="204"/>
      <c r="CPZ11" s="204"/>
      <c r="CQA11" s="204"/>
      <c r="CQB11" s="204"/>
      <c r="CQC11" s="204"/>
      <c r="CQD11" s="204"/>
      <c r="CQE11" s="204"/>
      <c r="CQF11" s="204"/>
      <c r="CQG11" s="204"/>
      <c r="CQH11" s="204"/>
      <c r="CQI11" s="204"/>
      <c r="CQJ11" s="204"/>
      <c r="CQK11" s="204"/>
      <c r="CQL11" s="204"/>
      <c r="CQM11" s="204"/>
      <c r="CQN11" s="204"/>
      <c r="CQO11" s="204"/>
      <c r="CQP11" s="204"/>
      <c r="CQQ11" s="204"/>
      <c r="CQR11" s="204"/>
      <c r="CQS11" s="204"/>
      <c r="CQT11" s="204"/>
      <c r="CQU11" s="204"/>
      <c r="CQV11" s="204"/>
      <c r="CQW11" s="204"/>
      <c r="CQX11" s="204"/>
      <c r="CQY11" s="204"/>
      <c r="CQZ11" s="204"/>
      <c r="CRA11" s="204"/>
      <c r="CRB11" s="204"/>
      <c r="CRC11" s="204"/>
      <c r="CRD11" s="204"/>
      <c r="CRE11" s="204"/>
      <c r="CRF11" s="204"/>
      <c r="CRG11" s="204"/>
      <c r="CRH11" s="204"/>
      <c r="CRI11" s="204"/>
      <c r="CRJ11" s="204"/>
      <c r="CRK11" s="204"/>
      <c r="CRL11" s="204"/>
      <c r="CRM11" s="204"/>
      <c r="CRN11" s="204"/>
      <c r="CRO11" s="204"/>
      <c r="CRP11" s="204"/>
      <c r="CRQ11" s="204"/>
      <c r="CRR11" s="204"/>
      <c r="CRS11" s="204"/>
      <c r="CRT11" s="204"/>
      <c r="CRU11" s="204"/>
      <c r="CRV11" s="204"/>
      <c r="CRW11" s="204"/>
      <c r="CRX11" s="204"/>
      <c r="CRY11" s="204"/>
      <c r="CRZ11" s="204"/>
      <c r="CSA11" s="204"/>
      <c r="CSB11" s="204"/>
      <c r="CSC11" s="204"/>
      <c r="CSD11" s="90"/>
    </row>
    <row r="12" spans="1:2526" ht="15.75" customHeight="1" thickBot="1" x14ac:dyDescent="0.3">
      <c r="B12" s="97"/>
      <c r="C12" s="215"/>
      <c r="D12" s="215"/>
      <c r="E12" s="215"/>
      <c r="F12" s="219"/>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c r="AM12" s="219"/>
      <c r="AN12" s="219"/>
      <c r="AO12" s="219"/>
      <c r="AP12" s="219"/>
      <c r="AQ12" s="219"/>
      <c r="AR12" s="219"/>
      <c r="AS12" s="219"/>
      <c r="AT12" s="219"/>
      <c r="AU12" s="219"/>
      <c r="AV12" s="219"/>
      <c r="AW12" s="219"/>
      <c r="AX12" s="219"/>
      <c r="AY12" s="219"/>
      <c r="AZ12" s="219"/>
      <c r="BA12" s="219"/>
      <c r="BB12" s="219"/>
      <c r="BC12" s="219"/>
      <c r="BD12" s="219"/>
      <c r="BE12" s="219"/>
      <c r="BF12" s="219"/>
      <c r="BG12" s="219"/>
      <c r="BH12" s="219"/>
      <c r="BI12" s="219"/>
      <c r="BJ12" s="219"/>
      <c r="BK12" s="219"/>
      <c r="BL12" s="219"/>
      <c r="BM12" s="219"/>
      <c r="BN12" s="219"/>
      <c r="BO12" s="219"/>
      <c r="BP12" s="219"/>
      <c r="BQ12" s="219"/>
      <c r="BR12" s="219"/>
      <c r="BS12" s="219"/>
      <c r="BT12" s="219"/>
      <c r="BU12" s="219"/>
      <c r="BV12" s="219"/>
      <c r="BW12" s="219"/>
      <c r="BX12" s="219"/>
      <c r="BY12" s="219"/>
      <c r="BZ12" s="219"/>
      <c r="CA12" s="219"/>
      <c r="CB12" s="219"/>
      <c r="CC12" s="219"/>
      <c r="CD12" s="219"/>
      <c r="CE12" s="219"/>
      <c r="CF12" s="219"/>
      <c r="CG12" s="219"/>
      <c r="CH12" s="219"/>
      <c r="CI12" s="219"/>
      <c r="CJ12" s="219"/>
      <c r="CK12" s="219"/>
      <c r="CL12" s="219"/>
      <c r="CM12" s="219"/>
      <c r="CN12" s="219"/>
      <c r="CO12" s="219"/>
      <c r="CP12" s="219"/>
      <c r="CQ12" s="219"/>
      <c r="CR12" s="219"/>
      <c r="CS12" s="219"/>
      <c r="CT12" s="219"/>
      <c r="CU12" s="219"/>
      <c r="CV12" s="219"/>
      <c r="CW12" s="219"/>
      <c r="CX12" s="219"/>
      <c r="CY12" s="219"/>
      <c r="CZ12" s="219"/>
      <c r="DA12" s="219"/>
      <c r="DB12" s="219"/>
      <c r="DC12" s="219"/>
      <c r="DD12" s="219"/>
      <c r="DE12" s="219"/>
      <c r="DF12" s="219"/>
      <c r="DG12" s="219"/>
      <c r="DH12" s="219"/>
      <c r="DI12" s="219"/>
      <c r="DJ12" s="219"/>
      <c r="DK12" s="219"/>
      <c r="DL12" s="219"/>
      <c r="DM12" s="219"/>
      <c r="DN12" s="219"/>
      <c r="DO12" s="219"/>
      <c r="DP12" s="219"/>
      <c r="DQ12" s="219"/>
      <c r="DR12" s="219"/>
      <c r="DS12" s="219"/>
      <c r="DT12" s="219"/>
      <c r="DU12" s="219"/>
      <c r="DV12" s="205"/>
      <c r="DW12" s="205"/>
      <c r="DX12" s="205"/>
      <c r="DY12" s="205"/>
      <c r="DZ12" s="205"/>
      <c r="EA12" s="205"/>
      <c r="EB12" s="205"/>
      <c r="EC12" s="205"/>
      <c r="ED12" s="205"/>
      <c r="EE12" s="205"/>
      <c r="EF12" s="205"/>
      <c r="EG12" s="205"/>
      <c r="EH12" s="205"/>
      <c r="EI12" s="205"/>
      <c r="EJ12" s="205"/>
      <c r="EK12" s="205"/>
      <c r="EL12" s="205"/>
      <c r="EM12" s="205"/>
      <c r="EN12" s="205"/>
      <c r="EO12" s="205"/>
      <c r="EP12" s="205"/>
      <c r="EQ12" s="205"/>
      <c r="ER12" s="205"/>
      <c r="ES12" s="205"/>
      <c r="ET12" s="205"/>
      <c r="EU12" s="205"/>
      <c r="EV12" s="205"/>
      <c r="EW12" s="205"/>
      <c r="EX12" s="205"/>
      <c r="EY12" s="205"/>
      <c r="EZ12" s="205"/>
      <c r="FA12" s="205"/>
      <c r="FB12" s="205"/>
      <c r="FC12" s="205"/>
      <c r="FD12" s="205"/>
      <c r="FE12" s="205"/>
      <c r="FF12" s="205"/>
      <c r="FG12" s="205"/>
      <c r="FH12" s="205"/>
      <c r="FI12" s="205"/>
      <c r="FJ12" s="205"/>
      <c r="FK12" s="205"/>
      <c r="FL12" s="205"/>
      <c r="FM12" s="205"/>
      <c r="FN12" s="205"/>
      <c r="FO12" s="205"/>
      <c r="FP12" s="205"/>
      <c r="FQ12" s="205"/>
      <c r="FR12" s="205"/>
      <c r="FS12" s="205"/>
      <c r="FT12" s="205"/>
      <c r="FU12" s="205"/>
      <c r="FV12" s="205"/>
      <c r="FW12" s="205"/>
      <c r="FX12" s="205"/>
      <c r="FY12" s="205"/>
      <c r="FZ12" s="205"/>
      <c r="GA12" s="205"/>
      <c r="GB12" s="205"/>
      <c r="GC12" s="205"/>
      <c r="GD12" s="205"/>
      <c r="GE12" s="205"/>
      <c r="GF12" s="205"/>
      <c r="GG12" s="205"/>
      <c r="GH12" s="205"/>
      <c r="GI12" s="205"/>
      <c r="GJ12" s="205"/>
      <c r="GK12" s="205"/>
      <c r="GL12" s="205"/>
      <c r="GM12" s="205"/>
      <c r="GN12" s="205"/>
      <c r="GO12" s="205"/>
      <c r="GP12" s="205"/>
      <c r="GQ12" s="205"/>
      <c r="GR12" s="205"/>
      <c r="GS12" s="205"/>
      <c r="GT12" s="205"/>
      <c r="GU12" s="205"/>
      <c r="GV12" s="205"/>
      <c r="GW12" s="205"/>
      <c r="GX12" s="205"/>
      <c r="GY12" s="205"/>
      <c r="GZ12" s="205"/>
      <c r="HA12" s="205"/>
      <c r="HB12" s="205"/>
      <c r="HC12" s="205"/>
      <c r="HD12" s="205"/>
      <c r="HE12" s="205"/>
      <c r="HF12" s="205"/>
      <c r="HG12" s="205"/>
      <c r="HH12" s="205"/>
      <c r="HI12" s="205"/>
      <c r="HJ12" s="205"/>
      <c r="HK12" s="205"/>
      <c r="HL12" s="205"/>
      <c r="HM12" s="205"/>
      <c r="HN12" s="205"/>
      <c r="HO12" s="205"/>
      <c r="HP12" s="205"/>
      <c r="HQ12" s="205"/>
      <c r="HR12" s="205"/>
      <c r="HS12" s="205"/>
      <c r="HT12" s="205"/>
      <c r="HU12" s="205"/>
      <c r="HV12" s="205"/>
      <c r="HW12" s="205"/>
      <c r="HX12" s="205"/>
      <c r="HY12" s="205"/>
      <c r="HZ12" s="205"/>
      <c r="IA12" s="205"/>
      <c r="IB12" s="205"/>
      <c r="IC12" s="205"/>
      <c r="ID12" s="205"/>
      <c r="IE12" s="205"/>
      <c r="IF12" s="205"/>
      <c r="IG12" s="205"/>
      <c r="IH12" s="205"/>
      <c r="II12" s="205"/>
      <c r="IJ12" s="205"/>
      <c r="IK12" s="205"/>
      <c r="IL12" s="205"/>
      <c r="IM12" s="205"/>
      <c r="IN12" s="205"/>
      <c r="IO12" s="205"/>
      <c r="IP12" s="205"/>
      <c r="IQ12" s="205"/>
      <c r="IR12" s="205"/>
      <c r="IS12" s="205"/>
      <c r="IT12" s="205"/>
      <c r="IU12" s="205"/>
      <c r="IV12" s="205"/>
      <c r="IW12" s="205"/>
      <c r="IX12" s="205"/>
      <c r="IY12" s="205"/>
      <c r="IZ12" s="205"/>
      <c r="JA12" s="205"/>
      <c r="JB12" s="205"/>
      <c r="JC12" s="205"/>
      <c r="JD12" s="205"/>
      <c r="JE12" s="205"/>
      <c r="JF12" s="205"/>
      <c r="JG12" s="205"/>
      <c r="JH12" s="205"/>
      <c r="JI12" s="205"/>
      <c r="JJ12" s="205"/>
      <c r="JK12" s="205"/>
      <c r="JL12" s="205"/>
      <c r="JM12" s="205"/>
      <c r="JN12" s="205"/>
      <c r="JO12" s="205"/>
      <c r="JP12" s="205"/>
      <c r="JQ12" s="205"/>
      <c r="JR12" s="205"/>
      <c r="JS12" s="205"/>
      <c r="JT12" s="205"/>
      <c r="JU12" s="205"/>
      <c r="JV12" s="205"/>
      <c r="JW12" s="205"/>
      <c r="JX12" s="205"/>
      <c r="JY12" s="205"/>
      <c r="JZ12" s="205"/>
      <c r="KA12" s="205"/>
      <c r="KB12" s="205"/>
      <c r="KC12" s="205"/>
      <c r="KD12" s="205"/>
      <c r="KE12" s="205"/>
      <c r="KF12" s="205"/>
      <c r="KG12" s="205"/>
      <c r="KH12" s="205"/>
      <c r="KI12" s="205"/>
      <c r="KJ12" s="205"/>
      <c r="KK12" s="205"/>
      <c r="KL12" s="205"/>
      <c r="KM12" s="205"/>
      <c r="KN12" s="205"/>
      <c r="KO12" s="205"/>
      <c r="KP12" s="205"/>
      <c r="KQ12" s="205"/>
      <c r="KR12" s="205"/>
      <c r="KS12" s="205"/>
      <c r="KT12" s="205"/>
      <c r="KU12" s="205"/>
      <c r="KV12" s="205"/>
      <c r="KW12" s="205"/>
      <c r="KX12" s="205"/>
      <c r="KY12" s="205"/>
      <c r="KZ12" s="205"/>
      <c r="LA12" s="205"/>
      <c r="LB12" s="205"/>
      <c r="LC12" s="205"/>
      <c r="LD12" s="205"/>
      <c r="LE12" s="205"/>
      <c r="LF12" s="205"/>
      <c r="LG12" s="205"/>
      <c r="LH12" s="205"/>
      <c r="LI12" s="205"/>
      <c r="LJ12" s="205"/>
      <c r="LK12" s="205"/>
      <c r="LL12" s="205"/>
      <c r="LM12" s="205"/>
      <c r="LN12" s="205"/>
      <c r="LO12" s="205"/>
      <c r="LP12" s="205"/>
      <c r="LQ12" s="205"/>
      <c r="LR12" s="205"/>
      <c r="LS12" s="205"/>
      <c r="LT12" s="205"/>
      <c r="LU12" s="205"/>
      <c r="LV12" s="205"/>
      <c r="LW12" s="205"/>
      <c r="LX12" s="205"/>
      <c r="LY12" s="205"/>
      <c r="LZ12" s="205"/>
      <c r="MA12" s="205"/>
      <c r="MB12" s="205"/>
      <c r="MC12" s="205"/>
      <c r="MD12" s="205"/>
      <c r="ME12" s="205"/>
      <c r="MF12" s="205"/>
      <c r="MG12" s="205"/>
      <c r="MH12" s="205"/>
      <c r="MI12" s="205"/>
      <c r="MJ12" s="205"/>
      <c r="MK12" s="205"/>
      <c r="ML12" s="205"/>
      <c r="MM12" s="205"/>
      <c r="MN12" s="205"/>
      <c r="MO12" s="205"/>
      <c r="MP12" s="205"/>
      <c r="MQ12" s="205"/>
      <c r="MR12" s="205"/>
      <c r="MS12" s="205"/>
      <c r="MT12" s="205"/>
      <c r="MU12" s="205"/>
      <c r="MV12" s="205"/>
      <c r="MW12" s="205"/>
      <c r="MX12" s="205"/>
      <c r="MY12" s="205"/>
      <c r="MZ12" s="205"/>
      <c r="NA12" s="205"/>
      <c r="NB12" s="205"/>
      <c r="NC12" s="205"/>
      <c r="ND12" s="205"/>
      <c r="NE12" s="205"/>
      <c r="NF12" s="205"/>
      <c r="NG12" s="205"/>
      <c r="NH12" s="205"/>
      <c r="NI12" s="205"/>
      <c r="NJ12" s="205"/>
      <c r="NK12" s="205"/>
      <c r="NL12" s="205"/>
      <c r="NM12" s="205"/>
      <c r="NN12" s="205"/>
      <c r="NO12" s="205"/>
      <c r="NP12" s="205"/>
      <c r="NQ12" s="205"/>
      <c r="NR12" s="205"/>
      <c r="NS12" s="205"/>
      <c r="NT12" s="205"/>
      <c r="NU12" s="205"/>
      <c r="NV12" s="205"/>
      <c r="NW12" s="205"/>
      <c r="NX12" s="205"/>
      <c r="NY12" s="205"/>
      <c r="NZ12" s="205"/>
      <c r="OA12" s="205"/>
      <c r="OB12" s="205"/>
      <c r="OC12" s="205"/>
      <c r="OD12" s="205"/>
      <c r="OE12" s="205"/>
      <c r="OF12" s="205"/>
      <c r="OG12" s="205"/>
      <c r="OH12" s="205"/>
      <c r="OI12" s="205"/>
      <c r="OJ12" s="205"/>
      <c r="OK12" s="205"/>
      <c r="OL12" s="205"/>
      <c r="OM12" s="205"/>
      <c r="ON12" s="205"/>
      <c r="OO12" s="205"/>
      <c r="OP12" s="205"/>
      <c r="OQ12" s="205"/>
      <c r="OR12" s="205"/>
      <c r="OS12" s="205"/>
      <c r="OT12" s="205"/>
      <c r="OU12" s="205"/>
      <c r="OV12" s="205"/>
      <c r="OW12" s="205"/>
      <c r="OX12" s="205"/>
      <c r="OY12" s="205"/>
      <c r="OZ12" s="205"/>
      <c r="PA12" s="205"/>
      <c r="PB12" s="205"/>
      <c r="PC12" s="205"/>
      <c r="PD12" s="205"/>
      <c r="PE12" s="205"/>
      <c r="PF12" s="205"/>
      <c r="PG12" s="205"/>
      <c r="PH12" s="205"/>
      <c r="PI12" s="205"/>
      <c r="PJ12" s="205"/>
      <c r="PK12" s="205"/>
      <c r="PL12" s="205"/>
      <c r="PM12" s="205"/>
      <c r="PN12" s="205"/>
      <c r="PO12" s="205"/>
      <c r="PP12" s="205"/>
      <c r="PQ12" s="205"/>
      <c r="PR12" s="205"/>
      <c r="PS12" s="205"/>
      <c r="PT12" s="205"/>
      <c r="PU12" s="205"/>
      <c r="PV12" s="205"/>
      <c r="PW12" s="205"/>
      <c r="PX12" s="205"/>
      <c r="PY12" s="205"/>
      <c r="PZ12" s="205"/>
      <c r="QA12" s="205"/>
      <c r="QB12" s="205"/>
      <c r="QC12" s="205"/>
      <c r="QD12" s="205"/>
      <c r="QE12" s="205"/>
      <c r="QF12" s="205"/>
      <c r="QG12" s="205"/>
      <c r="QH12" s="205"/>
      <c r="QI12" s="205"/>
      <c r="QJ12" s="205"/>
      <c r="QK12" s="205"/>
      <c r="QL12" s="205"/>
      <c r="QM12" s="205"/>
      <c r="QN12" s="205"/>
      <c r="QO12" s="205"/>
      <c r="QP12" s="205"/>
      <c r="QQ12" s="205"/>
      <c r="QR12" s="205"/>
      <c r="QS12" s="205"/>
      <c r="QT12" s="205"/>
      <c r="QU12" s="205"/>
      <c r="QV12" s="205"/>
      <c r="QW12" s="205"/>
      <c r="QX12" s="205"/>
      <c r="QY12" s="205"/>
      <c r="QZ12" s="205"/>
      <c r="RA12" s="205"/>
      <c r="RB12" s="205"/>
      <c r="RC12" s="205"/>
      <c r="RD12" s="205"/>
      <c r="RE12" s="205"/>
      <c r="RF12" s="205"/>
      <c r="RG12" s="205"/>
      <c r="RH12" s="205"/>
      <c r="RI12" s="205"/>
      <c r="RJ12" s="205"/>
      <c r="RK12" s="205"/>
      <c r="RL12" s="205"/>
      <c r="RM12" s="205"/>
      <c r="RN12" s="205"/>
      <c r="RO12" s="205"/>
      <c r="RP12" s="205"/>
      <c r="RQ12" s="205"/>
      <c r="RR12" s="205"/>
      <c r="RS12" s="205"/>
      <c r="RT12" s="205"/>
      <c r="RU12" s="205"/>
      <c r="RV12" s="205"/>
      <c r="RW12" s="205"/>
      <c r="RX12" s="205"/>
      <c r="RY12" s="205"/>
      <c r="RZ12" s="205"/>
      <c r="SA12" s="205"/>
      <c r="SB12" s="205"/>
      <c r="SC12" s="205"/>
      <c r="SD12" s="205"/>
      <c r="SE12" s="205"/>
      <c r="SF12" s="205"/>
      <c r="SG12" s="205"/>
      <c r="SH12" s="205"/>
      <c r="SI12" s="205"/>
      <c r="SJ12" s="205"/>
      <c r="SK12" s="205"/>
      <c r="SL12" s="205"/>
      <c r="SM12" s="205"/>
      <c r="SN12" s="205"/>
      <c r="SO12" s="205"/>
      <c r="SP12" s="205"/>
      <c r="SQ12" s="205"/>
      <c r="SR12" s="205"/>
      <c r="SS12" s="205"/>
      <c r="ST12" s="205"/>
      <c r="SU12" s="205"/>
      <c r="SV12" s="205"/>
      <c r="SW12" s="205"/>
      <c r="SX12" s="205"/>
      <c r="SY12" s="205"/>
      <c r="SZ12" s="205"/>
      <c r="TA12" s="205"/>
      <c r="TB12" s="205"/>
      <c r="TC12" s="205"/>
      <c r="TD12" s="205"/>
      <c r="TE12" s="205"/>
      <c r="TF12" s="205"/>
      <c r="TG12" s="205"/>
      <c r="TH12" s="205"/>
      <c r="TI12" s="205"/>
      <c r="TJ12" s="205"/>
      <c r="TK12" s="205"/>
      <c r="TL12" s="205"/>
      <c r="TM12" s="205"/>
      <c r="TN12" s="205"/>
      <c r="TO12" s="205"/>
      <c r="TP12" s="205"/>
      <c r="TQ12" s="205"/>
      <c r="TR12" s="205"/>
      <c r="TS12" s="205"/>
      <c r="TT12" s="205"/>
      <c r="TU12" s="205"/>
      <c r="TV12" s="205"/>
      <c r="TW12" s="205"/>
      <c r="TX12" s="205"/>
      <c r="TY12" s="205"/>
      <c r="TZ12" s="205"/>
      <c r="UA12" s="205"/>
      <c r="UB12" s="205"/>
      <c r="UC12" s="205"/>
      <c r="UD12" s="205"/>
      <c r="UE12" s="205"/>
      <c r="UF12" s="205"/>
      <c r="UG12" s="205"/>
      <c r="UH12" s="205"/>
      <c r="UI12" s="205"/>
      <c r="UJ12" s="205"/>
      <c r="UK12" s="205"/>
      <c r="UL12" s="205"/>
      <c r="UM12" s="205"/>
      <c r="UN12" s="205"/>
      <c r="UO12" s="205"/>
      <c r="UP12" s="205"/>
      <c r="UQ12" s="205"/>
      <c r="UR12" s="205"/>
      <c r="US12" s="205"/>
      <c r="UT12" s="205"/>
      <c r="UU12" s="205"/>
      <c r="UV12" s="205"/>
      <c r="UW12" s="205"/>
      <c r="UX12" s="205"/>
      <c r="UY12" s="205"/>
      <c r="UZ12" s="205"/>
      <c r="VA12" s="205"/>
      <c r="VB12" s="205"/>
      <c r="VC12" s="205"/>
      <c r="VD12" s="205"/>
      <c r="VE12" s="205"/>
      <c r="VF12" s="205"/>
      <c r="VG12" s="205"/>
      <c r="VH12" s="205"/>
      <c r="VI12" s="205"/>
      <c r="VJ12" s="205"/>
      <c r="VK12" s="205"/>
      <c r="VL12" s="205"/>
      <c r="VM12" s="205"/>
      <c r="VN12" s="205"/>
      <c r="VO12" s="205"/>
      <c r="VP12" s="205"/>
      <c r="VQ12" s="205"/>
      <c r="VR12" s="205"/>
      <c r="VS12" s="205"/>
      <c r="VT12" s="205"/>
      <c r="VU12" s="205"/>
      <c r="VV12" s="205"/>
      <c r="VW12" s="205"/>
      <c r="VX12" s="205"/>
      <c r="VY12" s="205"/>
      <c r="VZ12" s="205"/>
      <c r="WA12" s="205"/>
      <c r="WB12" s="205"/>
      <c r="WC12" s="205"/>
      <c r="WD12" s="205"/>
      <c r="WE12" s="205"/>
      <c r="WF12" s="205"/>
      <c r="WG12" s="205"/>
      <c r="WH12" s="205"/>
      <c r="WI12" s="205"/>
      <c r="WJ12" s="205"/>
      <c r="WK12" s="205"/>
      <c r="WL12" s="205"/>
      <c r="WM12" s="205"/>
      <c r="WN12" s="205"/>
      <c r="WO12" s="205"/>
      <c r="WP12" s="205"/>
      <c r="WQ12" s="205"/>
      <c r="WR12" s="205"/>
      <c r="WS12" s="205"/>
      <c r="WT12" s="205"/>
      <c r="WU12" s="205"/>
      <c r="WV12" s="205"/>
      <c r="WW12" s="205"/>
      <c r="WX12" s="205"/>
      <c r="WY12" s="205"/>
      <c r="WZ12" s="205"/>
      <c r="XA12" s="205"/>
      <c r="XB12" s="205"/>
      <c r="XC12" s="205"/>
      <c r="XD12" s="205"/>
      <c r="XE12" s="205"/>
      <c r="XF12" s="205"/>
      <c r="XG12" s="205"/>
      <c r="XH12" s="205"/>
      <c r="XI12" s="205"/>
      <c r="XJ12" s="205"/>
      <c r="XK12" s="205"/>
      <c r="XL12" s="205"/>
      <c r="XM12" s="205"/>
      <c r="XN12" s="205"/>
      <c r="XO12" s="205"/>
      <c r="XP12" s="205"/>
      <c r="XQ12" s="205"/>
      <c r="XR12" s="205"/>
      <c r="XS12" s="205"/>
      <c r="XT12" s="205"/>
      <c r="XU12" s="205"/>
      <c r="XV12" s="205"/>
      <c r="XW12" s="205"/>
      <c r="XX12" s="205"/>
      <c r="XY12" s="205"/>
      <c r="XZ12" s="205"/>
      <c r="YA12" s="205"/>
      <c r="YB12" s="205"/>
      <c r="YC12" s="205"/>
      <c r="YD12" s="205"/>
      <c r="YE12" s="205"/>
      <c r="YF12" s="205"/>
      <c r="YG12" s="205"/>
      <c r="YH12" s="205"/>
      <c r="YI12" s="205"/>
      <c r="YJ12" s="205"/>
      <c r="YK12" s="205"/>
      <c r="YL12" s="205"/>
      <c r="YM12" s="205"/>
      <c r="YN12" s="205"/>
      <c r="YO12" s="205"/>
      <c r="YP12" s="205"/>
      <c r="YQ12" s="205"/>
      <c r="YR12" s="205"/>
      <c r="YS12" s="205"/>
      <c r="YT12" s="205"/>
      <c r="YU12" s="205"/>
      <c r="YV12" s="205"/>
      <c r="YW12" s="205"/>
      <c r="YX12" s="205"/>
      <c r="YY12" s="205"/>
      <c r="YZ12" s="205"/>
      <c r="ZA12" s="205"/>
      <c r="ZB12" s="205"/>
      <c r="ZC12" s="205"/>
      <c r="ZD12" s="205"/>
      <c r="ZE12" s="205"/>
      <c r="ZF12" s="205"/>
      <c r="ZG12" s="205"/>
      <c r="ZH12" s="205"/>
      <c r="ZI12" s="205"/>
      <c r="ZJ12" s="205"/>
      <c r="ZK12" s="205"/>
      <c r="ZL12" s="205"/>
      <c r="ZM12" s="205"/>
      <c r="ZN12" s="205"/>
      <c r="ZO12" s="205"/>
      <c r="ZP12" s="205"/>
      <c r="ZQ12" s="205"/>
      <c r="ZR12" s="205"/>
      <c r="ZS12" s="205"/>
      <c r="ZT12" s="205"/>
      <c r="ZU12" s="205"/>
      <c r="ZV12" s="205"/>
      <c r="ZW12" s="205"/>
      <c r="ZX12" s="205"/>
      <c r="ZY12" s="205"/>
      <c r="ZZ12" s="205"/>
      <c r="AAA12" s="205"/>
      <c r="AAB12" s="205"/>
      <c r="AAC12" s="205"/>
      <c r="AAD12" s="205"/>
      <c r="AAE12" s="205"/>
      <c r="AAF12" s="205"/>
      <c r="AAG12" s="205"/>
      <c r="AAH12" s="205"/>
      <c r="AAI12" s="205"/>
      <c r="AAJ12" s="205"/>
      <c r="AAK12" s="205"/>
      <c r="AAL12" s="205"/>
      <c r="AAM12" s="205"/>
      <c r="AAN12" s="205"/>
      <c r="AAO12" s="205"/>
      <c r="AAP12" s="205"/>
      <c r="AAQ12" s="205"/>
      <c r="AAR12" s="205"/>
      <c r="AAS12" s="205"/>
      <c r="AAT12" s="205"/>
      <c r="AAU12" s="205"/>
      <c r="AAV12" s="205"/>
      <c r="AAW12" s="205"/>
      <c r="AAX12" s="205"/>
      <c r="AAY12" s="205"/>
      <c r="AAZ12" s="205"/>
      <c r="ABA12" s="205"/>
      <c r="ABB12" s="205"/>
      <c r="ABC12" s="205"/>
      <c r="ABD12" s="205"/>
      <c r="ABE12" s="205"/>
      <c r="ABF12" s="205"/>
      <c r="ABG12" s="205"/>
      <c r="ABH12" s="205"/>
      <c r="ABI12" s="205"/>
      <c r="ABJ12" s="205"/>
      <c r="ABK12" s="205"/>
      <c r="ABL12" s="205"/>
      <c r="ABM12" s="205"/>
      <c r="ABN12" s="205"/>
      <c r="ABO12" s="205"/>
      <c r="ABP12" s="205"/>
      <c r="ABQ12" s="205"/>
      <c r="ABR12" s="205"/>
      <c r="ABS12" s="205"/>
      <c r="ABT12" s="205"/>
      <c r="ABU12" s="205"/>
      <c r="ABV12" s="205"/>
      <c r="ABW12" s="205"/>
      <c r="ABX12" s="205"/>
      <c r="ABY12" s="205"/>
      <c r="ABZ12" s="205"/>
      <c r="ACA12" s="205"/>
      <c r="ACB12" s="205"/>
      <c r="ACC12" s="205"/>
      <c r="ACD12" s="205"/>
      <c r="ACE12" s="205"/>
      <c r="ACF12" s="205"/>
      <c r="ACG12" s="205"/>
      <c r="ACH12" s="205"/>
      <c r="ACI12" s="205"/>
      <c r="ACJ12" s="205"/>
      <c r="ACK12" s="205"/>
      <c r="ACL12" s="205"/>
      <c r="ACM12" s="205"/>
      <c r="ACN12" s="205"/>
      <c r="ACO12" s="205"/>
      <c r="ACP12" s="205"/>
      <c r="ACQ12" s="205"/>
      <c r="ACR12" s="205"/>
      <c r="ACS12" s="205"/>
      <c r="ACT12" s="205"/>
      <c r="ACU12" s="205"/>
      <c r="ACV12" s="205"/>
      <c r="ACW12" s="205"/>
      <c r="ACX12" s="205"/>
      <c r="ACY12" s="205"/>
      <c r="ACZ12" s="205"/>
      <c r="ADA12" s="205"/>
      <c r="ADB12" s="205"/>
      <c r="ADC12" s="205"/>
      <c r="ADD12" s="205"/>
      <c r="ADE12" s="205"/>
      <c r="ADF12" s="205"/>
      <c r="ADG12" s="205"/>
      <c r="ADH12" s="205"/>
      <c r="ADI12" s="205"/>
      <c r="ADJ12" s="205"/>
      <c r="ADK12" s="205"/>
      <c r="ADL12" s="205"/>
      <c r="ADM12" s="205"/>
      <c r="ADN12" s="205"/>
      <c r="ADO12" s="205"/>
      <c r="ADP12" s="205"/>
      <c r="ADQ12" s="205"/>
      <c r="ADR12" s="205"/>
      <c r="ADS12" s="205"/>
      <c r="ADT12" s="205"/>
      <c r="ADU12" s="205"/>
      <c r="ADV12" s="205"/>
      <c r="ADW12" s="205"/>
      <c r="ADX12" s="205"/>
      <c r="ADY12" s="205"/>
      <c r="ADZ12" s="205"/>
      <c r="AEA12" s="205"/>
      <c r="AEB12" s="205"/>
      <c r="AEC12" s="205"/>
      <c r="AED12" s="205"/>
      <c r="AEE12" s="205"/>
      <c r="AEF12" s="205"/>
      <c r="AEG12" s="205"/>
      <c r="AEH12" s="205"/>
      <c r="AEI12" s="205"/>
      <c r="AEJ12" s="205"/>
      <c r="AEK12" s="205"/>
      <c r="AEL12" s="205"/>
      <c r="AEM12" s="205"/>
      <c r="AEN12" s="205"/>
      <c r="AEO12" s="205"/>
      <c r="AEP12" s="205"/>
      <c r="AEQ12" s="205"/>
      <c r="AER12" s="205"/>
      <c r="AES12" s="205"/>
      <c r="AET12" s="205"/>
      <c r="AEU12" s="205"/>
      <c r="AEV12" s="205"/>
      <c r="AEW12" s="205"/>
      <c r="AEX12" s="205"/>
      <c r="AEY12" s="205"/>
      <c r="AEZ12" s="205"/>
      <c r="AFA12" s="205"/>
      <c r="AFB12" s="205"/>
      <c r="AFC12" s="205"/>
      <c r="AFD12" s="205"/>
      <c r="AFE12" s="205"/>
      <c r="AFF12" s="205"/>
      <c r="AFG12" s="205"/>
      <c r="AFH12" s="205"/>
      <c r="AFI12" s="205"/>
      <c r="AFJ12" s="205"/>
      <c r="AFK12" s="205"/>
      <c r="AFL12" s="205"/>
      <c r="AFM12" s="205"/>
      <c r="AFN12" s="205"/>
      <c r="AFO12" s="205"/>
      <c r="AFP12" s="205"/>
      <c r="AFQ12" s="205"/>
      <c r="AFR12" s="205"/>
      <c r="AFS12" s="205"/>
      <c r="AFT12" s="205"/>
      <c r="AFU12" s="205"/>
      <c r="AFV12" s="205"/>
      <c r="AFW12" s="205"/>
      <c r="AFX12" s="205"/>
      <c r="AFY12" s="205"/>
      <c r="AFZ12" s="205"/>
      <c r="AGA12" s="205"/>
      <c r="AGB12" s="205"/>
      <c r="AGC12" s="205"/>
      <c r="AGD12" s="205"/>
      <c r="AGE12" s="205"/>
      <c r="AGF12" s="205"/>
      <c r="AGG12" s="205"/>
      <c r="AGH12" s="205"/>
      <c r="AGI12" s="205"/>
      <c r="AGJ12" s="205"/>
      <c r="AGK12" s="205"/>
      <c r="AGL12" s="205"/>
      <c r="AGM12" s="205"/>
      <c r="AGN12" s="205"/>
      <c r="AGO12" s="205"/>
      <c r="AGP12" s="205"/>
      <c r="AGQ12" s="205"/>
      <c r="AGR12" s="205"/>
      <c r="AGS12" s="205"/>
      <c r="AGT12" s="205"/>
      <c r="AGU12" s="205"/>
      <c r="AGV12" s="205"/>
      <c r="AGW12" s="205"/>
      <c r="AGX12" s="205"/>
      <c r="AGY12" s="205"/>
      <c r="AGZ12" s="205"/>
      <c r="AHA12" s="205"/>
      <c r="AHB12" s="205"/>
      <c r="AHC12" s="205"/>
      <c r="AHD12" s="205"/>
      <c r="AHE12" s="205"/>
      <c r="AHF12" s="205"/>
      <c r="AHG12" s="205"/>
      <c r="AHH12" s="205"/>
      <c r="AHI12" s="205"/>
      <c r="AHJ12" s="205"/>
      <c r="AHK12" s="205"/>
      <c r="AHL12" s="205"/>
      <c r="AHM12" s="205"/>
      <c r="AHN12" s="205"/>
      <c r="AHO12" s="205"/>
      <c r="AHP12" s="205"/>
      <c r="AHQ12" s="205"/>
      <c r="AHR12" s="205"/>
      <c r="AHS12" s="205"/>
      <c r="AHT12" s="205"/>
      <c r="AHU12" s="205"/>
      <c r="AHV12" s="205"/>
      <c r="AHW12" s="205"/>
      <c r="AHX12" s="205"/>
      <c r="AHY12" s="205"/>
      <c r="AHZ12" s="205"/>
      <c r="AIA12" s="205"/>
      <c r="AIB12" s="205"/>
      <c r="AIC12" s="205"/>
      <c r="AID12" s="205"/>
      <c r="AIE12" s="205"/>
      <c r="AIF12" s="205"/>
      <c r="AIG12" s="205"/>
      <c r="AIH12" s="205"/>
      <c r="AII12" s="205"/>
      <c r="AIJ12" s="205"/>
      <c r="AIK12" s="205"/>
      <c r="AIL12" s="205"/>
      <c r="AIM12" s="205"/>
      <c r="AIN12" s="205"/>
      <c r="AIO12" s="205"/>
      <c r="AIP12" s="205"/>
      <c r="AIQ12" s="205"/>
      <c r="AIR12" s="205"/>
      <c r="AIS12" s="205"/>
      <c r="AIT12" s="205"/>
      <c r="AIU12" s="205"/>
      <c r="AIV12" s="205"/>
      <c r="AIW12" s="205"/>
      <c r="AIX12" s="205"/>
      <c r="AIY12" s="205"/>
      <c r="AIZ12" s="205"/>
      <c r="AJA12" s="205"/>
      <c r="AJB12" s="205"/>
      <c r="AJC12" s="205"/>
      <c r="AJD12" s="205"/>
      <c r="AJE12" s="205"/>
      <c r="AJF12" s="205"/>
      <c r="AJG12" s="205"/>
      <c r="AJH12" s="205"/>
      <c r="AJI12" s="205"/>
      <c r="AJJ12" s="205"/>
      <c r="AJK12" s="205"/>
      <c r="AJL12" s="205"/>
      <c r="AJM12" s="205"/>
      <c r="AJN12" s="205"/>
      <c r="AJO12" s="205"/>
      <c r="AJP12" s="205"/>
      <c r="AJQ12" s="205"/>
      <c r="AJR12" s="205"/>
      <c r="AJS12" s="205"/>
      <c r="AJT12" s="205"/>
      <c r="AJU12" s="205"/>
      <c r="AJV12" s="205"/>
      <c r="AJW12" s="205"/>
      <c r="AJX12" s="205"/>
      <c r="AJY12" s="205"/>
      <c r="AJZ12" s="205"/>
      <c r="AKA12" s="205"/>
      <c r="AKB12" s="205"/>
      <c r="AKC12" s="205"/>
      <c r="AKD12" s="205"/>
      <c r="AKE12" s="205"/>
      <c r="AKF12" s="205"/>
      <c r="AKG12" s="205"/>
      <c r="AKH12" s="205"/>
      <c r="AKI12" s="205"/>
      <c r="AKJ12" s="205"/>
      <c r="AKK12" s="205"/>
      <c r="AKL12" s="205"/>
      <c r="AKM12" s="205"/>
      <c r="AKN12" s="205"/>
      <c r="AKO12" s="205"/>
      <c r="AKP12" s="205"/>
      <c r="AKQ12" s="205"/>
      <c r="AKR12" s="205"/>
      <c r="AKS12" s="205"/>
      <c r="AKT12" s="205"/>
      <c r="AKU12" s="205"/>
      <c r="AKV12" s="205"/>
      <c r="AKW12" s="205"/>
      <c r="AKX12" s="205"/>
      <c r="AKY12" s="205"/>
      <c r="AKZ12" s="205"/>
      <c r="ALA12" s="205"/>
      <c r="ALB12" s="205"/>
      <c r="ALC12" s="205"/>
      <c r="ALD12" s="205"/>
      <c r="ALE12" s="205"/>
      <c r="ALF12" s="205"/>
      <c r="ALG12" s="205"/>
      <c r="ALH12" s="205"/>
      <c r="ALI12" s="205"/>
      <c r="ALJ12" s="205"/>
      <c r="ALK12" s="205"/>
      <c r="ALL12" s="205"/>
      <c r="ALM12" s="205"/>
      <c r="ALN12" s="205"/>
      <c r="ALO12" s="205"/>
      <c r="ALP12" s="205"/>
      <c r="ALQ12" s="205"/>
      <c r="ALR12" s="205"/>
      <c r="ALS12" s="205"/>
      <c r="ALT12" s="205"/>
      <c r="ALU12" s="205"/>
      <c r="ALV12" s="205"/>
      <c r="ALW12" s="205"/>
      <c r="ALX12" s="205"/>
      <c r="ALY12" s="205"/>
      <c r="ALZ12" s="205"/>
      <c r="AMA12" s="205"/>
      <c r="AMB12" s="205"/>
      <c r="AMC12" s="205"/>
      <c r="AMD12" s="205"/>
      <c r="AME12" s="205"/>
      <c r="AMF12" s="205"/>
      <c r="AMG12" s="205"/>
      <c r="AMH12" s="205"/>
      <c r="AMI12" s="205"/>
      <c r="AMJ12" s="205"/>
      <c r="AMK12" s="205"/>
      <c r="AML12" s="205"/>
      <c r="AMM12" s="205"/>
      <c r="AMN12" s="205"/>
      <c r="AMO12" s="205"/>
      <c r="AMP12" s="205"/>
      <c r="AMQ12" s="205"/>
      <c r="AMR12" s="205"/>
      <c r="AMS12" s="205"/>
      <c r="AMT12" s="205"/>
      <c r="AMU12" s="205"/>
      <c r="AMV12" s="205"/>
      <c r="AMW12" s="205"/>
      <c r="AMX12" s="205"/>
      <c r="AMY12" s="205"/>
      <c r="AMZ12" s="205"/>
      <c r="ANA12" s="205"/>
      <c r="ANB12" s="205"/>
      <c r="ANC12" s="205"/>
      <c r="AND12" s="205"/>
      <c r="ANE12" s="205"/>
      <c r="ANF12" s="205"/>
      <c r="ANG12" s="205"/>
      <c r="ANH12" s="205"/>
      <c r="ANI12" s="205"/>
      <c r="ANJ12" s="205"/>
      <c r="ANK12" s="205"/>
      <c r="ANL12" s="205"/>
      <c r="ANM12" s="205"/>
      <c r="ANN12" s="205"/>
      <c r="ANO12" s="205"/>
      <c r="ANP12" s="205"/>
      <c r="ANQ12" s="205"/>
      <c r="ANR12" s="205"/>
      <c r="ANS12" s="205"/>
      <c r="ANT12" s="205"/>
      <c r="ANU12" s="205"/>
      <c r="ANV12" s="205"/>
      <c r="ANW12" s="205"/>
      <c r="ANX12" s="205"/>
      <c r="ANY12" s="205"/>
      <c r="ANZ12" s="205"/>
      <c r="AOA12" s="205"/>
      <c r="AOB12" s="205"/>
      <c r="AOC12" s="205"/>
      <c r="AOD12" s="205"/>
      <c r="AOE12" s="205"/>
      <c r="AOF12" s="205"/>
      <c r="AOG12" s="205"/>
      <c r="AOH12" s="205"/>
      <c r="AOI12" s="205"/>
      <c r="AOJ12" s="205"/>
      <c r="AOK12" s="205"/>
      <c r="AOL12" s="205"/>
      <c r="AOM12" s="205"/>
      <c r="AON12" s="205"/>
      <c r="AOO12" s="205"/>
      <c r="AOP12" s="205"/>
      <c r="AOQ12" s="205"/>
      <c r="AOR12" s="205"/>
      <c r="AOS12" s="205"/>
      <c r="AOT12" s="205"/>
      <c r="AOU12" s="205"/>
      <c r="AOV12" s="205"/>
      <c r="AOW12" s="205"/>
      <c r="AOX12" s="205"/>
      <c r="AOY12" s="205"/>
      <c r="AOZ12" s="205"/>
      <c r="APA12" s="205"/>
      <c r="APB12" s="205"/>
      <c r="APC12" s="205"/>
      <c r="APD12" s="205"/>
      <c r="APE12" s="205"/>
      <c r="APF12" s="205"/>
      <c r="APG12" s="205"/>
      <c r="APH12" s="205"/>
      <c r="API12" s="205"/>
      <c r="APJ12" s="205"/>
      <c r="APK12" s="205"/>
      <c r="APL12" s="205"/>
      <c r="APM12" s="205"/>
      <c r="APN12" s="205"/>
      <c r="APO12" s="205"/>
      <c r="APP12" s="205"/>
      <c r="APQ12" s="205"/>
      <c r="APR12" s="205"/>
      <c r="APS12" s="205"/>
      <c r="APT12" s="205"/>
      <c r="APU12" s="205"/>
      <c r="APV12" s="205"/>
      <c r="APW12" s="205"/>
      <c r="APX12" s="205"/>
      <c r="APY12" s="205"/>
      <c r="APZ12" s="205"/>
      <c r="AQA12" s="205"/>
      <c r="AQB12" s="205"/>
      <c r="AQC12" s="205"/>
      <c r="AQD12" s="205"/>
      <c r="AQE12" s="205"/>
      <c r="AQF12" s="205"/>
      <c r="AQG12" s="205"/>
      <c r="AQH12" s="205"/>
      <c r="AQI12" s="205"/>
      <c r="AQJ12" s="205"/>
      <c r="AQK12" s="205"/>
      <c r="AQL12" s="205"/>
      <c r="AQM12" s="205"/>
      <c r="AQN12" s="205"/>
      <c r="AQO12" s="205"/>
      <c r="AQP12" s="205"/>
      <c r="AQQ12" s="205"/>
      <c r="AQR12" s="205"/>
      <c r="AQS12" s="205"/>
      <c r="AQT12" s="205"/>
      <c r="AQU12" s="205"/>
      <c r="AQV12" s="205"/>
      <c r="AQW12" s="205"/>
      <c r="AQX12" s="205"/>
      <c r="AQY12" s="205"/>
      <c r="AQZ12" s="205"/>
      <c r="ARA12" s="205"/>
      <c r="ARB12" s="205"/>
      <c r="ARC12" s="205"/>
      <c r="ARD12" s="205"/>
      <c r="ARE12" s="205"/>
      <c r="ARF12" s="205"/>
      <c r="ARG12" s="205"/>
      <c r="ARH12" s="205"/>
      <c r="ARI12" s="205"/>
      <c r="ARJ12" s="205"/>
      <c r="ARK12" s="205"/>
      <c r="ARL12" s="205"/>
      <c r="ARM12" s="205"/>
      <c r="ARN12" s="205"/>
      <c r="ARO12" s="205"/>
      <c r="ARP12" s="205"/>
      <c r="ARQ12" s="205"/>
      <c r="ARR12" s="205"/>
      <c r="ARS12" s="205"/>
      <c r="ART12" s="205"/>
      <c r="ARU12" s="205"/>
      <c r="ARV12" s="205"/>
      <c r="ARW12" s="205"/>
      <c r="ARX12" s="205"/>
      <c r="ARY12" s="205"/>
      <c r="ARZ12" s="205"/>
      <c r="ASA12" s="205"/>
      <c r="ASB12" s="205"/>
      <c r="ASC12" s="205"/>
      <c r="ASD12" s="205"/>
      <c r="ASE12" s="205"/>
      <c r="ASF12" s="205"/>
      <c r="ASG12" s="205"/>
      <c r="ASH12" s="205"/>
      <c r="ASI12" s="205"/>
      <c r="ASJ12" s="205"/>
      <c r="ASK12" s="205"/>
      <c r="ASL12" s="205"/>
      <c r="ASM12" s="205"/>
      <c r="ASN12" s="205"/>
      <c r="ASO12" s="205"/>
      <c r="ASP12" s="205"/>
      <c r="ASQ12" s="205"/>
      <c r="ASR12" s="205"/>
      <c r="ASS12" s="205"/>
      <c r="AST12" s="205"/>
      <c r="ASU12" s="205"/>
      <c r="ASV12" s="205"/>
      <c r="ASW12" s="205"/>
      <c r="ASX12" s="205"/>
      <c r="ASY12" s="205"/>
      <c r="ASZ12" s="205"/>
      <c r="ATA12" s="205"/>
      <c r="ATB12" s="205"/>
      <c r="ATC12" s="205"/>
      <c r="ATD12" s="205"/>
      <c r="ATE12" s="205"/>
      <c r="ATF12" s="205"/>
      <c r="ATG12" s="205"/>
      <c r="ATH12" s="205"/>
      <c r="ATI12" s="205"/>
      <c r="ATJ12" s="205"/>
      <c r="ATK12" s="205"/>
      <c r="ATL12" s="205"/>
      <c r="ATM12" s="205"/>
      <c r="ATN12" s="205"/>
      <c r="ATO12" s="205"/>
      <c r="ATP12" s="205"/>
      <c r="ATQ12" s="205"/>
      <c r="ATR12" s="205"/>
      <c r="ATS12" s="205"/>
      <c r="ATT12" s="205"/>
      <c r="ATU12" s="205"/>
      <c r="ATV12" s="205"/>
      <c r="ATW12" s="205"/>
      <c r="ATX12" s="205"/>
      <c r="ATY12" s="205"/>
      <c r="ATZ12" s="205"/>
      <c r="AUA12" s="205"/>
      <c r="AUB12" s="205"/>
      <c r="AUC12" s="205"/>
      <c r="AUD12" s="205"/>
      <c r="AUE12" s="205"/>
      <c r="AUF12" s="205"/>
      <c r="AUG12" s="205"/>
      <c r="AUH12" s="205"/>
      <c r="AUI12" s="205"/>
      <c r="AUJ12" s="205"/>
      <c r="AUK12" s="205"/>
      <c r="AUL12" s="205"/>
      <c r="AUM12" s="205"/>
      <c r="AUN12" s="205"/>
      <c r="AUO12" s="205"/>
      <c r="AUP12" s="205"/>
      <c r="AUQ12" s="205"/>
      <c r="AUR12" s="205"/>
      <c r="AUS12" s="205"/>
      <c r="AUT12" s="205"/>
      <c r="AUU12" s="205"/>
      <c r="AUV12" s="205"/>
      <c r="AUW12" s="205"/>
      <c r="AUX12" s="205"/>
      <c r="AUY12" s="205"/>
      <c r="AUZ12" s="205"/>
      <c r="AVA12" s="205"/>
      <c r="AVB12" s="205"/>
      <c r="AVC12" s="205"/>
      <c r="AVD12" s="205"/>
      <c r="AVE12" s="205"/>
      <c r="AVF12" s="205"/>
      <c r="AVG12" s="205"/>
      <c r="AVH12" s="205"/>
      <c r="AVI12" s="205"/>
      <c r="AVJ12" s="205"/>
      <c r="AVK12" s="205"/>
      <c r="AVL12" s="205"/>
      <c r="AVM12" s="205"/>
      <c r="AVN12" s="205"/>
      <c r="AVO12" s="205"/>
      <c r="AVP12" s="205"/>
      <c r="AVQ12" s="205"/>
      <c r="AVR12" s="205"/>
      <c r="AVS12" s="205"/>
      <c r="AVT12" s="205"/>
      <c r="AVU12" s="205"/>
      <c r="AVV12" s="205"/>
      <c r="AVW12" s="205"/>
      <c r="AVX12" s="205"/>
      <c r="AVY12" s="205"/>
      <c r="AVZ12" s="205"/>
      <c r="AWA12" s="205"/>
      <c r="AWB12" s="205"/>
      <c r="AWC12" s="205"/>
      <c r="AWD12" s="205"/>
      <c r="AWE12" s="205"/>
      <c r="AWF12" s="205"/>
      <c r="AWG12" s="205"/>
      <c r="AWH12" s="205"/>
      <c r="AWI12" s="205"/>
      <c r="AWJ12" s="205"/>
      <c r="AWK12" s="205"/>
      <c r="AWL12" s="205"/>
      <c r="AWM12" s="205"/>
      <c r="AWN12" s="205"/>
      <c r="AWO12" s="205"/>
      <c r="AWP12" s="205"/>
      <c r="AWQ12" s="205"/>
      <c r="AWR12" s="205"/>
      <c r="AWS12" s="205"/>
      <c r="AWT12" s="205"/>
      <c r="AWU12" s="205"/>
      <c r="AWV12" s="205"/>
      <c r="AWW12" s="205"/>
      <c r="AWX12" s="205"/>
      <c r="AWY12" s="205"/>
      <c r="AWZ12" s="205"/>
      <c r="AXA12" s="205"/>
      <c r="AXB12" s="205"/>
      <c r="AXC12" s="205"/>
      <c r="AXD12" s="205"/>
      <c r="AXE12" s="205"/>
      <c r="AXF12" s="205"/>
      <c r="AXG12" s="205"/>
      <c r="AXH12" s="205"/>
      <c r="AXI12" s="205"/>
      <c r="AXJ12" s="205"/>
      <c r="AXK12" s="205"/>
      <c r="AXL12" s="205"/>
      <c r="AXM12" s="205"/>
      <c r="AXN12" s="205"/>
      <c r="AXO12" s="205"/>
      <c r="AXP12" s="205"/>
      <c r="AXQ12" s="205"/>
      <c r="AXR12" s="205"/>
      <c r="AXS12" s="205"/>
      <c r="AXT12" s="205"/>
      <c r="AXU12" s="205"/>
      <c r="AXV12" s="205"/>
      <c r="AXW12" s="205"/>
      <c r="AXX12" s="205"/>
      <c r="AXY12" s="205"/>
      <c r="AXZ12" s="205"/>
      <c r="AYA12" s="205"/>
      <c r="AYB12" s="205"/>
      <c r="AYC12" s="205"/>
      <c r="AYD12" s="205"/>
      <c r="AYE12" s="205"/>
      <c r="AYF12" s="205"/>
      <c r="AYG12" s="205"/>
      <c r="AYH12" s="205"/>
      <c r="AYI12" s="205"/>
      <c r="AYJ12" s="205"/>
      <c r="AYK12" s="205"/>
      <c r="AYL12" s="205"/>
      <c r="AYM12" s="205"/>
      <c r="AYN12" s="205"/>
      <c r="AYO12" s="205"/>
      <c r="AYP12" s="205"/>
      <c r="AYQ12" s="205"/>
      <c r="AYR12" s="205"/>
      <c r="AYS12" s="205"/>
      <c r="AYT12" s="205"/>
      <c r="AYU12" s="205"/>
      <c r="AYV12" s="205"/>
      <c r="AYW12" s="205"/>
      <c r="AYX12" s="205"/>
      <c r="AYY12" s="205"/>
      <c r="AYZ12" s="205"/>
      <c r="AZA12" s="205"/>
      <c r="AZB12" s="205"/>
      <c r="AZC12" s="205"/>
      <c r="AZD12" s="205"/>
      <c r="AZE12" s="205"/>
      <c r="AZF12" s="205"/>
      <c r="AZG12" s="205"/>
      <c r="AZH12" s="205"/>
      <c r="AZI12" s="205"/>
      <c r="AZJ12" s="205"/>
      <c r="AZK12" s="205"/>
      <c r="AZL12" s="205"/>
      <c r="AZM12" s="205"/>
      <c r="AZN12" s="205"/>
      <c r="AZO12" s="205"/>
      <c r="AZP12" s="205"/>
      <c r="AZQ12" s="205"/>
      <c r="AZR12" s="205"/>
      <c r="AZS12" s="205"/>
      <c r="AZT12" s="205"/>
      <c r="AZU12" s="205"/>
      <c r="AZV12" s="205"/>
      <c r="AZW12" s="205"/>
      <c r="AZX12" s="205"/>
      <c r="AZY12" s="205"/>
      <c r="AZZ12" s="205"/>
      <c r="BAA12" s="205"/>
      <c r="BAB12" s="205"/>
      <c r="BAC12" s="205"/>
      <c r="BAD12" s="205"/>
      <c r="BAE12" s="205"/>
      <c r="BAF12" s="205"/>
      <c r="BAG12" s="205"/>
      <c r="BAH12" s="205"/>
      <c r="BAI12" s="205"/>
      <c r="BAJ12" s="205"/>
      <c r="BAK12" s="205"/>
      <c r="BAL12" s="205"/>
      <c r="BAM12" s="205"/>
      <c r="BAN12" s="205"/>
      <c r="BAO12" s="205"/>
      <c r="BAP12" s="205"/>
      <c r="BAQ12" s="205"/>
      <c r="BAR12" s="205"/>
      <c r="BAS12" s="205"/>
      <c r="BAT12" s="205"/>
      <c r="BAU12" s="205"/>
      <c r="BAV12" s="205"/>
      <c r="BAW12" s="205"/>
      <c r="BAX12" s="205"/>
      <c r="BAY12" s="205"/>
      <c r="BAZ12" s="205"/>
      <c r="BBA12" s="205"/>
      <c r="BBB12" s="205"/>
      <c r="BBC12" s="205"/>
      <c r="BBD12" s="205"/>
      <c r="BBE12" s="205"/>
      <c r="BBF12" s="205"/>
      <c r="BBG12" s="205"/>
      <c r="BBH12" s="205"/>
      <c r="BBI12" s="205"/>
      <c r="BBJ12" s="205"/>
      <c r="BBK12" s="205"/>
      <c r="BBL12" s="205"/>
      <c r="BBM12" s="205"/>
      <c r="BBN12" s="205"/>
      <c r="BBO12" s="205"/>
      <c r="BBP12" s="205"/>
      <c r="BBQ12" s="205"/>
      <c r="BBR12" s="205"/>
      <c r="BBS12" s="205"/>
      <c r="BBT12" s="205"/>
      <c r="BBU12" s="205"/>
      <c r="BBV12" s="205"/>
      <c r="BBW12" s="205"/>
      <c r="BBX12" s="205"/>
      <c r="BBY12" s="205"/>
      <c r="BBZ12" s="205"/>
      <c r="BCA12" s="205"/>
      <c r="BCB12" s="205"/>
      <c r="BCC12" s="205"/>
      <c r="BCD12" s="205"/>
      <c r="BCE12" s="205"/>
      <c r="BCF12" s="205"/>
      <c r="BCG12" s="205"/>
      <c r="BCH12" s="205"/>
      <c r="BCI12" s="205"/>
      <c r="BCJ12" s="205"/>
      <c r="BCK12" s="205"/>
      <c r="BCL12" s="205"/>
      <c r="BCM12" s="205"/>
      <c r="BCN12" s="205"/>
      <c r="BCO12" s="205"/>
      <c r="BCP12" s="205"/>
      <c r="BCQ12" s="205"/>
      <c r="BCR12" s="205"/>
      <c r="BCS12" s="205"/>
      <c r="BCT12" s="205"/>
      <c r="BCU12" s="205"/>
      <c r="BCV12" s="205"/>
      <c r="BCW12" s="205"/>
      <c r="BCX12" s="205"/>
      <c r="BCY12" s="205"/>
      <c r="BCZ12" s="205"/>
      <c r="BDA12" s="205"/>
      <c r="BDB12" s="205"/>
      <c r="BDC12" s="205"/>
      <c r="BDD12" s="205"/>
      <c r="BDE12" s="205"/>
      <c r="BDF12" s="205"/>
      <c r="BDG12" s="205"/>
      <c r="BDH12" s="205"/>
      <c r="BDI12" s="205"/>
      <c r="BDJ12" s="205"/>
      <c r="BDK12" s="205"/>
      <c r="BDL12" s="205"/>
      <c r="BDM12" s="205"/>
      <c r="BDN12" s="205"/>
      <c r="BDO12" s="205"/>
      <c r="BDP12" s="205"/>
      <c r="BDQ12" s="205"/>
      <c r="BDR12" s="205"/>
      <c r="BDS12" s="205"/>
      <c r="BDT12" s="205"/>
      <c r="BDU12" s="205"/>
      <c r="BDV12" s="205"/>
      <c r="BDW12" s="205"/>
      <c r="BDX12" s="205"/>
      <c r="BDY12" s="205"/>
      <c r="BDZ12" s="205"/>
      <c r="BEA12" s="205"/>
      <c r="BEB12" s="205"/>
      <c r="BEC12" s="205"/>
      <c r="BED12" s="205"/>
      <c r="BEE12" s="205"/>
      <c r="BEF12" s="205"/>
      <c r="BEG12" s="205"/>
      <c r="BEH12" s="205"/>
      <c r="BEI12" s="205"/>
      <c r="BEJ12" s="205"/>
      <c r="BEK12" s="205"/>
      <c r="BEL12" s="205"/>
      <c r="BEM12" s="205"/>
      <c r="BEN12" s="205"/>
      <c r="BEO12" s="205"/>
      <c r="BEP12" s="205"/>
      <c r="BEQ12" s="205"/>
      <c r="BER12" s="205"/>
      <c r="BES12" s="205"/>
      <c r="BET12" s="205"/>
      <c r="BEU12" s="205"/>
      <c r="BEV12" s="205"/>
      <c r="BEW12" s="205"/>
      <c r="BEX12" s="205"/>
      <c r="BEY12" s="205"/>
      <c r="BEZ12" s="205"/>
      <c r="BFA12" s="205"/>
      <c r="BFB12" s="205"/>
      <c r="BFC12" s="205"/>
      <c r="BFD12" s="205"/>
      <c r="BFE12" s="205"/>
      <c r="BFF12" s="205"/>
      <c r="BFG12" s="205"/>
      <c r="BFH12" s="205"/>
      <c r="BFI12" s="205"/>
      <c r="BFJ12" s="205"/>
      <c r="BFK12" s="205"/>
      <c r="BFL12" s="205"/>
      <c r="BFM12" s="205"/>
      <c r="BFN12" s="205"/>
      <c r="BFO12" s="205"/>
      <c r="BFP12" s="205"/>
      <c r="BFQ12" s="205"/>
      <c r="BFR12" s="205"/>
      <c r="BFS12" s="205"/>
      <c r="BFT12" s="205"/>
      <c r="BFU12" s="205"/>
      <c r="BFV12" s="205"/>
      <c r="BFW12" s="205"/>
      <c r="BFX12" s="205"/>
      <c r="BFY12" s="205"/>
      <c r="BFZ12" s="205"/>
      <c r="BGA12" s="205"/>
      <c r="BGB12" s="205"/>
      <c r="BGC12" s="205"/>
      <c r="BGD12" s="205"/>
      <c r="BGE12" s="205"/>
      <c r="BGF12" s="205"/>
      <c r="BGG12" s="205"/>
      <c r="BGH12" s="205"/>
      <c r="BGI12" s="205"/>
      <c r="BGJ12" s="205"/>
      <c r="BGK12" s="205"/>
      <c r="BGL12" s="205"/>
      <c r="BGM12" s="205"/>
      <c r="BGN12" s="205"/>
      <c r="BGO12" s="205"/>
      <c r="BGP12" s="205"/>
      <c r="BGQ12" s="205"/>
      <c r="BGR12" s="205"/>
      <c r="BGS12" s="205"/>
      <c r="BGT12" s="205"/>
      <c r="BGU12" s="205"/>
      <c r="BGV12" s="205"/>
      <c r="BGW12" s="205"/>
      <c r="BGX12" s="205"/>
      <c r="BGY12" s="205"/>
      <c r="BGZ12" s="205"/>
      <c r="BHA12" s="205"/>
      <c r="BHB12" s="205"/>
      <c r="BHC12" s="205"/>
      <c r="BHD12" s="205"/>
      <c r="BHE12" s="205"/>
      <c r="BHF12" s="205"/>
      <c r="BHG12" s="205"/>
      <c r="BHH12" s="205"/>
      <c r="BHI12" s="205"/>
      <c r="BHJ12" s="205"/>
      <c r="BHK12" s="205"/>
      <c r="BHL12" s="205"/>
      <c r="BHM12" s="205"/>
      <c r="BHN12" s="205"/>
      <c r="BHO12" s="205"/>
      <c r="BHP12" s="205"/>
      <c r="BHQ12" s="205"/>
      <c r="BHR12" s="205"/>
      <c r="BHS12" s="205"/>
      <c r="BHT12" s="205"/>
      <c r="BHU12" s="205"/>
      <c r="BHV12" s="205"/>
      <c r="BHW12" s="205"/>
      <c r="BHX12" s="205"/>
      <c r="BHY12" s="205"/>
      <c r="BHZ12" s="205"/>
      <c r="BIA12" s="205"/>
      <c r="BIB12" s="205"/>
      <c r="BIC12" s="205"/>
      <c r="BID12" s="205"/>
      <c r="BIE12" s="205"/>
      <c r="BIF12" s="205"/>
      <c r="BIG12" s="205"/>
      <c r="BIH12" s="205"/>
      <c r="BII12" s="205"/>
      <c r="BIJ12" s="205"/>
      <c r="BIK12" s="205"/>
      <c r="BIL12" s="205"/>
      <c r="BIM12" s="205"/>
      <c r="BIN12" s="205"/>
      <c r="BIO12" s="205"/>
      <c r="BIP12" s="205"/>
      <c r="BIQ12" s="205"/>
      <c r="BIR12" s="205"/>
      <c r="BIS12" s="205"/>
      <c r="BIT12" s="205"/>
      <c r="BIU12" s="205"/>
      <c r="BIV12" s="205"/>
      <c r="BIW12" s="205"/>
      <c r="BIX12" s="205"/>
      <c r="BIY12" s="205"/>
      <c r="BIZ12" s="205"/>
      <c r="BJA12" s="205"/>
      <c r="BJB12" s="205"/>
      <c r="BJC12" s="205"/>
      <c r="BJD12" s="205"/>
      <c r="BJE12" s="205"/>
      <c r="BJF12" s="205"/>
      <c r="BJG12" s="205"/>
      <c r="BJH12" s="205"/>
      <c r="BJI12" s="205"/>
      <c r="BJJ12" s="205"/>
      <c r="BJK12" s="205"/>
      <c r="BJL12" s="205"/>
      <c r="BJM12" s="205"/>
      <c r="BJN12" s="205"/>
      <c r="BJO12" s="205"/>
      <c r="BJP12" s="205"/>
      <c r="BJQ12" s="205"/>
      <c r="BJR12" s="205"/>
      <c r="BJS12" s="205"/>
      <c r="BJT12" s="205"/>
      <c r="BJU12" s="205"/>
      <c r="BJV12" s="205"/>
      <c r="BJW12" s="205"/>
      <c r="BJX12" s="205"/>
      <c r="BJY12" s="205"/>
      <c r="BJZ12" s="205"/>
      <c r="BKA12" s="205"/>
      <c r="BKB12" s="205"/>
      <c r="BKC12" s="205"/>
      <c r="BKD12" s="205"/>
      <c r="BKE12" s="205"/>
      <c r="BKF12" s="205"/>
      <c r="BKG12" s="205"/>
      <c r="BKH12" s="205"/>
      <c r="BKI12" s="205"/>
      <c r="BKJ12" s="205"/>
      <c r="BKK12" s="205"/>
      <c r="BKL12" s="205"/>
      <c r="BKM12" s="205"/>
      <c r="BKN12" s="205"/>
      <c r="BKO12" s="205"/>
      <c r="BKP12" s="205"/>
      <c r="BKQ12" s="205"/>
      <c r="BKR12" s="205"/>
      <c r="BKS12" s="205"/>
      <c r="BKT12" s="205"/>
      <c r="BKU12" s="205"/>
      <c r="BKV12" s="205"/>
      <c r="BKW12" s="205"/>
      <c r="BKX12" s="205"/>
      <c r="BKY12" s="205"/>
      <c r="BKZ12" s="205"/>
      <c r="BLA12" s="205"/>
      <c r="BLB12" s="205"/>
      <c r="BLC12" s="205"/>
      <c r="BLD12" s="205"/>
      <c r="BLE12" s="205"/>
      <c r="BLF12" s="205"/>
      <c r="BLG12" s="205"/>
      <c r="BLH12" s="205"/>
      <c r="BLI12" s="205"/>
      <c r="BLJ12" s="205"/>
      <c r="BLK12" s="205"/>
      <c r="BLL12" s="205"/>
      <c r="BLM12" s="205"/>
      <c r="BLN12" s="205"/>
      <c r="BLO12" s="205"/>
      <c r="BLP12" s="205"/>
      <c r="BLQ12" s="205"/>
      <c r="BLR12" s="205"/>
      <c r="BLS12" s="205"/>
      <c r="BLT12" s="205"/>
      <c r="BLU12" s="205"/>
      <c r="BLV12" s="205"/>
      <c r="BLW12" s="205"/>
      <c r="BLX12" s="205"/>
      <c r="BLY12" s="205"/>
      <c r="BLZ12" s="205"/>
      <c r="BMA12" s="205"/>
      <c r="BMB12" s="205"/>
      <c r="BMC12" s="205"/>
      <c r="BMD12" s="205"/>
      <c r="BME12" s="205"/>
      <c r="BMF12" s="205"/>
      <c r="BMG12" s="205"/>
      <c r="BMH12" s="205"/>
      <c r="BMI12" s="205"/>
      <c r="BMJ12" s="205"/>
      <c r="BMK12" s="205"/>
      <c r="BML12" s="205"/>
      <c r="BMM12" s="205"/>
      <c r="BMN12" s="205"/>
      <c r="BMO12" s="205"/>
      <c r="BMP12" s="205"/>
      <c r="BMQ12" s="205"/>
      <c r="BMR12" s="205"/>
      <c r="BMS12" s="205"/>
      <c r="BMT12" s="205"/>
      <c r="BMU12" s="205"/>
      <c r="BMV12" s="205"/>
      <c r="BMW12" s="205"/>
      <c r="BMX12" s="205"/>
      <c r="BMY12" s="205"/>
      <c r="BMZ12" s="205"/>
      <c r="BNA12" s="205"/>
      <c r="BNB12" s="205"/>
      <c r="BNC12" s="205"/>
      <c r="BND12" s="205"/>
      <c r="BNE12" s="205"/>
      <c r="BNF12" s="205"/>
      <c r="BNG12" s="205"/>
      <c r="BNH12" s="205"/>
      <c r="BNI12" s="205"/>
      <c r="BNJ12" s="205"/>
      <c r="BNK12" s="205"/>
      <c r="BNL12" s="205"/>
      <c r="BNM12" s="205"/>
      <c r="BNN12" s="205"/>
      <c r="BNO12" s="205"/>
      <c r="BNP12" s="205"/>
      <c r="BNQ12" s="205"/>
      <c r="BNR12" s="205"/>
      <c r="BNS12" s="205"/>
      <c r="BNT12" s="205"/>
      <c r="BNU12" s="205"/>
      <c r="BNV12" s="205"/>
      <c r="BNW12" s="205"/>
      <c r="BNX12" s="205"/>
      <c r="BNY12" s="205"/>
      <c r="BNZ12" s="205"/>
      <c r="BOA12" s="205"/>
      <c r="BOB12" s="205"/>
      <c r="BOC12" s="205"/>
      <c r="BOD12" s="205"/>
      <c r="BOE12" s="205"/>
      <c r="BOF12" s="205"/>
      <c r="BOG12" s="205"/>
      <c r="BOH12" s="205"/>
      <c r="BOI12" s="205"/>
      <c r="BOJ12" s="205"/>
      <c r="BOK12" s="205"/>
      <c r="BOL12" s="205"/>
      <c r="BOM12" s="205"/>
      <c r="BON12" s="205"/>
      <c r="BOO12" s="205"/>
      <c r="BOP12" s="205"/>
      <c r="BOQ12" s="205"/>
      <c r="BOR12" s="205"/>
      <c r="BOS12" s="205"/>
      <c r="BOT12" s="205"/>
      <c r="BOU12" s="205"/>
      <c r="BOV12" s="205"/>
      <c r="BOW12" s="205"/>
      <c r="BOX12" s="205"/>
      <c r="BOY12" s="205"/>
      <c r="BOZ12" s="205"/>
      <c r="BPA12" s="205"/>
      <c r="BPB12" s="205"/>
      <c r="BPC12" s="205"/>
      <c r="BPD12" s="205"/>
      <c r="BPE12" s="205"/>
      <c r="BPF12" s="205"/>
      <c r="BPG12" s="205"/>
      <c r="BPH12" s="205"/>
      <c r="BPI12" s="205"/>
      <c r="BPJ12" s="205"/>
      <c r="BPK12" s="205"/>
      <c r="BPL12" s="205"/>
      <c r="BPM12" s="205"/>
      <c r="BPN12" s="205"/>
      <c r="BPO12" s="205"/>
      <c r="BPP12" s="205"/>
      <c r="BPQ12" s="205"/>
      <c r="BPR12" s="205"/>
      <c r="BPS12" s="205"/>
      <c r="BPT12" s="205"/>
      <c r="BPU12" s="205"/>
      <c r="BPV12" s="205"/>
      <c r="BPW12" s="205"/>
      <c r="BPX12" s="205"/>
      <c r="BPY12" s="205"/>
      <c r="BPZ12" s="205"/>
      <c r="BQA12" s="205"/>
      <c r="BQB12" s="205"/>
      <c r="BQC12" s="205"/>
      <c r="BQD12" s="205"/>
      <c r="BQE12" s="205"/>
      <c r="BQF12" s="205"/>
      <c r="BQG12" s="205"/>
      <c r="BQH12" s="205"/>
      <c r="BQI12" s="205"/>
      <c r="BQJ12" s="205"/>
      <c r="BQK12" s="205"/>
      <c r="BQL12" s="205"/>
      <c r="BQM12" s="205"/>
      <c r="BQN12" s="205"/>
      <c r="BQO12" s="205"/>
      <c r="BQP12" s="205"/>
      <c r="BQQ12" s="205"/>
      <c r="BQR12" s="205"/>
      <c r="BQS12" s="205"/>
      <c r="BQT12" s="205"/>
      <c r="BQU12" s="205"/>
      <c r="BQV12" s="205"/>
      <c r="BQW12" s="205"/>
      <c r="BQX12" s="205"/>
      <c r="BQY12" s="205"/>
      <c r="BQZ12" s="205"/>
      <c r="BRA12" s="205"/>
      <c r="BRB12" s="205"/>
      <c r="BRC12" s="205"/>
      <c r="BRD12" s="205"/>
      <c r="BRE12" s="205"/>
      <c r="BRF12" s="205"/>
      <c r="BRG12" s="205"/>
      <c r="BRH12" s="205"/>
      <c r="BRI12" s="205"/>
      <c r="BRJ12" s="205"/>
      <c r="BRK12" s="205"/>
      <c r="BRL12" s="205"/>
      <c r="BRM12" s="205"/>
      <c r="BRN12" s="205"/>
      <c r="BRO12" s="205"/>
      <c r="BRP12" s="205"/>
      <c r="BRQ12" s="205"/>
      <c r="BRR12" s="205"/>
      <c r="BRS12" s="205"/>
      <c r="BRT12" s="205"/>
      <c r="BRU12" s="205"/>
      <c r="BRV12" s="205"/>
      <c r="BRW12" s="205"/>
      <c r="BRX12" s="205"/>
      <c r="BRY12" s="205"/>
      <c r="BRZ12" s="205"/>
      <c r="BSA12" s="205"/>
      <c r="BSB12" s="205"/>
      <c r="BSC12" s="205"/>
      <c r="BSD12" s="205"/>
      <c r="BSE12" s="205"/>
      <c r="BSF12" s="205"/>
      <c r="BSG12" s="205"/>
      <c r="BSH12" s="205"/>
      <c r="BSI12" s="205"/>
      <c r="BSJ12" s="205"/>
      <c r="BSK12" s="205"/>
      <c r="BSL12" s="205"/>
      <c r="BSM12" s="205"/>
      <c r="BSN12" s="205"/>
      <c r="BSO12" s="205"/>
      <c r="BSP12" s="205"/>
      <c r="BSQ12" s="205"/>
      <c r="BSR12" s="205"/>
      <c r="BSS12" s="205"/>
      <c r="BST12" s="205"/>
      <c r="BSU12" s="205"/>
      <c r="BSV12" s="205"/>
      <c r="BSW12" s="205"/>
      <c r="BSX12" s="205"/>
      <c r="BSY12" s="205"/>
      <c r="BSZ12" s="205"/>
      <c r="BTA12" s="205"/>
      <c r="BTB12" s="205"/>
      <c r="BTC12" s="205"/>
      <c r="BTD12" s="205"/>
      <c r="BTE12" s="205"/>
      <c r="BTF12" s="205"/>
      <c r="BTG12" s="205"/>
      <c r="BTH12" s="205"/>
      <c r="BTI12" s="205"/>
      <c r="BTJ12" s="205"/>
      <c r="BTK12" s="205"/>
      <c r="BTL12" s="205"/>
      <c r="BTM12" s="205"/>
      <c r="BTN12" s="205"/>
      <c r="BTO12" s="205"/>
      <c r="BTP12" s="205"/>
      <c r="BTQ12" s="205"/>
      <c r="BTR12" s="205"/>
      <c r="BTS12" s="205"/>
      <c r="BTT12" s="205"/>
      <c r="BTU12" s="205"/>
      <c r="BTV12" s="205"/>
      <c r="BTW12" s="205"/>
      <c r="BTX12" s="205"/>
      <c r="BTY12" s="205"/>
      <c r="BTZ12" s="205"/>
      <c r="BUA12" s="205"/>
      <c r="BUB12" s="205"/>
      <c r="BUC12" s="205"/>
      <c r="BUD12" s="205"/>
      <c r="BUE12" s="205"/>
      <c r="BUF12" s="205"/>
      <c r="BUG12" s="205"/>
      <c r="BUH12" s="205"/>
      <c r="BUI12" s="205"/>
      <c r="BUJ12" s="205"/>
      <c r="BUK12" s="205"/>
      <c r="BUL12" s="205"/>
      <c r="BUM12" s="205"/>
      <c r="BUN12" s="205"/>
      <c r="BUO12" s="205"/>
      <c r="BUP12" s="205"/>
      <c r="BUQ12" s="205"/>
      <c r="BUR12" s="205"/>
      <c r="BUS12" s="205"/>
      <c r="BUT12" s="205"/>
      <c r="BUU12" s="205"/>
      <c r="BUV12" s="205"/>
      <c r="BUW12" s="205"/>
      <c r="BUX12" s="205"/>
      <c r="BUY12" s="205"/>
      <c r="BUZ12" s="205"/>
      <c r="BVA12" s="205"/>
      <c r="BVB12" s="205"/>
      <c r="BVC12" s="205"/>
      <c r="BVD12" s="205"/>
      <c r="BVE12" s="205"/>
      <c r="BVF12" s="205"/>
      <c r="BVG12" s="205"/>
      <c r="BVH12" s="205"/>
      <c r="BVI12" s="205"/>
      <c r="BVJ12" s="205"/>
      <c r="BVK12" s="205"/>
      <c r="BVL12" s="205"/>
      <c r="BVM12" s="205"/>
      <c r="BVN12" s="205"/>
      <c r="BVO12" s="205"/>
      <c r="BVP12" s="205"/>
      <c r="BVQ12" s="205"/>
      <c r="BVR12" s="205"/>
      <c r="BVS12" s="205"/>
      <c r="BVT12" s="205"/>
      <c r="BVU12" s="205"/>
      <c r="BVV12" s="205"/>
      <c r="BVW12" s="205"/>
      <c r="BVX12" s="205"/>
      <c r="BVY12" s="205"/>
      <c r="BVZ12" s="205"/>
      <c r="BWA12" s="205"/>
      <c r="BWB12" s="205"/>
      <c r="BWC12" s="205"/>
      <c r="BWD12" s="205"/>
      <c r="BWE12" s="205"/>
      <c r="BWF12" s="205"/>
      <c r="BWG12" s="205"/>
      <c r="BWH12" s="205"/>
      <c r="BWI12" s="205"/>
      <c r="BWJ12" s="205"/>
      <c r="BWK12" s="205"/>
      <c r="BWL12" s="205"/>
      <c r="BWM12" s="205"/>
      <c r="BWN12" s="205"/>
      <c r="BWO12" s="205"/>
      <c r="BWP12" s="205"/>
      <c r="BWQ12" s="205"/>
      <c r="BWR12" s="205"/>
      <c r="BWS12" s="205"/>
      <c r="BWT12" s="205"/>
      <c r="BWU12" s="205"/>
      <c r="BWV12" s="205"/>
      <c r="BWW12" s="205"/>
      <c r="BWX12" s="205"/>
      <c r="BWY12" s="205"/>
      <c r="BWZ12" s="205"/>
      <c r="BXA12" s="205"/>
      <c r="BXB12" s="205"/>
      <c r="BXC12" s="205"/>
      <c r="BXD12" s="205"/>
      <c r="BXE12" s="205"/>
      <c r="BXF12" s="205"/>
      <c r="BXG12" s="205"/>
      <c r="BXH12" s="205"/>
      <c r="BXI12" s="205"/>
      <c r="BXJ12" s="205"/>
      <c r="BXK12" s="205"/>
      <c r="BXL12" s="205"/>
      <c r="BXM12" s="205"/>
      <c r="BXN12" s="205"/>
      <c r="BXO12" s="205"/>
      <c r="BXP12" s="205"/>
      <c r="BXQ12" s="205"/>
      <c r="BXR12" s="205"/>
      <c r="BXS12" s="205"/>
      <c r="BXT12" s="205"/>
      <c r="BXU12" s="205"/>
      <c r="BXV12" s="205"/>
      <c r="BXW12" s="205"/>
      <c r="BXX12" s="205"/>
      <c r="BXY12" s="205"/>
      <c r="BXZ12" s="205"/>
      <c r="BYA12" s="205"/>
      <c r="BYB12" s="205"/>
      <c r="BYC12" s="205"/>
      <c r="BYD12" s="205"/>
      <c r="BYE12" s="205"/>
      <c r="BYF12" s="205"/>
      <c r="BYG12" s="205"/>
      <c r="BYH12" s="205"/>
      <c r="BYI12" s="205"/>
      <c r="BYJ12" s="205"/>
      <c r="BYK12" s="205"/>
      <c r="BYL12" s="205"/>
      <c r="BYM12" s="205"/>
      <c r="BYN12" s="205"/>
      <c r="BYO12" s="205"/>
      <c r="BYP12" s="205"/>
      <c r="BYQ12" s="205"/>
      <c r="BYR12" s="205"/>
      <c r="BYS12" s="205"/>
      <c r="BYT12" s="205"/>
      <c r="BYU12" s="205"/>
      <c r="BYV12" s="205"/>
      <c r="BYW12" s="205"/>
      <c r="BYX12" s="205"/>
      <c r="BYY12" s="205"/>
      <c r="BYZ12" s="205"/>
      <c r="BZA12" s="205"/>
      <c r="BZB12" s="205"/>
      <c r="BZC12" s="205"/>
      <c r="BZD12" s="205"/>
      <c r="BZE12" s="205"/>
      <c r="BZF12" s="205"/>
      <c r="BZG12" s="205"/>
      <c r="BZH12" s="205"/>
      <c r="BZI12" s="205"/>
      <c r="BZJ12" s="205"/>
      <c r="BZK12" s="205"/>
      <c r="BZL12" s="205"/>
      <c r="BZM12" s="205"/>
      <c r="BZN12" s="205"/>
      <c r="BZO12" s="205"/>
      <c r="BZP12" s="205"/>
      <c r="BZQ12" s="205"/>
      <c r="BZR12" s="205"/>
      <c r="BZS12" s="205"/>
      <c r="BZT12" s="205"/>
      <c r="BZU12" s="205"/>
      <c r="BZV12" s="205"/>
      <c r="BZW12" s="205"/>
      <c r="BZX12" s="205"/>
      <c r="BZY12" s="205"/>
      <c r="BZZ12" s="205"/>
      <c r="CAA12" s="205"/>
      <c r="CAB12" s="205"/>
      <c r="CAC12" s="205"/>
      <c r="CAD12" s="205"/>
      <c r="CAE12" s="205"/>
      <c r="CAF12" s="205"/>
      <c r="CAG12" s="205"/>
      <c r="CAH12" s="205"/>
      <c r="CAI12" s="205"/>
      <c r="CAJ12" s="205"/>
      <c r="CAK12" s="205"/>
      <c r="CAL12" s="205"/>
      <c r="CAM12" s="205"/>
      <c r="CAN12" s="205"/>
      <c r="CAO12" s="205"/>
      <c r="CAP12" s="205"/>
      <c r="CAQ12" s="205"/>
      <c r="CAR12" s="205"/>
      <c r="CAS12" s="205"/>
      <c r="CAT12" s="205"/>
      <c r="CAU12" s="205"/>
      <c r="CAV12" s="205"/>
      <c r="CAW12" s="205"/>
      <c r="CAX12" s="205"/>
      <c r="CAY12" s="205"/>
      <c r="CAZ12" s="205"/>
      <c r="CBA12" s="205"/>
      <c r="CBB12" s="205"/>
      <c r="CBC12" s="205"/>
      <c r="CBD12" s="205"/>
      <c r="CBE12" s="205"/>
      <c r="CBF12" s="205"/>
      <c r="CBG12" s="205"/>
      <c r="CBH12" s="205"/>
      <c r="CBI12" s="205"/>
      <c r="CBJ12" s="205"/>
      <c r="CBK12" s="205"/>
      <c r="CBL12" s="205"/>
      <c r="CBM12" s="205"/>
      <c r="CBN12" s="205"/>
      <c r="CBO12" s="205"/>
      <c r="CBP12" s="205"/>
      <c r="CBQ12" s="205"/>
      <c r="CBR12" s="205"/>
      <c r="CBS12" s="205"/>
      <c r="CBT12" s="205"/>
      <c r="CBU12" s="205"/>
      <c r="CBV12" s="205"/>
      <c r="CBW12" s="205"/>
      <c r="CBX12" s="205"/>
      <c r="CBY12" s="205"/>
      <c r="CBZ12" s="205"/>
      <c r="CCA12" s="205"/>
      <c r="CCB12" s="205"/>
      <c r="CCC12" s="205"/>
      <c r="CCD12" s="205"/>
      <c r="CCE12" s="205"/>
      <c r="CCF12" s="205"/>
      <c r="CCG12" s="205"/>
      <c r="CCH12" s="205"/>
      <c r="CCI12" s="205"/>
      <c r="CCJ12" s="205"/>
      <c r="CCK12" s="205"/>
      <c r="CCL12" s="205"/>
      <c r="CCM12" s="205"/>
      <c r="CCN12" s="205"/>
      <c r="CCO12" s="205"/>
      <c r="CCP12" s="205"/>
      <c r="CCQ12" s="205"/>
      <c r="CCR12" s="205"/>
      <c r="CCS12" s="205"/>
      <c r="CCT12" s="205"/>
      <c r="CCU12" s="205"/>
      <c r="CCV12" s="205"/>
      <c r="CCW12" s="205"/>
      <c r="CCX12" s="205"/>
      <c r="CCY12" s="205"/>
      <c r="CCZ12" s="205"/>
      <c r="CDA12" s="205"/>
      <c r="CDB12" s="205"/>
      <c r="CDC12" s="205"/>
      <c r="CDD12" s="205"/>
      <c r="CDE12" s="205"/>
      <c r="CDF12" s="205"/>
      <c r="CDG12" s="205"/>
      <c r="CDH12" s="205"/>
      <c r="CDI12" s="205"/>
      <c r="CDJ12" s="205"/>
      <c r="CDK12" s="205"/>
      <c r="CDL12" s="205"/>
      <c r="CDM12" s="205"/>
      <c r="CDN12" s="205"/>
      <c r="CDO12" s="205"/>
      <c r="CDP12" s="205"/>
      <c r="CDQ12" s="205"/>
      <c r="CDR12" s="205"/>
      <c r="CDS12" s="205"/>
      <c r="CDT12" s="205"/>
      <c r="CDU12" s="205"/>
      <c r="CDV12" s="205"/>
      <c r="CDW12" s="205"/>
      <c r="CDX12" s="205"/>
      <c r="CDY12" s="205"/>
      <c r="CDZ12" s="205"/>
      <c r="CEA12" s="205"/>
      <c r="CEB12" s="205"/>
      <c r="CEC12" s="205"/>
      <c r="CED12" s="205"/>
      <c r="CEE12" s="205"/>
      <c r="CEF12" s="205"/>
      <c r="CEG12" s="205"/>
      <c r="CEH12" s="205"/>
      <c r="CEI12" s="205"/>
      <c r="CEJ12" s="205"/>
      <c r="CEK12" s="205"/>
      <c r="CEL12" s="205"/>
      <c r="CEM12" s="205"/>
      <c r="CEN12" s="205"/>
      <c r="CEO12" s="205"/>
      <c r="CEP12" s="205"/>
      <c r="CEQ12" s="205"/>
      <c r="CER12" s="205"/>
      <c r="CES12" s="205"/>
      <c r="CET12" s="205"/>
      <c r="CEU12" s="205"/>
      <c r="CEV12" s="205"/>
      <c r="CEW12" s="205"/>
      <c r="CEX12" s="205"/>
      <c r="CEY12" s="205"/>
      <c r="CEZ12" s="205"/>
      <c r="CFA12" s="205"/>
      <c r="CFB12" s="205"/>
      <c r="CFC12" s="205"/>
      <c r="CFD12" s="205"/>
      <c r="CFE12" s="205"/>
      <c r="CFF12" s="205"/>
      <c r="CFG12" s="205"/>
      <c r="CFH12" s="205"/>
      <c r="CFI12" s="205"/>
      <c r="CFJ12" s="205"/>
      <c r="CFK12" s="205"/>
      <c r="CFL12" s="205"/>
      <c r="CFM12" s="205"/>
      <c r="CFN12" s="205"/>
      <c r="CFO12" s="205"/>
      <c r="CFP12" s="205"/>
      <c r="CFQ12" s="205"/>
      <c r="CFR12" s="205"/>
      <c r="CFS12" s="205"/>
      <c r="CFT12" s="205"/>
      <c r="CFU12" s="205"/>
      <c r="CFV12" s="205"/>
      <c r="CFW12" s="205"/>
      <c r="CFX12" s="205"/>
      <c r="CFY12" s="205"/>
      <c r="CFZ12" s="205"/>
      <c r="CGA12" s="205"/>
      <c r="CGB12" s="205"/>
      <c r="CGC12" s="205"/>
      <c r="CGD12" s="205"/>
      <c r="CGE12" s="205"/>
      <c r="CGF12" s="205"/>
      <c r="CGG12" s="205"/>
      <c r="CGH12" s="205"/>
      <c r="CGI12" s="205"/>
      <c r="CGJ12" s="205"/>
      <c r="CGK12" s="205"/>
      <c r="CGL12" s="205"/>
      <c r="CGM12" s="205"/>
      <c r="CGN12" s="205"/>
      <c r="CGO12" s="205"/>
      <c r="CGP12" s="205"/>
      <c r="CGQ12" s="205"/>
      <c r="CGR12" s="205"/>
      <c r="CGS12" s="205"/>
      <c r="CGT12" s="205"/>
      <c r="CGU12" s="205"/>
      <c r="CGV12" s="205"/>
      <c r="CGW12" s="205"/>
      <c r="CGX12" s="205"/>
      <c r="CGY12" s="205"/>
      <c r="CGZ12" s="205"/>
      <c r="CHA12" s="205"/>
      <c r="CHB12" s="205"/>
      <c r="CHC12" s="205"/>
      <c r="CHD12" s="205"/>
      <c r="CHE12" s="205"/>
      <c r="CHF12" s="205"/>
      <c r="CHG12" s="205"/>
      <c r="CHH12" s="205"/>
      <c r="CHI12" s="205"/>
      <c r="CHJ12" s="205"/>
      <c r="CHK12" s="205"/>
      <c r="CHL12" s="205"/>
      <c r="CHM12" s="205"/>
      <c r="CHN12" s="205"/>
      <c r="CHO12" s="205"/>
      <c r="CHP12" s="205"/>
      <c r="CHQ12" s="205"/>
      <c r="CHR12" s="205"/>
      <c r="CHS12" s="205"/>
      <c r="CHT12" s="205"/>
      <c r="CHU12" s="205"/>
      <c r="CHV12" s="205"/>
      <c r="CHW12" s="205"/>
      <c r="CHX12" s="205"/>
      <c r="CHY12" s="205"/>
      <c r="CHZ12" s="205"/>
      <c r="CIA12" s="205"/>
      <c r="CIB12" s="205"/>
      <c r="CIC12" s="205"/>
      <c r="CID12" s="205"/>
      <c r="CIE12" s="205"/>
      <c r="CIF12" s="205"/>
      <c r="CIG12" s="205"/>
      <c r="CIH12" s="205"/>
      <c r="CII12" s="205"/>
      <c r="CIJ12" s="205"/>
      <c r="CIK12" s="205"/>
      <c r="CIL12" s="205"/>
      <c r="CIM12" s="205"/>
      <c r="CIN12" s="205"/>
      <c r="CIO12" s="205"/>
      <c r="CIP12" s="205"/>
      <c r="CIQ12" s="205"/>
      <c r="CIR12" s="205"/>
      <c r="CIS12" s="205"/>
      <c r="CIT12" s="205"/>
      <c r="CIU12" s="205"/>
      <c r="CIV12" s="205"/>
      <c r="CIW12" s="205"/>
      <c r="CIX12" s="205"/>
      <c r="CIY12" s="205"/>
      <c r="CIZ12" s="205"/>
      <c r="CJA12" s="205"/>
      <c r="CJB12" s="205"/>
      <c r="CJC12" s="205"/>
      <c r="CJD12" s="205"/>
      <c r="CJE12" s="205"/>
      <c r="CJF12" s="205"/>
      <c r="CJG12" s="205"/>
      <c r="CJH12" s="205"/>
      <c r="CJI12" s="205"/>
      <c r="CJJ12" s="205"/>
      <c r="CJK12" s="205"/>
      <c r="CJL12" s="205"/>
      <c r="CJM12" s="205"/>
      <c r="CJN12" s="205"/>
      <c r="CJO12" s="205"/>
      <c r="CJP12" s="205"/>
      <c r="CJQ12" s="205"/>
      <c r="CJR12" s="205"/>
      <c r="CJS12" s="205"/>
      <c r="CJT12" s="205"/>
      <c r="CJU12" s="205"/>
      <c r="CJV12" s="205"/>
      <c r="CJW12" s="205"/>
      <c r="CJX12" s="205"/>
      <c r="CJY12" s="205"/>
      <c r="CJZ12" s="205"/>
      <c r="CKA12" s="205"/>
      <c r="CKB12" s="205"/>
      <c r="CKC12" s="205"/>
      <c r="CKD12" s="205"/>
      <c r="CKE12" s="205"/>
      <c r="CKF12" s="205"/>
      <c r="CKG12" s="205"/>
      <c r="CKH12" s="205"/>
      <c r="CKI12" s="205"/>
      <c r="CKJ12" s="205"/>
      <c r="CKK12" s="205"/>
      <c r="CKL12" s="205"/>
      <c r="CKM12" s="205"/>
      <c r="CKN12" s="205"/>
      <c r="CKO12" s="205"/>
      <c r="CKP12" s="205"/>
      <c r="CKQ12" s="205"/>
      <c r="CKR12" s="205"/>
      <c r="CKS12" s="205"/>
      <c r="CKT12" s="205"/>
      <c r="CKU12" s="205"/>
      <c r="CKV12" s="205"/>
      <c r="CKW12" s="205"/>
      <c r="CKX12" s="205"/>
      <c r="CKY12" s="205"/>
      <c r="CKZ12" s="205"/>
      <c r="CLA12" s="205"/>
      <c r="CLB12" s="205"/>
      <c r="CLC12" s="205"/>
      <c r="CLD12" s="205"/>
      <c r="CLE12" s="205"/>
      <c r="CLF12" s="205"/>
      <c r="CLG12" s="205"/>
      <c r="CLH12" s="205"/>
      <c r="CLI12" s="205"/>
      <c r="CLJ12" s="205"/>
      <c r="CLK12" s="205"/>
      <c r="CLL12" s="205"/>
      <c r="CLM12" s="205"/>
      <c r="CLN12" s="205"/>
      <c r="CLO12" s="205"/>
      <c r="CLP12" s="205"/>
      <c r="CLQ12" s="205"/>
      <c r="CLR12" s="205"/>
      <c r="CLS12" s="205"/>
      <c r="CLT12" s="205"/>
      <c r="CLU12" s="205"/>
      <c r="CLV12" s="205"/>
      <c r="CLW12" s="205"/>
      <c r="CLX12" s="205"/>
      <c r="CLY12" s="205"/>
      <c r="CLZ12" s="205"/>
      <c r="CMA12" s="205"/>
      <c r="CMB12" s="205"/>
      <c r="CMC12" s="205"/>
      <c r="CMD12" s="205"/>
      <c r="CME12" s="205"/>
      <c r="CMF12" s="205"/>
      <c r="CMG12" s="205"/>
      <c r="CMH12" s="205"/>
      <c r="CMI12" s="205"/>
      <c r="CMJ12" s="205"/>
      <c r="CMK12" s="205"/>
      <c r="CML12" s="205"/>
      <c r="CMM12" s="205"/>
      <c r="CMN12" s="205"/>
      <c r="CMO12" s="205"/>
      <c r="CMP12" s="205"/>
      <c r="CMQ12" s="205"/>
      <c r="CMR12" s="205"/>
      <c r="CMS12" s="205"/>
      <c r="CMT12" s="205"/>
      <c r="CMU12" s="205"/>
      <c r="CMV12" s="205"/>
      <c r="CMW12" s="205"/>
      <c r="CMX12" s="205"/>
      <c r="CMY12" s="205"/>
      <c r="CMZ12" s="205"/>
      <c r="CNA12" s="205"/>
      <c r="CNB12" s="205"/>
      <c r="CNC12" s="205"/>
      <c r="CND12" s="205"/>
      <c r="CNE12" s="205"/>
      <c r="CNF12" s="205"/>
      <c r="CNG12" s="205"/>
      <c r="CNH12" s="205"/>
      <c r="CNI12" s="205"/>
      <c r="CNJ12" s="205"/>
      <c r="CNK12" s="205"/>
      <c r="CNL12" s="205"/>
      <c r="CNM12" s="205"/>
      <c r="CNN12" s="205"/>
      <c r="CNO12" s="205"/>
      <c r="CNP12" s="205"/>
      <c r="CNQ12" s="205"/>
      <c r="CNR12" s="205"/>
      <c r="CNS12" s="205"/>
      <c r="CNT12" s="205"/>
      <c r="CNU12" s="205"/>
      <c r="CNV12" s="205"/>
      <c r="CNW12" s="205"/>
      <c r="CNX12" s="205"/>
      <c r="CNY12" s="205"/>
      <c r="CNZ12" s="205"/>
      <c r="COA12" s="205"/>
      <c r="COB12" s="205"/>
      <c r="COC12" s="205"/>
      <c r="COD12" s="205"/>
      <c r="COE12" s="205"/>
      <c r="COF12" s="205"/>
      <c r="COG12" s="205"/>
      <c r="COH12" s="205"/>
      <c r="COI12" s="205"/>
      <c r="COJ12" s="205"/>
      <c r="COK12" s="205"/>
      <c r="COL12" s="205"/>
      <c r="COM12" s="205"/>
      <c r="CON12" s="205"/>
      <c r="COO12" s="205"/>
      <c r="COP12" s="205"/>
      <c r="COQ12" s="205"/>
      <c r="COR12" s="205"/>
      <c r="COS12" s="205"/>
      <c r="COT12" s="205"/>
      <c r="COU12" s="205"/>
      <c r="COV12" s="205"/>
      <c r="COW12" s="205"/>
      <c r="COX12" s="205"/>
      <c r="COY12" s="205"/>
      <c r="COZ12" s="205"/>
      <c r="CPA12" s="205"/>
      <c r="CPB12" s="205"/>
      <c r="CPC12" s="205"/>
      <c r="CPD12" s="205"/>
      <c r="CPE12" s="205"/>
      <c r="CPF12" s="205"/>
      <c r="CPG12" s="205"/>
      <c r="CPH12" s="205"/>
      <c r="CPI12" s="205"/>
      <c r="CPJ12" s="205"/>
      <c r="CPK12" s="205"/>
      <c r="CPL12" s="205"/>
      <c r="CPM12" s="205"/>
      <c r="CPN12" s="205"/>
      <c r="CPO12" s="205"/>
      <c r="CPP12" s="205"/>
      <c r="CPQ12" s="205"/>
      <c r="CPR12" s="205"/>
      <c r="CPS12" s="205"/>
      <c r="CPT12" s="205"/>
      <c r="CPU12" s="205"/>
      <c r="CPV12" s="205"/>
      <c r="CPW12" s="205"/>
      <c r="CPX12" s="205"/>
      <c r="CPY12" s="205"/>
      <c r="CPZ12" s="205"/>
      <c r="CQA12" s="205"/>
      <c r="CQB12" s="205"/>
      <c r="CQC12" s="205"/>
      <c r="CQD12" s="205"/>
      <c r="CQE12" s="205"/>
      <c r="CQF12" s="205"/>
      <c r="CQG12" s="205"/>
      <c r="CQH12" s="205"/>
      <c r="CQI12" s="205"/>
      <c r="CQJ12" s="205"/>
      <c r="CQK12" s="205"/>
      <c r="CQL12" s="205"/>
      <c r="CQM12" s="205"/>
      <c r="CQN12" s="205"/>
      <c r="CQO12" s="205"/>
      <c r="CQP12" s="205"/>
      <c r="CQQ12" s="205"/>
      <c r="CQR12" s="205"/>
      <c r="CQS12" s="205"/>
      <c r="CQT12" s="205"/>
      <c r="CQU12" s="205"/>
      <c r="CQV12" s="205"/>
      <c r="CQW12" s="205"/>
      <c r="CQX12" s="205"/>
      <c r="CQY12" s="205"/>
      <c r="CQZ12" s="205"/>
      <c r="CRA12" s="205"/>
      <c r="CRB12" s="205"/>
      <c r="CRC12" s="205"/>
      <c r="CRD12" s="205"/>
      <c r="CRE12" s="205"/>
      <c r="CRF12" s="205"/>
      <c r="CRG12" s="205"/>
      <c r="CRH12" s="205"/>
      <c r="CRI12" s="205"/>
      <c r="CRJ12" s="205"/>
      <c r="CRK12" s="205"/>
      <c r="CRL12" s="205"/>
      <c r="CRM12" s="205"/>
      <c r="CRN12" s="205"/>
      <c r="CRO12" s="205"/>
      <c r="CRP12" s="205"/>
      <c r="CRQ12" s="205"/>
      <c r="CRR12" s="205"/>
      <c r="CRS12" s="205"/>
      <c r="CRT12" s="205"/>
      <c r="CRU12" s="205"/>
      <c r="CRV12" s="205"/>
      <c r="CRW12" s="205"/>
      <c r="CRX12" s="205"/>
      <c r="CRY12" s="205"/>
      <c r="CRZ12" s="205"/>
      <c r="CSA12" s="205"/>
      <c r="CSB12" s="205"/>
      <c r="CSC12" s="205"/>
      <c r="CSD12" s="90"/>
    </row>
    <row r="13" spans="1:2526" ht="42.75" customHeight="1" thickBot="1" x14ac:dyDescent="0.3">
      <c r="B13" s="96"/>
      <c r="C13" s="232" t="s">
        <v>7</v>
      </c>
      <c r="D13" s="144"/>
      <c r="E13" s="234" t="s">
        <v>37</v>
      </c>
      <c r="F13" s="206" t="s">
        <v>8</v>
      </c>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7"/>
      <c r="BI13" s="207"/>
      <c r="BJ13" s="207"/>
      <c r="BK13" s="207"/>
      <c r="BL13" s="207"/>
      <c r="BM13" s="208"/>
      <c r="BN13" s="206" t="s">
        <v>26</v>
      </c>
      <c r="BO13" s="207"/>
      <c r="BP13" s="207"/>
      <c r="BQ13" s="207"/>
      <c r="BR13" s="207"/>
      <c r="BS13" s="207"/>
      <c r="BT13" s="207"/>
      <c r="BU13" s="207"/>
      <c r="BV13" s="207"/>
      <c r="BW13" s="207"/>
      <c r="BX13" s="207"/>
      <c r="BY13" s="207"/>
      <c r="BZ13" s="207"/>
      <c r="CA13" s="207"/>
      <c r="CB13" s="207"/>
      <c r="CC13" s="207"/>
      <c r="CD13" s="207"/>
      <c r="CE13" s="207"/>
      <c r="CF13" s="207"/>
      <c r="CG13" s="207"/>
      <c r="CH13" s="207"/>
      <c r="CI13" s="207"/>
      <c r="CJ13" s="207"/>
      <c r="CK13" s="207"/>
      <c r="CL13" s="207"/>
      <c r="CM13" s="207"/>
      <c r="CN13" s="207"/>
      <c r="CO13" s="207"/>
      <c r="CP13" s="207"/>
      <c r="CQ13" s="207"/>
      <c r="CR13" s="207"/>
      <c r="CS13" s="207"/>
      <c r="CT13" s="207"/>
      <c r="CU13" s="207"/>
      <c r="CV13" s="207"/>
      <c r="CW13" s="207"/>
      <c r="CX13" s="207"/>
      <c r="CY13" s="207"/>
      <c r="CZ13" s="207"/>
      <c r="DA13" s="207"/>
      <c r="DB13" s="207"/>
      <c r="DC13" s="207"/>
      <c r="DD13" s="207"/>
      <c r="DE13" s="207"/>
      <c r="DF13" s="207"/>
      <c r="DG13" s="207"/>
      <c r="DH13" s="207"/>
      <c r="DI13" s="207"/>
      <c r="DJ13" s="207"/>
      <c r="DK13" s="207"/>
      <c r="DL13" s="207"/>
      <c r="DM13" s="207"/>
      <c r="DN13" s="207"/>
      <c r="DO13" s="207"/>
      <c r="DP13" s="207"/>
      <c r="DQ13" s="207"/>
      <c r="DR13" s="207"/>
      <c r="DS13" s="207"/>
      <c r="DT13" s="207"/>
      <c r="DU13" s="208"/>
      <c r="DV13" s="206" t="s">
        <v>17</v>
      </c>
      <c r="DW13" s="207"/>
      <c r="DX13" s="207"/>
      <c r="DY13" s="207"/>
      <c r="DZ13" s="207"/>
      <c r="EA13" s="207"/>
      <c r="EB13" s="207"/>
      <c r="EC13" s="207"/>
      <c r="ED13" s="207"/>
      <c r="EE13" s="207"/>
      <c r="EF13" s="207"/>
      <c r="EG13" s="207"/>
      <c r="EH13" s="207"/>
      <c r="EI13" s="207"/>
      <c r="EJ13" s="207"/>
      <c r="EK13" s="207"/>
      <c r="EL13" s="207"/>
      <c r="EM13" s="207"/>
      <c r="EN13" s="207"/>
      <c r="EO13" s="207"/>
      <c r="EP13" s="207"/>
      <c r="EQ13" s="207"/>
      <c r="ER13" s="207"/>
      <c r="ES13" s="207"/>
      <c r="ET13" s="207"/>
      <c r="EU13" s="207"/>
      <c r="EV13" s="207"/>
      <c r="EW13" s="207"/>
      <c r="EX13" s="207"/>
      <c r="EY13" s="207"/>
      <c r="EZ13" s="207"/>
      <c r="FA13" s="207"/>
      <c r="FB13" s="207"/>
      <c r="FC13" s="207"/>
      <c r="FD13" s="207"/>
      <c r="FE13" s="207"/>
      <c r="FF13" s="207"/>
      <c r="FG13" s="207"/>
      <c r="FH13" s="207"/>
      <c r="FI13" s="207"/>
      <c r="FJ13" s="207"/>
      <c r="FK13" s="207"/>
      <c r="FL13" s="207"/>
      <c r="FM13" s="207"/>
      <c r="FN13" s="207"/>
      <c r="FO13" s="207"/>
      <c r="FP13" s="207"/>
      <c r="FQ13" s="207"/>
      <c r="FR13" s="207"/>
      <c r="FS13" s="207"/>
      <c r="FT13" s="207"/>
      <c r="FU13" s="207"/>
      <c r="FV13" s="207"/>
      <c r="FW13" s="207"/>
      <c r="FX13" s="207"/>
      <c r="FY13" s="207"/>
      <c r="FZ13" s="207"/>
      <c r="GA13" s="207"/>
      <c r="GB13" s="207"/>
      <c r="GC13" s="208"/>
      <c r="GD13" s="206" t="s">
        <v>95</v>
      </c>
      <c r="GE13" s="207"/>
      <c r="GF13" s="207"/>
      <c r="GG13" s="207"/>
      <c r="GH13" s="207"/>
      <c r="GI13" s="207"/>
      <c r="GJ13" s="207"/>
      <c r="GK13" s="207"/>
      <c r="GL13" s="207"/>
      <c r="GM13" s="207"/>
      <c r="GN13" s="207"/>
      <c r="GO13" s="207"/>
      <c r="GP13" s="207"/>
      <c r="GQ13" s="207"/>
      <c r="GR13" s="207"/>
      <c r="GS13" s="207"/>
      <c r="GT13" s="207"/>
      <c r="GU13" s="207"/>
      <c r="GV13" s="207"/>
      <c r="GW13" s="207"/>
      <c r="GX13" s="207"/>
      <c r="GY13" s="207"/>
      <c r="GZ13" s="207"/>
      <c r="HA13" s="207"/>
      <c r="HB13" s="207"/>
      <c r="HC13" s="207"/>
      <c r="HD13" s="207"/>
      <c r="HE13" s="207"/>
      <c r="HF13" s="207"/>
      <c r="HG13" s="207"/>
      <c r="HH13" s="207"/>
      <c r="HI13" s="207"/>
      <c r="HJ13" s="207"/>
      <c r="HK13" s="207"/>
      <c r="HL13" s="207"/>
      <c r="HM13" s="207"/>
      <c r="HN13" s="207"/>
      <c r="HO13" s="207"/>
      <c r="HP13" s="207"/>
      <c r="HQ13" s="207"/>
      <c r="HR13" s="207"/>
      <c r="HS13" s="207"/>
      <c r="HT13" s="207"/>
      <c r="HU13" s="207"/>
      <c r="HV13" s="207"/>
      <c r="HW13" s="207"/>
      <c r="HX13" s="207"/>
      <c r="HY13" s="207"/>
      <c r="HZ13" s="207"/>
      <c r="IA13" s="207"/>
      <c r="IB13" s="207"/>
      <c r="IC13" s="207"/>
      <c r="ID13" s="207"/>
      <c r="IE13" s="207"/>
      <c r="IF13" s="207"/>
      <c r="IG13" s="207"/>
      <c r="IH13" s="207"/>
      <c r="II13" s="207"/>
      <c r="IJ13" s="207"/>
      <c r="IK13" s="208"/>
      <c r="IL13" s="206" t="s">
        <v>93</v>
      </c>
      <c r="IM13" s="207"/>
      <c r="IN13" s="207"/>
      <c r="IO13" s="207"/>
      <c r="IP13" s="207"/>
      <c r="IQ13" s="207"/>
      <c r="IR13" s="207"/>
      <c r="IS13" s="207"/>
      <c r="IT13" s="207"/>
      <c r="IU13" s="207"/>
      <c r="IV13" s="207"/>
      <c r="IW13" s="207"/>
      <c r="IX13" s="207"/>
      <c r="IY13" s="207"/>
      <c r="IZ13" s="207"/>
      <c r="JA13" s="207"/>
      <c r="JB13" s="207"/>
      <c r="JC13" s="207"/>
      <c r="JD13" s="207"/>
      <c r="JE13" s="207"/>
      <c r="JF13" s="207"/>
      <c r="JG13" s="207"/>
      <c r="JH13" s="207"/>
      <c r="JI13" s="207"/>
      <c r="JJ13" s="207"/>
      <c r="JK13" s="207"/>
      <c r="JL13" s="207"/>
      <c r="JM13" s="207"/>
      <c r="JN13" s="207"/>
      <c r="JO13" s="207"/>
      <c r="JP13" s="207"/>
      <c r="JQ13" s="207"/>
      <c r="JR13" s="207"/>
      <c r="JS13" s="207"/>
      <c r="JT13" s="207"/>
      <c r="JU13" s="207"/>
      <c r="JV13" s="207"/>
      <c r="JW13" s="207"/>
      <c r="JX13" s="207"/>
      <c r="JY13" s="207"/>
      <c r="JZ13" s="207"/>
      <c r="KA13" s="207"/>
      <c r="KB13" s="207"/>
      <c r="KC13" s="207"/>
      <c r="KD13" s="207"/>
      <c r="KE13" s="207"/>
      <c r="KF13" s="207"/>
      <c r="KG13" s="207"/>
      <c r="KH13" s="207"/>
      <c r="KI13" s="207"/>
      <c r="KJ13" s="207"/>
      <c r="KK13" s="207"/>
      <c r="KL13" s="207"/>
      <c r="KM13" s="207"/>
      <c r="KN13" s="207"/>
      <c r="KO13" s="207"/>
      <c r="KP13" s="207"/>
      <c r="KQ13" s="207"/>
      <c r="KR13" s="207"/>
      <c r="KS13" s="208"/>
      <c r="KT13" s="206" t="s">
        <v>92</v>
      </c>
      <c r="KU13" s="207"/>
      <c r="KV13" s="207"/>
      <c r="KW13" s="207"/>
      <c r="KX13" s="207"/>
      <c r="KY13" s="207"/>
      <c r="KZ13" s="207"/>
      <c r="LA13" s="207"/>
      <c r="LB13" s="207"/>
      <c r="LC13" s="207"/>
      <c r="LD13" s="207"/>
      <c r="LE13" s="207"/>
      <c r="LF13" s="207"/>
      <c r="LG13" s="207"/>
      <c r="LH13" s="207"/>
      <c r="LI13" s="207"/>
      <c r="LJ13" s="207"/>
      <c r="LK13" s="207"/>
      <c r="LL13" s="207"/>
      <c r="LM13" s="207"/>
      <c r="LN13" s="207"/>
      <c r="LO13" s="207"/>
      <c r="LP13" s="207"/>
      <c r="LQ13" s="207"/>
      <c r="LR13" s="207"/>
      <c r="LS13" s="207"/>
      <c r="LT13" s="207"/>
      <c r="LU13" s="207"/>
      <c r="LV13" s="207"/>
      <c r="LW13" s="207"/>
      <c r="LX13" s="207"/>
      <c r="LY13" s="207"/>
      <c r="LZ13" s="207"/>
      <c r="MA13" s="207"/>
      <c r="MB13" s="207"/>
      <c r="MC13" s="207"/>
      <c r="MD13" s="207"/>
      <c r="ME13" s="207"/>
      <c r="MF13" s="207"/>
      <c r="MG13" s="207"/>
      <c r="MH13" s="207"/>
      <c r="MI13" s="207"/>
      <c r="MJ13" s="207"/>
      <c r="MK13" s="207"/>
      <c r="ML13" s="207"/>
      <c r="MM13" s="207"/>
      <c r="MN13" s="207"/>
      <c r="MO13" s="207"/>
      <c r="MP13" s="207"/>
      <c r="MQ13" s="207"/>
      <c r="MR13" s="207"/>
      <c r="MS13" s="207"/>
      <c r="MT13" s="207"/>
      <c r="MU13" s="207"/>
      <c r="MV13" s="207"/>
      <c r="MW13" s="207"/>
      <c r="MX13" s="207"/>
      <c r="MY13" s="207"/>
      <c r="MZ13" s="207"/>
      <c r="NA13" s="208"/>
      <c r="NB13" s="206" t="s">
        <v>90</v>
      </c>
      <c r="NC13" s="207"/>
      <c r="ND13" s="207"/>
      <c r="NE13" s="207"/>
      <c r="NF13" s="207"/>
      <c r="NG13" s="207"/>
      <c r="NH13" s="207"/>
      <c r="NI13" s="207"/>
      <c r="NJ13" s="207"/>
      <c r="NK13" s="207"/>
      <c r="NL13" s="207"/>
      <c r="NM13" s="207"/>
      <c r="NN13" s="207"/>
      <c r="NO13" s="207"/>
      <c r="NP13" s="207"/>
      <c r="NQ13" s="207"/>
      <c r="NR13" s="207"/>
      <c r="NS13" s="207"/>
      <c r="NT13" s="207"/>
      <c r="NU13" s="207"/>
      <c r="NV13" s="207"/>
      <c r="NW13" s="207"/>
      <c r="NX13" s="207"/>
      <c r="NY13" s="207"/>
      <c r="NZ13" s="207"/>
      <c r="OA13" s="207"/>
      <c r="OB13" s="207"/>
      <c r="OC13" s="207"/>
      <c r="OD13" s="207"/>
      <c r="OE13" s="207"/>
      <c r="OF13" s="207"/>
      <c r="OG13" s="207"/>
      <c r="OH13" s="207"/>
      <c r="OI13" s="207"/>
      <c r="OJ13" s="207"/>
      <c r="OK13" s="207"/>
      <c r="OL13" s="207"/>
      <c r="OM13" s="207"/>
      <c r="ON13" s="207"/>
      <c r="OO13" s="207"/>
      <c r="OP13" s="207"/>
      <c r="OQ13" s="207"/>
      <c r="OR13" s="207"/>
      <c r="OS13" s="207"/>
      <c r="OT13" s="207"/>
      <c r="OU13" s="207"/>
      <c r="OV13" s="207"/>
      <c r="OW13" s="207"/>
      <c r="OX13" s="207"/>
      <c r="OY13" s="207"/>
      <c r="OZ13" s="207"/>
      <c r="PA13" s="207"/>
      <c r="PB13" s="207"/>
      <c r="PC13" s="207"/>
      <c r="PD13" s="207"/>
      <c r="PE13" s="207"/>
      <c r="PF13" s="207"/>
      <c r="PG13" s="207"/>
      <c r="PH13" s="207"/>
      <c r="PI13" s="208"/>
      <c r="PJ13" s="206" t="s">
        <v>89</v>
      </c>
      <c r="PK13" s="207"/>
      <c r="PL13" s="207"/>
      <c r="PM13" s="207"/>
      <c r="PN13" s="207"/>
      <c r="PO13" s="207"/>
      <c r="PP13" s="207"/>
      <c r="PQ13" s="207"/>
      <c r="PR13" s="207"/>
      <c r="PS13" s="207"/>
      <c r="PT13" s="207"/>
      <c r="PU13" s="207"/>
      <c r="PV13" s="207"/>
      <c r="PW13" s="207"/>
      <c r="PX13" s="207"/>
      <c r="PY13" s="207"/>
      <c r="PZ13" s="207"/>
      <c r="QA13" s="207"/>
      <c r="QB13" s="207"/>
      <c r="QC13" s="207"/>
      <c r="QD13" s="207"/>
      <c r="QE13" s="207"/>
      <c r="QF13" s="207"/>
      <c r="QG13" s="207"/>
      <c r="QH13" s="207"/>
      <c r="QI13" s="207"/>
      <c r="QJ13" s="207"/>
      <c r="QK13" s="207"/>
      <c r="QL13" s="207"/>
      <c r="QM13" s="207"/>
      <c r="QN13" s="207"/>
      <c r="QO13" s="207"/>
      <c r="QP13" s="207"/>
      <c r="QQ13" s="207"/>
      <c r="QR13" s="207"/>
      <c r="QS13" s="207"/>
      <c r="QT13" s="207"/>
      <c r="QU13" s="207"/>
      <c r="QV13" s="207"/>
      <c r="QW13" s="207"/>
      <c r="QX13" s="207"/>
      <c r="QY13" s="207"/>
      <c r="QZ13" s="207"/>
      <c r="RA13" s="207"/>
      <c r="RB13" s="207"/>
      <c r="RC13" s="207"/>
      <c r="RD13" s="207"/>
      <c r="RE13" s="207"/>
      <c r="RF13" s="207"/>
      <c r="RG13" s="207"/>
      <c r="RH13" s="207"/>
      <c r="RI13" s="207"/>
      <c r="RJ13" s="207"/>
      <c r="RK13" s="207"/>
      <c r="RL13" s="207"/>
      <c r="RM13" s="207"/>
      <c r="RN13" s="207"/>
      <c r="RO13" s="207"/>
      <c r="RP13" s="207"/>
      <c r="RQ13" s="208"/>
      <c r="RR13" s="206" t="s">
        <v>87</v>
      </c>
      <c r="RS13" s="207"/>
      <c r="RT13" s="207"/>
      <c r="RU13" s="207"/>
      <c r="RV13" s="207"/>
      <c r="RW13" s="207"/>
      <c r="RX13" s="207"/>
      <c r="RY13" s="207"/>
      <c r="RZ13" s="207"/>
      <c r="SA13" s="207"/>
      <c r="SB13" s="207"/>
      <c r="SC13" s="207"/>
      <c r="SD13" s="207"/>
      <c r="SE13" s="207"/>
      <c r="SF13" s="207"/>
      <c r="SG13" s="207"/>
      <c r="SH13" s="207"/>
      <c r="SI13" s="207"/>
      <c r="SJ13" s="207"/>
      <c r="SK13" s="207"/>
      <c r="SL13" s="207"/>
      <c r="SM13" s="207"/>
      <c r="SN13" s="207"/>
      <c r="SO13" s="207"/>
      <c r="SP13" s="207"/>
      <c r="SQ13" s="207"/>
      <c r="SR13" s="207"/>
      <c r="SS13" s="207"/>
      <c r="ST13" s="207"/>
      <c r="SU13" s="207"/>
      <c r="SV13" s="207"/>
      <c r="SW13" s="207"/>
      <c r="SX13" s="207"/>
      <c r="SY13" s="207"/>
      <c r="SZ13" s="207"/>
      <c r="TA13" s="207"/>
      <c r="TB13" s="207"/>
      <c r="TC13" s="207"/>
      <c r="TD13" s="207"/>
      <c r="TE13" s="207"/>
      <c r="TF13" s="207"/>
      <c r="TG13" s="207"/>
      <c r="TH13" s="207"/>
      <c r="TI13" s="207"/>
      <c r="TJ13" s="207"/>
      <c r="TK13" s="207"/>
      <c r="TL13" s="207"/>
      <c r="TM13" s="207"/>
      <c r="TN13" s="207"/>
      <c r="TO13" s="207"/>
      <c r="TP13" s="207"/>
      <c r="TQ13" s="207"/>
      <c r="TR13" s="207"/>
      <c r="TS13" s="207"/>
      <c r="TT13" s="207"/>
      <c r="TU13" s="207"/>
      <c r="TV13" s="207"/>
      <c r="TW13" s="207"/>
      <c r="TX13" s="207"/>
      <c r="TY13" s="208"/>
      <c r="TZ13" s="206" t="s">
        <v>85</v>
      </c>
      <c r="UA13" s="207"/>
      <c r="UB13" s="207"/>
      <c r="UC13" s="207"/>
      <c r="UD13" s="207"/>
      <c r="UE13" s="207"/>
      <c r="UF13" s="207"/>
      <c r="UG13" s="207"/>
      <c r="UH13" s="207"/>
      <c r="UI13" s="207"/>
      <c r="UJ13" s="207"/>
      <c r="UK13" s="207"/>
      <c r="UL13" s="207"/>
      <c r="UM13" s="207"/>
      <c r="UN13" s="207"/>
      <c r="UO13" s="207"/>
      <c r="UP13" s="207"/>
      <c r="UQ13" s="207"/>
      <c r="UR13" s="207"/>
      <c r="US13" s="207"/>
      <c r="UT13" s="207"/>
      <c r="UU13" s="207"/>
      <c r="UV13" s="207"/>
      <c r="UW13" s="207"/>
      <c r="UX13" s="207"/>
      <c r="UY13" s="207"/>
      <c r="UZ13" s="207"/>
      <c r="VA13" s="207"/>
      <c r="VB13" s="207"/>
      <c r="VC13" s="207"/>
      <c r="VD13" s="207"/>
      <c r="VE13" s="207"/>
      <c r="VF13" s="207"/>
      <c r="VG13" s="207"/>
      <c r="VH13" s="207"/>
      <c r="VI13" s="207"/>
      <c r="VJ13" s="207"/>
      <c r="VK13" s="207"/>
      <c r="VL13" s="207"/>
      <c r="VM13" s="207"/>
      <c r="VN13" s="207"/>
      <c r="VO13" s="207"/>
      <c r="VP13" s="207"/>
      <c r="VQ13" s="207"/>
      <c r="VR13" s="207"/>
      <c r="VS13" s="207"/>
      <c r="VT13" s="207"/>
      <c r="VU13" s="207"/>
      <c r="VV13" s="207"/>
      <c r="VW13" s="207"/>
      <c r="VX13" s="207"/>
      <c r="VY13" s="207"/>
      <c r="VZ13" s="207"/>
      <c r="WA13" s="207"/>
      <c r="WB13" s="207"/>
      <c r="WC13" s="207"/>
      <c r="WD13" s="207"/>
      <c r="WE13" s="207"/>
      <c r="WF13" s="207"/>
      <c r="WG13" s="208"/>
      <c r="WH13" s="206" t="s">
        <v>84</v>
      </c>
      <c r="WI13" s="207"/>
      <c r="WJ13" s="207"/>
      <c r="WK13" s="207"/>
      <c r="WL13" s="207"/>
      <c r="WM13" s="207"/>
      <c r="WN13" s="207"/>
      <c r="WO13" s="207"/>
      <c r="WP13" s="207"/>
      <c r="WQ13" s="207"/>
      <c r="WR13" s="207"/>
      <c r="WS13" s="207"/>
      <c r="WT13" s="207"/>
      <c r="WU13" s="207"/>
      <c r="WV13" s="207"/>
      <c r="WW13" s="207"/>
      <c r="WX13" s="207"/>
      <c r="WY13" s="207"/>
      <c r="WZ13" s="207"/>
      <c r="XA13" s="207"/>
      <c r="XB13" s="207"/>
      <c r="XC13" s="207"/>
      <c r="XD13" s="207"/>
      <c r="XE13" s="207"/>
      <c r="XF13" s="207"/>
      <c r="XG13" s="207"/>
      <c r="XH13" s="207"/>
      <c r="XI13" s="207"/>
      <c r="XJ13" s="207"/>
      <c r="XK13" s="207"/>
      <c r="XL13" s="207"/>
      <c r="XM13" s="207"/>
      <c r="XN13" s="207"/>
      <c r="XO13" s="207"/>
      <c r="XP13" s="207"/>
      <c r="XQ13" s="207"/>
      <c r="XR13" s="207"/>
      <c r="XS13" s="207"/>
      <c r="XT13" s="207"/>
      <c r="XU13" s="207"/>
      <c r="XV13" s="207"/>
      <c r="XW13" s="207"/>
      <c r="XX13" s="207"/>
      <c r="XY13" s="207"/>
      <c r="XZ13" s="207"/>
      <c r="YA13" s="207"/>
      <c r="YB13" s="207"/>
      <c r="YC13" s="207"/>
      <c r="YD13" s="207"/>
      <c r="YE13" s="207"/>
      <c r="YF13" s="207"/>
      <c r="YG13" s="207"/>
      <c r="YH13" s="207"/>
      <c r="YI13" s="207"/>
      <c r="YJ13" s="207"/>
      <c r="YK13" s="207"/>
      <c r="YL13" s="207"/>
      <c r="YM13" s="207"/>
      <c r="YN13" s="207"/>
      <c r="YO13" s="208"/>
      <c r="YP13" s="206" t="s">
        <v>82</v>
      </c>
      <c r="YQ13" s="207"/>
      <c r="YR13" s="207"/>
      <c r="YS13" s="207"/>
      <c r="YT13" s="207"/>
      <c r="YU13" s="207"/>
      <c r="YV13" s="207"/>
      <c r="YW13" s="207"/>
      <c r="YX13" s="207"/>
      <c r="YY13" s="207"/>
      <c r="YZ13" s="207"/>
      <c r="ZA13" s="207"/>
      <c r="ZB13" s="207"/>
      <c r="ZC13" s="207"/>
      <c r="ZD13" s="207"/>
      <c r="ZE13" s="207"/>
      <c r="ZF13" s="207"/>
      <c r="ZG13" s="207"/>
      <c r="ZH13" s="207"/>
      <c r="ZI13" s="207"/>
      <c r="ZJ13" s="207"/>
      <c r="ZK13" s="207"/>
      <c r="ZL13" s="207"/>
      <c r="ZM13" s="207"/>
      <c r="ZN13" s="207"/>
      <c r="ZO13" s="207"/>
      <c r="ZP13" s="207"/>
      <c r="ZQ13" s="207"/>
      <c r="ZR13" s="207"/>
      <c r="ZS13" s="207"/>
      <c r="ZT13" s="207"/>
      <c r="ZU13" s="207"/>
      <c r="ZV13" s="207"/>
      <c r="ZW13" s="207"/>
      <c r="ZX13" s="207"/>
      <c r="ZY13" s="207"/>
      <c r="ZZ13" s="207"/>
      <c r="AAA13" s="207"/>
      <c r="AAB13" s="207"/>
      <c r="AAC13" s="207"/>
      <c r="AAD13" s="207"/>
      <c r="AAE13" s="207"/>
      <c r="AAF13" s="207"/>
      <c r="AAG13" s="207"/>
      <c r="AAH13" s="207"/>
      <c r="AAI13" s="207"/>
      <c r="AAJ13" s="207"/>
      <c r="AAK13" s="207"/>
      <c r="AAL13" s="207"/>
      <c r="AAM13" s="207"/>
      <c r="AAN13" s="207"/>
      <c r="AAO13" s="207"/>
      <c r="AAP13" s="207"/>
      <c r="AAQ13" s="207"/>
      <c r="AAR13" s="207"/>
      <c r="AAS13" s="207"/>
      <c r="AAT13" s="207"/>
      <c r="AAU13" s="207"/>
      <c r="AAV13" s="207"/>
      <c r="AAW13" s="208"/>
      <c r="AAX13" s="206" t="s">
        <v>81</v>
      </c>
      <c r="AAY13" s="207"/>
      <c r="AAZ13" s="207"/>
      <c r="ABA13" s="207"/>
      <c r="ABB13" s="207"/>
      <c r="ABC13" s="207"/>
      <c r="ABD13" s="207"/>
      <c r="ABE13" s="207"/>
      <c r="ABF13" s="207"/>
      <c r="ABG13" s="207"/>
      <c r="ABH13" s="207"/>
      <c r="ABI13" s="207"/>
      <c r="ABJ13" s="207"/>
      <c r="ABK13" s="207"/>
      <c r="ABL13" s="207"/>
      <c r="ABM13" s="207"/>
      <c r="ABN13" s="207"/>
      <c r="ABO13" s="207"/>
      <c r="ABP13" s="207"/>
      <c r="ABQ13" s="207"/>
      <c r="ABR13" s="207"/>
      <c r="ABS13" s="207"/>
      <c r="ABT13" s="207"/>
      <c r="ABU13" s="207"/>
      <c r="ABV13" s="207"/>
      <c r="ABW13" s="207"/>
      <c r="ABX13" s="207"/>
      <c r="ABY13" s="207"/>
      <c r="ABZ13" s="207"/>
      <c r="ACA13" s="207"/>
      <c r="ACB13" s="207"/>
      <c r="ACC13" s="207"/>
      <c r="ACD13" s="207"/>
      <c r="ACE13" s="207"/>
      <c r="ACF13" s="207"/>
      <c r="ACG13" s="207"/>
      <c r="ACH13" s="207"/>
      <c r="ACI13" s="207"/>
      <c r="ACJ13" s="207"/>
      <c r="ACK13" s="207"/>
      <c r="ACL13" s="207"/>
      <c r="ACM13" s="207"/>
      <c r="ACN13" s="207"/>
      <c r="ACO13" s="207"/>
      <c r="ACP13" s="207"/>
      <c r="ACQ13" s="207"/>
      <c r="ACR13" s="207"/>
      <c r="ACS13" s="207"/>
      <c r="ACT13" s="207"/>
      <c r="ACU13" s="207"/>
      <c r="ACV13" s="207"/>
      <c r="ACW13" s="207"/>
      <c r="ACX13" s="207"/>
      <c r="ACY13" s="207"/>
      <c r="ACZ13" s="207"/>
      <c r="ADA13" s="207"/>
      <c r="ADB13" s="207"/>
      <c r="ADC13" s="207"/>
      <c r="ADD13" s="207"/>
      <c r="ADE13" s="208"/>
      <c r="ADF13" s="206" t="s">
        <v>79</v>
      </c>
      <c r="ADG13" s="207"/>
      <c r="ADH13" s="207"/>
      <c r="ADI13" s="207"/>
      <c r="ADJ13" s="207"/>
      <c r="ADK13" s="207"/>
      <c r="ADL13" s="207"/>
      <c r="ADM13" s="207"/>
      <c r="ADN13" s="207"/>
      <c r="ADO13" s="207"/>
      <c r="ADP13" s="207"/>
      <c r="ADQ13" s="207"/>
      <c r="ADR13" s="207"/>
      <c r="ADS13" s="207"/>
      <c r="ADT13" s="207"/>
      <c r="ADU13" s="207"/>
      <c r="ADV13" s="207"/>
      <c r="ADW13" s="207"/>
      <c r="ADX13" s="207"/>
      <c r="ADY13" s="207"/>
      <c r="ADZ13" s="207"/>
      <c r="AEA13" s="207"/>
      <c r="AEB13" s="207"/>
      <c r="AEC13" s="207"/>
      <c r="AED13" s="207"/>
      <c r="AEE13" s="207"/>
      <c r="AEF13" s="207"/>
      <c r="AEG13" s="207"/>
      <c r="AEH13" s="207"/>
      <c r="AEI13" s="207"/>
      <c r="AEJ13" s="207"/>
      <c r="AEK13" s="207"/>
      <c r="AEL13" s="207"/>
      <c r="AEM13" s="207"/>
      <c r="AEN13" s="207"/>
      <c r="AEO13" s="207"/>
      <c r="AEP13" s="207"/>
      <c r="AEQ13" s="207"/>
      <c r="AER13" s="207"/>
      <c r="AES13" s="207"/>
      <c r="AET13" s="207"/>
      <c r="AEU13" s="207"/>
      <c r="AEV13" s="207"/>
      <c r="AEW13" s="207"/>
      <c r="AEX13" s="207"/>
      <c r="AEY13" s="207"/>
      <c r="AEZ13" s="207"/>
      <c r="AFA13" s="207"/>
      <c r="AFB13" s="207"/>
      <c r="AFC13" s="207"/>
      <c r="AFD13" s="207"/>
      <c r="AFE13" s="207"/>
      <c r="AFF13" s="207"/>
      <c r="AFG13" s="207"/>
      <c r="AFH13" s="207"/>
      <c r="AFI13" s="207"/>
      <c r="AFJ13" s="207"/>
      <c r="AFK13" s="207"/>
      <c r="AFL13" s="207"/>
      <c r="AFM13" s="208"/>
      <c r="AFN13" s="206" t="s">
        <v>151</v>
      </c>
      <c r="AFO13" s="207"/>
      <c r="AFP13" s="207"/>
      <c r="AFQ13" s="207"/>
      <c r="AFR13" s="207"/>
      <c r="AFS13" s="207"/>
      <c r="AFT13" s="207"/>
      <c r="AFU13" s="207"/>
      <c r="AFV13" s="207"/>
      <c r="AFW13" s="207"/>
      <c r="AFX13" s="207"/>
      <c r="AFY13" s="207"/>
      <c r="AFZ13" s="207"/>
      <c r="AGA13" s="207"/>
      <c r="AGB13" s="207"/>
      <c r="AGC13" s="207"/>
      <c r="AGD13" s="207"/>
      <c r="AGE13" s="207"/>
      <c r="AGF13" s="207"/>
      <c r="AGG13" s="207"/>
      <c r="AGH13" s="207"/>
      <c r="AGI13" s="207"/>
      <c r="AGJ13" s="207"/>
      <c r="AGK13" s="207"/>
      <c r="AGL13" s="207"/>
      <c r="AGM13" s="207"/>
      <c r="AGN13" s="207"/>
      <c r="AGO13" s="207"/>
      <c r="AGP13" s="207"/>
      <c r="AGQ13" s="207"/>
      <c r="AGR13" s="207"/>
      <c r="AGS13" s="207"/>
      <c r="AGT13" s="207"/>
      <c r="AGU13" s="207"/>
      <c r="AGV13" s="207"/>
      <c r="AGW13" s="207"/>
      <c r="AGX13" s="207"/>
      <c r="AGY13" s="207"/>
      <c r="AGZ13" s="207"/>
      <c r="AHA13" s="207"/>
      <c r="AHB13" s="207"/>
      <c r="AHC13" s="207"/>
      <c r="AHD13" s="207"/>
      <c r="AHE13" s="207"/>
      <c r="AHF13" s="207"/>
      <c r="AHG13" s="207"/>
      <c r="AHH13" s="207"/>
      <c r="AHI13" s="207"/>
      <c r="AHJ13" s="207"/>
      <c r="AHK13" s="207"/>
      <c r="AHL13" s="207"/>
      <c r="AHM13" s="207"/>
      <c r="AHN13" s="207"/>
      <c r="AHO13" s="207"/>
      <c r="AHP13" s="207"/>
      <c r="AHQ13" s="207"/>
      <c r="AHR13" s="207"/>
      <c r="AHS13" s="207"/>
      <c r="AHT13" s="207"/>
      <c r="AHU13" s="208"/>
      <c r="AHV13" s="206" t="s">
        <v>150</v>
      </c>
      <c r="AHW13" s="207"/>
      <c r="AHX13" s="207"/>
      <c r="AHY13" s="207"/>
      <c r="AHZ13" s="207"/>
      <c r="AIA13" s="207"/>
      <c r="AIB13" s="207"/>
      <c r="AIC13" s="207"/>
      <c r="AID13" s="207"/>
      <c r="AIE13" s="207"/>
      <c r="AIF13" s="207"/>
      <c r="AIG13" s="207"/>
      <c r="AIH13" s="207"/>
      <c r="AII13" s="207"/>
      <c r="AIJ13" s="207"/>
      <c r="AIK13" s="207"/>
      <c r="AIL13" s="207"/>
      <c r="AIM13" s="207"/>
      <c r="AIN13" s="207"/>
      <c r="AIO13" s="207"/>
      <c r="AIP13" s="207"/>
      <c r="AIQ13" s="207"/>
      <c r="AIR13" s="207"/>
      <c r="AIS13" s="207"/>
      <c r="AIT13" s="207"/>
      <c r="AIU13" s="207"/>
      <c r="AIV13" s="207"/>
      <c r="AIW13" s="207"/>
      <c r="AIX13" s="207"/>
      <c r="AIY13" s="207"/>
      <c r="AIZ13" s="207"/>
      <c r="AJA13" s="207"/>
      <c r="AJB13" s="207"/>
      <c r="AJC13" s="207"/>
      <c r="AJD13" s="207"/>
      <c r="AJE13" s="207"/>
      <c r="AJF13" s="207"/>
      <c r="AJG13" s="207"/>
      <c r="AJH13" s="207"/>
      <c r="AJI13" s="207"/>
      <c r="AJJ13" s="207"/>
      <c r="AJK13" s="207"/>
      <c r="AJL13" s="207"/>
      <c r="AJM13" s="207"/>
      <c r="AJN13" s="207"/>
      <c r="AJO13" s="207"/>
      <c r="AJP13" s="207"/>
      <c r="AJQ13" s="207"/>
      <c r="AJR13" s="207"/>
      <c r="AJS13" s="207"/>
      <c r="AJT13" s="207"/>
      <c r="AJU13" s="207"/>
      <c r="AJV13" s="207"/>
      <c r="AJW13" s="207"/>
      <c r="AJX13" s="207"/>
      <c r="AJY13" s="207"/>
      <c r="AJZ13" s="207"/>
      <c r="AKA13" s="207"/>
      <c r="AKB13" s="207"/>
      <c r="AKC13" s="208"/>
      <c r="AKD13" s="206" t="s">
        <v>149</v>
      </c>
      <c r="AKE13" s="207"/>
      <c r="AKF13" s="207"/>
      <c r="AKG13" s="207"/>
      <c r="AKH13" s="207"/>
      <c r="AKI13" s="207"/>
      <c r="AKJ13" s="207"/>
      <c r="AKK13" s="207"/>
      <c r="AKL13" s="207"/>
      <c r="AKM13" s="207"/>
      <c r="AKN13" s="207"/>
      <c r="AKO13" s="207"/>
      <c r="AKP13" s="207"/>
      <c r="AKQ13" s="207"/>
      <c r="AKR13" s="207"/>
      <c r="AKS13" s="207"/>
      <c r="AKT13" s="207"/>
      <c r="AKU13" s="207"/>
      <c r="AKV13" s="207"/>
      <c r="AKW13" s="207"/>
      <c r="AKX13" s="207"/>
      <c r="AKY13" s="207"/>
      <c r="AKZ13" s="207"/>
      <c r="ALA13" s="207"/>
      <c r="ALB13" s="207"/>
      <c r="ALC13" s="207"/>
      <c r="ALD13" s="207"/>
      <c r="ALE13" s="207"/>
      <c r="ALF13" s="207"/>
      <c r="ALG13" s="207"/>
      <c r="ALH13" s="207"/>
      <c r="ALI13" s="207"/>
      <c r="ALJ13" s="207"/>
      <c r="ALK13" s="207"/>
      <c r="ALL13" s="207"/>
      <c r="ALM13" s="207"/>
      <c r="ALN13" s="207"/>
      <c r="ALO13" s="207"/>
      <c r="ALP13" s="207"/>
      <c r="ALQ13" s="207"/>
      <c r="ALR13" s="207"/>
      <c r="ALS13" s="207"/>
      <c r="ALT13" s="207"/>
      <c r="ALU13" s="207"/>
      <c r="ALV13" s="207"/>
      <c r="ALW13" s="207"/>
      <c r="ALX13" s="207"/>
      <c r="ALY13" s="207"/>
      <c r="ALZ13" s="207"/>
      <c r="AMA13" s="207"/>
      <c r="AMB13" s="207"/>
      <c r="AMC13" s="207"/>
      <c r="AMD13" s="207"/>
      <c r="AME13" s="207"/>
      <c r="AMF13" s="207"/>
      <c r="AMG13" s="207"/>
      <c r="AMH13" s="207"/>
      <c r="AMI13" s="207"/>
      <c r="AMJ13" s="207"/>
      <c r="AMK13" s="208"/>
      <c r="AML13" s="206" t="s">
        <v>147</v>
      </c>
      <c r="AMM13" s="207"/>
      <c r="AMN13" s="207"/>
      <c r="AMO13" s="207"/>
      <c r="AMP13" s="207"/>
      <c r="AMQ13" s="207"/>
      <c r="AMR13" s="207"/>
      <c r="AMS13" s="207"/>
      <c r="AMT13" s="207"/>
      <c r="AMU13" s="207"/>
      <c r="AMV13" s="207"/>
      <c r="AMW13" s="207"/>
      <c r="AMX13" s="207"/>
      <c r="AMY13" s="207"/>
      <c r="AMZ13" s="207"/>
      <c r="ANA13" s="207"/>
      <c r="ANB13" s="207"/>
      <c r="ANC13" s="207"/>
      <c r="AND13" s="207"/>
      <c r="ANE13" s="207"/>
      <c r="ANF13" s="207"/>
      <c r="ANG13" s="207"/>
      <c r="ANH13" s="207"/>
      <c r="ANI13" s="207"/>
      <c r="ANJ13" s="207"/>
      <c r="ANK13" s="207"/>
      <c r="ANL13" s="207"/>
      <c r="ANM13" s="207"/>
      <c r="ANN13" s="207"/>
      <c r="ANO13" s="207"/>
      <c r="ANP13" s="207"/>
      <c r="ANQ13" s="207"/>
      <c r="ANR13" s="207"/>
      <c r="ANS13" s="207"/>
      <c r="ANT13" s="207"/>
      <c r="ANU13" s="207"/>
      <c r="ANV13" s="207"/>
      <c r="ANW13" s="207"/>
      <c r="ANX13" s="207"/>
      <c r="ANY13" s="207"/>
      <c r="ANZ13" s="207"/>
      <c r="AOA13" s="207"/>
      <c r="AOB13" s="207"/>
      <c r="AOC13" s="207"/>
      <c r="AOD13" s="207"/>
      <c r="AOE13" s="207"/>
      <c r="AOF13" s="207"/>
      <c r="AOG13" s="207"/>
      <c r="AOH13" s="207"/>
      <c r="AOI13" s="207"/>
      <c r="AOJ13" s="207"/>
      <c r="AOK13" s="207"/>
      <c r="AOL13" s="207"/>
      <c r="AOM13" s="207"/>
      <c r="AON13" s="207"/>
      <c r="AOO13" s="207"/>
      <c r="AOP13" s="207"/>
      <c r="AOQ13" s="207"/>
      <c r="AOR13" s="207"/>
      <c r="AOS13" s="208"/>
      <c r="AOT13" s="206" t="s">
        <v>145</v>
      </c>
      <c r="AOU13" s="207"/>
      <c r="AOV13" s="207"/>
      <c r="AOW13" s="207"/>
      <c r="AOX13" s="207"/>
      <c r="AOY13" s="207"/>
      <c r="AOZ13" s="207"/>
      <c r="APA13" s="207"/>
      <c r="APB13" s="207"/>
      <c r="APC13" s="207"/>
      <c r="APD13" s="207"/>
      <c r="APE13" s="207"/>
      <c r="APF13" s="207"/>
      <c r="APG13" s="207"/>
      <c r="APH13" s="207"/>
      <c r="API13" s="207"/>
      <c r="APJ13" s="207"/>
      <c r="APK13" s="207"/>
      <c r="APL13" s="207"/>
      <c r="APM13" s="207"/>
      <c r="APN13" s="207"/>
      <c r="APO13" s="207"/>
      <c r="APP13" s="207"/>
      <c r="APQ13" s="207"/>
      <c r="APR13" s="207"/>
      <c r="APS13" s="207"/>
      <c r="APT13" s="207"/>
      <c r="APU13" s="207"/>
      <c r="APV13" s="207"/>
      <c r="APW13" s="207"/>
      <c r="APX13" s="207"/>
      <c r="APY13" s="207"/>
      <c r="APZ13" s="207"/>
      <c r="AQA13" s="207"/>
      <c r="AQB13" s="207"/>
      <c r="AQC13" s="207"/>
      <c r="AQD13" s="207"/>
      <c r="AQE13" s="207"/>
      <c r="AQF13" s="207"/>
      <c r="AQG13" s="207"/>
      <c r="AQH13" s="207"/>
      <c r="AQI13" s="207"/>
      <c r="AQJ13" s="207"/>
      <c r="AQK13" s="207"/>
      <c r="AQL13" s="207"/>
      <c r="AQM13" s="207"/>
      <c r="AQN13" s="207"/>
      <c r="AQO13" s="207"/>
      <c r="AQP13" s="207"/>
      <c r="AQQ13" s="207"/>
      <c r="AQR13" s="207"/>
      <c r="AQS13" s="207"/>
      <c r="AQT13" s="207"/>
      <c r="AQU13" s="207"/>
      <c r="AQV13" s="207"/>
      <c r="AQW13" s="207"/>
      <c r="AQX13" s="207"/>
      <c r="AQY13" s="207"/>
      <c r="AQZ13" s="207"/>
      <c r="ARA13" s="208"/>
      <c r="ARB13" s="206" t="s">
        <v>144</v>
      </c>
      <c r="ARC13" s="207"/>
      <c r="ARD13" s="207"/>
      <c r="ARE13" s="207"/>
      <c r="ARF13" s="207"/>
      <c r="ARG13" s="207"/>
      <c r="ARH13" s="207"/>
      <c r="ARI13" s="207"/>
      <c r="ARJ13" s="207"/>
      <c r="ARK13" s="207"/>
      <c r="ARL13" s="207"/>
      <c r="ARM13" s="207"/>
      <c r="ARN13" s="207"/>
      <c r="ARO13" s="207"/>
      <c r="ARP13" s="207"/>
      <c r="ARQ13" s="207"/>
      <c r="ARR13" s="207"/>
      <c r="ARS13" s="207"/>
      <c r="ART13" s="207"/>
      <c r="ARU13" s="207"/>
      <c r="ARV13" s="207"/>
      <c r="ARW13" s="207"/>
      <c r="ARX13" s="207"/>
      <c r="ARY13" s="207"/>
      <c r="ARZ13" s="207"/>
      <c r="ASA13" s="207"/>
      <c r="ASB13" s="207"/>
      <c r="ASC13" s="207"/>
      <c r="ASD13" s="207"/>
      <c r="ASE13" s="207"/>
      <c r="ASF13" s="207"/>
      <c r="ASG13" s="207"/>
      <c r="ASH13" s="207"/>
      <c r="ASI13" s="207"/>
      <c r="ASJ13" s="207"/>
      <c r="ASK13" s="207"/>
      <c r="ASL13" s="207"/>
      <c r="ASM13" s="207"/>
      <c r="ASN13" s="207"/>
      <c r="ASO13" s="207"/>
      <c r="ASP13" s="207"/>
      <c r="ASQ13" s="207"/>
      <c r="ASR13" s="207"/>
      <c r="ASS13" s="207"/>
      <c r="AST13" s="207"/>
      <c r="ASU13" s="207"/>
      <c r="ASV13" s="207"/>
      <c r="ASW13" s="207"/>
      <c r="ASX13" s="207"/>
      <c r="ASY13" s="207"/>
      <c r="ASZ13" s="207"/>
      <c r="ATA13" s="207"/>
      <c r="ATB13" s="207"/>
      <c r="ATC13" s="207"/>
      <c r="ATD13" s="207"/>
      <c r="ATE13" s="207"/>
      <c r="ATF13" s="207"/>
      <c r="ATG13" s="207"/>
      <c r="ATH13" s="207"/>
      <c r="ATI13" s="208"/>
      <c r="ATJ13" s="206" t="s">
        <v>142</v>
      </c>
      <c r="ATK13" s="207"/>
      <c r="ATL13" s="207"/>
      <c r="ATM13" s="207"/>
      <c r="ATN13" s="207"/>
      <c r="ATO13" s="207"/>
      <c r="ATP13" s="207"/>
      <c r="ATQ13" s="207"/>
      <c r="ATR13" s="207"/>
      <c r="ATS13" s="207"/>
      <c r="ATT13" s="207"/>
      <c r="ATU13" s="207"/>
      <c r="ATV13" s="207"/>
      <c r="ATW13" s="207"/>
      <c r="ATX13" s="207"/>
      <c r="ATY13" s="207"/>
      <c r="ATZ13" s="207"/>
      <c r="AUA13" s="207"/>
      <c r="AUB13" s="207"/>
      <c r="AUC13" s="207"/>
      <c r="AUD13" s="207"/>
      <c r="AUE13" s="207"/>
      <c r="AUF13" s="207"/>
      <c r="AUG13" s="207"/>
      <c r="AUH13" s="207"/>
      <c r="AUI13" s="207"/>
      <c r="AUJ13" s="207"/>
      <c r="AUK13" s="207"/>
      <c r="AUL13" s="207"/>
      <c r="AUM13" s="207"/>
      <c r="AUN13" s="207"/>
      <c r="AUO13" s="207"/>
      <c r="AUP13" s="207"/>
      <c r="AUQ13" s="207"/>
      <c r="AUR13" s="207"/>
      <c r="AUS13" s="207"/>
      <c r="AUT13" s="207"/>
      <c r="AUU13" s="207"/>
      <c r="AUV13" s="207"/>
      <c r="AUW13" s="207"/>
      <c r="AUX13" s="207"/>
      <c r="AUY13" s="207"/>
      <c r="AUZ13" s="207"/>
      <c r="AVA13" s="207"/>
      <c r="AVB13" s="207"/>
      <c r="AVC13" s="207"/>
      <c r="AVD13" s="207"/>
      <c r="AVE13" s="207"/>
      <c r="AVF13" s="207"/>
      <c r="AVG13" s="207"/>
      <c r="AVH13" s="207"/>
      <c r="AVI13" s="207"/>
      <c r="AVJ13" s="207"/>
      <c r="AVK13" s="207"/>
      <c r="AVL13" s="207"/>
      <c r="AVM13" s="207"/>
      <c r="AVN13" s="207"/>
      <c r="AVO13" s="207"/>
      <c r="AVP13" s="207"/>
      <c r="AVQ13" s="208"/>
      <c r="AVR13" s="206" t="s">
        <v>141</v>
      </c>
      <c r="AVS13" s="207"/>
      <c r="AVT13" s="207"/>
      <c r="AVU13" s="207"/>
      <c r="AVV13" s="207"/>
      <c r="AVW13" s="207"/>
      <c r="AVX13" s="207"/>
      <c r="AVY13" s="207"/>
      <c r="AVZ13" s="207"/>
      <c r="AWA13" s="207"/>
      <c r="AWB13" s="207"/>
      <c r="AWC13" s="207"/>
      <c r="AWD13" s="207"/>
      <c r="AWE13" s="207"/>
      <c r="AWF13" s="207"/>
      <c r="AWG13" s="207"/>
      <c r="AWH13" s="207"/>
      <c r="AWI13" s="207"/>
      <c r="AWJ13" s="207"/>
      <c r="AWK13" s="207"/>
      <c r="AWL13" s="207"/>
      <c r="AWM13" s="207"/>
      <c r="AWN13" s="207"/>
      <c r="AWO13" s="207"/>
      <c r="AWP13" s="207"/>
      <c r="AWQ13" s="207"/>
      <c r="AWR13" s="207"/>
      <c r="AWS13" s="207"/>
      <c r="AWT13" s="207"/>
      <c r="AWU13" s="207"/>
      <c r="AWV13" s="207"/>
      <c r="AWW13" s="207"/>
      <c r="AWX13" s="207"/>
      <c r="AWY13" s="207"/>
      <c r="AWZ13" s="207"/>
      <c r="AXA13" s="207"/>
      <c r="AXB13" s="207"/>
      <c r="AXC13" s="207"/>
      <c r="AXD13" s="207"/>
      <c r="AXE13" s="207"/>
      <c r="AXF13" s="207"/>
      <c r="AXG13" s="207"/>
      <c r="AXH13" s="207"/>
      <c r="AXI13" s="207"/>
      <c r="AXJ13" s="207"/>
      <c r="AXK13" s="207"/>
      <c r="AXL13" s="207"/>
      <c r="AXM13" s="207"/>
      <c r="AXN13" s="207"/>
      <c r="AXO13" s="207"/>
      <c r="AXP13" s="207"/>
      <c r="AXQ13" s="207"/>
      <c r="AXR13" s="207"/>
      <c r="AXS13" s="207"/>
      <c r="AXT13" s="207"/>
      <c r="AXU13" s="207"/>
      <c r="AXV13" s="207"/>
      <c r="AXW13" s="207"/>
      <c r="AXX13" s="207"/>
      <c r="AXY13" s="208"/>
      <c r="AXZ13" s="206" t="s">
        <v>139</v>
      </c>
      <c r="AYA13" s="207"/>
      <c r="AYB13" s="207"/>
      <c r="AYC13" s="207"/>
      <c r="AYD13" s="207"/>
      <c r="AYE13" s="207"/>
      <c r="AYF13" s="207"/>
      <c r="AYG13" s="207"/>
      <c r="AYH13" s="207"/>
      <c r="AYI13" s="207"/>
      <c r="AYJ13" s="207"/>
      <c r="AYK13" s="207"/>
      <c r="AYL13" s="207"/>
      <c r="AYM13" s="207"/>
      <c r="AYN13" s="207"/>
      <c r="AYO13" s="207"/>
      <c r="AYP13" s="207"/>
      <c r="AYQ13" s="207"/>
      <c r="AYR13" s="207"/>
      <c r="AYS13" s="207"/>
      <c r="AYT13" s="207"/>
      <c r="AYU13" s="207"/>
      <c r="AYV13" s="207"/>
      <c r="AYW13" s="207"/>
      <c r="AYX13" s="207"/>
      <c r="AYY13" s="207"/>
      <c r="AYZ13" s="207"/>
      <c r="AZA13" s="207"/>
      <c r="AZB13" s="207"/>
      <c r="AZC13" s="207"/>
      <c r="AZD13" s="207"/>
      <c r="AZE13" s="207"/>
      <c r="AZF13" s="207"/>
      <c r="AZG13" s="207"/>
      <c r="AZH13" s="207"/>
      <c r="AZI13" s="207"/>
      <c r="AZJ13" s="207"/>
      <c r="AZK13" s="207"/>
      <c r="AZL13" s="207"/>
      <c r="AZM13" s="207"/>
      <c r="AZN13" s="207"/>
      <c r="AZO13" s="207"/>
      <c r="AZP13" s="207"/>
      <c r="AZQ13" s="207"/>
      <c r="AZR13" s="207"/>
      <c r="AZS13" s="207"/>
      <c r="AZT13" s="207"/>
      <c r="AZU13" s="207"/>
      <c r="AZV13" s="207"/>
      <c r="AZW13" s="207"/>
      <c r="AZX13" s="207"/>
      <c r="AZY13" s="207"/>
      <c r="AZZ13" s="207"/>
      <c r="BAA13" s="207"/>
      <c r="BAB13" s="207"/>
      <c r="BAC13" s="207"/>
      <c r="BAD13" s="207"/>
      <c r="BAE13" s="207"/>
      <c r="BAF13" s="207"/>
      <c r="BAG13" s="208"/>
      <c r="BAH13" s="206" t="s">
        <v>138</v>
      </c>
      <c r="BAI13" s="207"/>
      <c r="BAJ13" s="207"/>
      <c r="BAK13" s="207"/>
      <c r="BAL13" s="207"/>
      <c r="BAM13" s="207"/>
      <c r="BAN13" s="207"/>
      <c r="BAO13" s="207"/>
      <c r="BAP13" s="207"/>
      <c r="BAQ13" s="207"/>
      <c r="BAR13" s="207"/>
      <c r="BAS13" s="207"/>
      <c r="BAT13" s="207"/>
      <c r="BAU13" s="207"/>
      <c r="BAV13" s="207"/>
      <c r="BAW13" s="207"/>
      <c r="BAX13" s="207"/>
      <c r="BAY13" s="207"/>
      <c r="BAZ13" s="207"/>
      <c r="BBA13" s="207"/>
      <c r="BBB13" s="207"/>
      <c r="BBC13" s="207"/>
      <c r="BBD13" s="207"/>
      <c r="BBE13" s="207"/>
      <c r="BBF13" s="207"/>
      <c r="BBG13" s="207"/>
      <c r="BBH13" s="207"/>
      <c r="BBI13" s="207"/>
      <c r="BBJ13" s="207"/>
      <c r="BBK13" s="207"/>
      <c r="BBL13" s="207"/>
      <c r="BBM13" s="207"/>
      <c r="BBN13" s="207"/>
      <c r="BBO13" s="207"/>
      <c r="BBP13" s="207"/>
      <c r="BBQ13" s="207"/>
      <c r="BBR13" s="207"/>
      <c r="BBS13" s="207"/>
      <c r="BBT13" s="207"/>
      <c r="BBU13" s="207"/>
      <c r="BBV13" s="207"/>
      <c r="BBW13" s="207"/>
      <c r="BBX13" s="207"/>
      <c r="BBY13" s="207"/>
      <c r="BBZ13" s="207"/>
      <c r="BCA13" s="207"/>
      <c r="BCB13" s="207"/>
      <c r="BCC13" s="207"/>
      <c r="BCD13" s="207"/>
      <c r="BCE13" s="207"/>
      <c r="BCF13" s="207"/>
      <c r="BCG13" s="207"/>
      <c r="BCH13" s="207"/>
      <c r="BCI13" s="207"/>
      <c r="BCJ13" s="207"/>
      <c r="BCK13" s="207"/>
      <c r="BCL13" s="207"/>
      <c r="BCM13" s="207"/>
      <c r="BCN13" s="207"/>
      <c r="BCO13" s="208"/>
      <c r="BCP13" s="206" t="s">
        <v>136</v>
      </c>
      <c r="BCQ13" s="207"/>
      <c r="BCR13" s="207"/>
      <c r="BCS13" s="207"/>
      <c r="BCT13" s="207"/>
      <c r="BCU13" s="207"/>
      <c r="BCV13" s="207"/>
      <c r="BCW13" s="207"/>
      <c r="BCX13" s="207"/>
      <c r="BCY13" s="207"/>
      <c r="BCZ13" s="207"/>
      <c r="BDA13" s="207"/>
      <c r="BDB13" s="207"/>
      <c r="BDC13" s="207"/>
      <c r="BDD13" s="207"/>
      <c r="BDE13" s="207"/>
      <c r="BDF13" s="207"/>
      <c r="BDG13" s="207"/>
      <c r="BDH13" s="207"/>
      <c r="BDI13" s="207"/>
      <c r="BDJ13" s="207"/>
      <c r="BDK13" s="207"/>
      <c r="BDL13" s="207"/>
      <c r="BDM13" s="207"/>
      <c r="BDN13" s="207"/>
      <c r="BDO13" s="207"/>
      <c r="BDP13" s="207"/>
      <c r="BDQ13" s="207"/>
      <c r="BDR13" s="207"/>
      <c r="BDS13" s="207"/>
      <c r="BDT13" s="207"/>
      <c r="BDU13" s="207"/>
      <c r="BDV13" s="207"/>
      <c r="BDW13" s="207"/>
      <c r="BDX13" s="207"/>
      <c r="BDY13" s="207"/>
      <c r="BDZ13" s="207"/>
      <c r="BEA13" s="207"/>
      <c r="BEB13" s="207"/>
      <c r="BEC13" s="207"/>
      <c r="BED13" s="207"/>
      <c r="BEE13" s="207"/>
      <c r="BEF13" s="207"/>
      <c r="BEG13" s="207"/>
      <c r="BEH13" s="207"/>
      <c r="BEI13" s="207"/>
      <c r="BEJ13" s="207"/>
      <c r="BEK13" s="207"/>
      <c r="BEL13" s="207"/>
      <c r="BEM13" s="207"/>
      <c r="BEN13" s="207"/>
      <c r="BEO13" s="207"/>
      <c r="BEP13" s="207"/>
      <c r="BEQ13" s="207"/>
      <c r="BER13" s="207"/>
      <c r="BES13" s="207"/>
      <c r="BET13" s="207"/>
      <c r="BEU13" s="207"/>
      <c r="BEV13" s="207"/>
      <c r="BEW13" s="208"/>
      <c r="BEX13" s="206" t="s">
        <v>134</v>
      </c>
      <c r="BEY13" s="207"/>
      <c r="BEZ13" s="207"/>
      <c r="BFA13" s="207"/>
      <c r="BFB13" s="207"/>
      <c r="BFC13" s="207"/>
      <c r="BFD13" s="207"/>
      <c r="BFE13" s="207"/>
      <c r="BFF13" s="207"/>
      <c r="BFG13" s="207"/>
      <c r="BFH13" s="207"/>
      <c r="BFI13" s="207"/>
      <c r="BFJ13" s="207"/>
      <c r="BFK13" s="207"/>
      <c r="BFL13" s="207"/>
      <c r="BFM13" s="207"/>
      <c r="BFN13" s="207"/>
      <c r="BFO13" s="207"/>
      <c r="BFP13" s="207"/>
      <c r="BFQ13" s="207"/>
      <c r="BFR13" s="207"/>
      <c r="BFS13" s="207"/>
      <c r="BFT13" s="207"/>
      <c r="BFU13" s="207"/>
      <c r="BFV13" s="207"/>
      <c r="BFW13" s="207"/>
      <c r="BFX13" s="207"/>
      <c r="BFY13" s="207"/>
      <c r="BFZ13" s="207"/>
      <c r="BGA13" s="207"/>
      <c r="BGB13" s="207"/>
      <c r="BGC13" s="207"/>
      <c r="BGD13" s="207"/>
      <c r="BGE13" s="207"/>
      <c r="BGF13" s="207"/>
      <c r="BGG13" s="207"/>
      <c r="BGH13" s="207"/>
      <c r="BGI13" s="207"/>
      <c r="BGJ13" s="207"/>
      <c r="BGK13" s="207"/>
      <c r="BGL13" s="207"/>
      <c r="BGM13" s="207"/>
      <c r="BGN13" s="207"/>
      <c r="BGO13" s="207"/>
      <c r="BGP13" s="207"/>
      <c r="BGQ13" s="207"/>
      <c r="BGR13" s="207"/>
      <c r="BGS13" s="207"/>
      <c r="BGT13" s="207"/>
      <c r="BGU13" s="207"/>
      <c r="BGV13" s="207"/>
      <c r="BGW13" s="207"/>
      <c r="BGX13" s="207"/>
      <c r="BGY13" s="207"/>
      <c r="BGZ13" s="207"/>
      <c r="BHA13" s="207"/>
      <c r="BHB13" s="207"/>
      <c r="BHC13" s="207"/>
      <c r="BHD13" s="207"/>
      <c r="BHE13" s="208"/>
      <c r="BHF13" s="206" t="s">
        <v>133</v>
      </c>
      <c r="BHG13" s="207"/>
      <c r="BHH13" s="207"/>
      <c r="BHI13" s="207"/>
      <c r="BHJ13" s="207"/>
      <c r="BHK13" s="207"/>
      <c r="BHL13" s="207"/>
      <c r="BHM13" s="207"/>
      <c r="BHN13" s="207"/>
      <c r="BHO13" s="207"/>
      <c r="BHP13" s="207"/>
      <c r="BHQ13" s="207"/>
      <c r="BHR13" s="207"/>
      <c r="BHS13" s="207"/>
      <c r="BHT13" s="207"/>
      <c r="BHU13" s="207"/>
      <c r="BHV13" s="207"/>
      <c r="BHW13" s="207"/>
      <c r="BHX13" s="207"/>
      <c r="BHY13" s="207"/>
      <c r="BHZ13" s="207"/>
      <c r="BIA13" s="207"/>
      <c r="BIB13" s="207"/>
      <c r="BIC13" s="207"/>
      <c r="BID13" s="207"/>
      <c r="BIE13" s="207"/>
      <c r="BIF13" s="207"/>
      <c r="BIG13" s="207"/>
      <c r="BIH13" s="207"/>
      <c r="BII13" s="207"/>
      <c r="BIJ13" s="207"/>
      <c r="BIK13" s="207"/>
      <c r="BIL13" s="207"/>
      <c r="BIM13" s="207"/>
      <c r="BIN13" s="207"/>
      <c r="BIO13" s="207"/>
      <c r="BIP13" s="207"/>
      <c r="BIQ13" s="207"/>
      <c r="BIR13" s="207"/>
      <c r="BIS13" s="207"/>
      <c r="BIT13" s="207"/>
      <c r="BIU13" s="207"/>
      <c r="BIV13" s="207"/>
      <c r="BIW13" s="207"/>
      <c r="BIX13" s="207"/>
      <c r="BIY13" s="207"/>
      <c r="BIZ13" s="207"/>
      <c r="BJA13" s="207"/>
      <c r="BJB13" s="207"/>
      <c r="BJC13" s="207"/>
      <c r="BJD13" s="207"/>
      <c r="BJE13" s="207"/>
      <c r="BJF13" s="207"/>
      <c r="BJG13" s="207"/>
      <c r="BJH13" s="207"/>
      <c r="BJI13" s="207"/>
      <c r="BJJ13" s="207"/>
      <c r="BJK13" s="207"/>
      <c r="BJL13" s="207"/>
      <c r="BJM13" s="208"/>
      <c r="BJN13" s="206" t="s">
        <v>131</v>
      </c>
      <c r="BJO13" s="207"/>
      <c r="BJP13" s="207"/>
      <c r="BJQ13" s="207"/>
      <c r="BJR13" s="207"/>
      <c r="BJS13" s="207"/>
      <c r="BJT13" s="207"/>
      <c r="BJU13" s="207"/>
      <c r="BJV13" s="207"/>
      <c r="BJW13" s="207"/>
      <c r="BJX13" s="207"/>
      <c r="BJY13" s="207"/>
      <c r="BJZ13" s="207"/>
      <c r="BKA13" s="207"/>
      <c r="BKB13" s="207"/>
      <c r="BKC13" s="207"/>
      <c r="BKD13" s="207"/>
      <c r="BKE13" s="207"/>
      <c r="BKF13" s="207"/>
      <c r="BKG13" s="207"/>
      <c r="BKH13" s="207"/>
      <c r="BKI13" s="207"/>
      <c r="BKJ13" s="207"/>
      <c r="BKK13" s="207"/>
      <c r="BKL13" s="207"/>
      <c r="BKM13" s="207"/>
      <c r="BKN13" s="207"/>
      <c r="BKO13" s="207"/>
      <c r="BKP13" s="207"/>
      <c r="BKQ13" s="207"/>
      <c r="BKR13" s="207"/>
      <c r="BKS13" s="207"/>
      <c r="BKT13" s="207"/>
      <c r="BKU13" s="207"/>
      <c r="BKV13" s="207"/>
      <c r="BKW13" s="207"/>
      <c r="BKX13" s="207"/>
      <c r="BKY13" s="207"/>
      <c r="BKZ13" s="207"/>
      <c r="BLA13" s="207"/>
      <c r="BLB13" s="207"/>
      <c r="BLC13" s="207"/>
      <c r="BLD13" s="207"/>
      <c r="BLE13" s="207"/>
      <c r="BLF13" s="207"/>
      <c r="BLG13" s="207"/>
      <c r="BLH13" s="207"/>
      <c r="BLI13" s="207"/>
      <c r="BLJ13" s="207"/>
      <c r="BLK13" s="207"/>
      <c r="BLL13" s="207"/>
      <c r="BLM13" s="207"/>
      <c r="BLN13" s="207"/>
      <c r="BLO13" s="207"/>
      <c r="BLP13" s="207"/>
      <c r="BLQ13" s="207"/>
      <c r="BLR13" s="207"/>
      <c r="BLS13" s="207"/>
      <c r="BLT13" s="207"/>
      <c r="BLU13" s="208"/>
      <c r="BLV13" s="206" t="s">
        <v>130</v>
      </c>
      <c r="BLW13" s="207"/>
      <c r="BLX13" s="207"/>
      <c r="BLY13" s="207"/>
      <c r="BLZ13" s="207"/>
      <c r="BMA13" s="207"/>
      <c r="BMB13" s="207"/>
      <c r="BMC13" s="207"/>
      <c r="BMD13" s="207"/>
      <c r="BME13" s="207"/>
      <c r="BMF13" s="207"/>
      <c r="BMG13" s="207"/>
      <c r="BMH13" s="207"/>
      <c r="BMI13" s="207"/>
      <c r="BMJ13" s="207"/>
      <c r="BMK13" s="207"/>
      <c r="BML13" s="207"/>
      <c r="BMM13" s="207"/>
      <c r="BMN13" s="207"/>
      <c r="BMO13" s="207"/>
      <c r="BMP13" s="207"/>
      <c r="BMQ13" s="207"/>
      <c r="BMR13" s="207"/>
      <c r="BMS13" s="207"/>
      <c r="BMT13" s="207"/>
      <c r="BMU13" s="207"/>
      <c r="BMV13" s="207"/>
      <c r="BMW13" s="207"/>
      <c r="BMX13" s="207"/>
      <c r="BMY13" s="207"/>
      <c r="BMZ13" s="207"/>
      <c r="BNA13" s="207"/>
      <c r="BNB13" s="207"/>
      <c r="BNC13" s="207"/>
      <c r="BND13" s="207"/>
      <c r="BNE13" s="207"/>
      <c r="BNF13" s="207"/>
      <c r="BNG13" s="207"/>
      <c r="BNH13" s="207"/>
      <c r="BNI13" s="207"/>
      <c r="BNJ13" s="207"/>
      <c r="BNK13" s="207"/>
      <c r="BNL13" s="207"/>
      <c r="BNM13" s="207"/>
      <c r="BNN13" s="207"/>
      <c r="BNO13" s="207"/>
      <c r="BNP13" s="207"/>
      <c r="BNQ13" s="207"/>
      <c r="BNR13" s="207"/>
      <c r="BNS13" s="207"/>
      <c r="BNT13" s="207"/>
      <c r="BNU13" s="207"/>
      <c r="BNV13" s="207"/>
      <c r="BNW13" s="207"/>
      <c r="BNX13" s="207"/>
      <c r="BNY13" s="207"/>
      <c r="BNZ13" s="207"/>
      <c r="BOA13" s="207"/>
      <c r="BOB13" s="207"/>
      <c r="BOC13" s="208"/>
      <c r="BOD13" s="206" t="s">
        <v>128</v>
      </c>
      <c r="BOE13" s="207"/>
      <c r="BOF13" s="207"/>
      <c r="BOG13" s="207"/>
      <c r="BOH13" s="207"/>
      <c r="BOI13" s="207"/>
      <c r="BOJ13" s="207"/>
      <c r="BOK13" s="207"/>
      <c r="BOL13" s="207"/>
      <c r="BOM13" s="207"/>
      <c r="BON13" s="207"/>
      <c r="BOO13" s="207"/>
      <c r="BOP13" s="207"/>
      <c r="BOQ13" s="207"/>
      <c r="BOR13" s="207"/>
      <c r="BOS13" s="207"/>
      <c r="BOT13" s="207"/>
      <c r="BOU13" s="207"/>
      <c r="BOV13" s="207"/>
      <c r="BOW13" s="207"/>
      <c r="BOX13" s="207"/>
      <c r="BOY13" s="207"/>
      <c r="BOZ13" s="207"/>
      <c r="BPA13" s="207"/>
      <c r="BPB13" s="207"/>
      <c r="BPC13" s="207"/>
      <c r="BPD13" s="207"/>
      <c r="BPE13" s="207"/>
      <c r="BPF13" s="207"/>
      <c r="BPG13" s="207"/>
      <c r="BPH13" s="207"/>
      <c r="BPI13" s="207"/>
      <c r="BPJ13" s="207"/>
      <c r="BPK13" s="207"/>
      <c r="BPL13" s="207"/>
      <c r="BPM13" s="207"/>
      <c r="BPN13" s="207"/>
      <c r="BPO13" s="207"/>
      <c r="BPP13" s="207"/>
      <c r="BPQ13" s="207"/>
      <c r="BPR13" s="207"/>
      <c r="BPS13" s="207"/>
      <c r="BPT13" s="207"/>
      <c r="BPU13" s="207"/>
      <c r="BPV13" s="207"/>
      <c r="BPW13" s="207"/>
      <c r="BPX13" s="207"/>
      <c r="BPY13" s="207"/>
      <c r="BPZ13" s="207"/>
      <c r="BQA13" s="207"/>
      <c r="BQB13" s="207"/>
      <c r="BQC13" s="207"/>
      <c r="BQD13" s="207"/>
      <c r="BQE13" s="207"/>
      <c r="BQF13" s="207"/>
      <c r="BQG13" s="207"/>
      <c r="BQH13" s="207"/>
      <c r="BQI13" s="207"/>
      <c r="BQJ13" s="207"/>
      <c r="BQK13" s="208"/>
      <c r="BQL13" s="206" t="s">
        <v>127</v>
      </c>
      <c r="BQM13" s="207"/>
      <c r="BQN13" s="207"/>
      <c r="BQO13" s="207"/>
      <c r="BQP13" s="207"/>
      <c r="BQQ13" s="207"/>
      <c r="BQR13" s="207"/>
      <c r="BQS13" s="207"/>
      <c r="BQT13" s="207"/>
      <c r="BQU13" s="207"/>
      <c r="BQV13" s="207"/>
      <c r="BQW13" s="207"/>
      <c r="BQX13" s="207"/>
      <c r="BQY13" s="207"/>
      <c r="BQZ13" s="207"/>
      <c r="BRA13" s="207"/>
      <c r="BRB13" s="207"/>
      <c r="BRC13" s="207"/>
      <c r="BRD13" s="207"/>
      <c r="BRE13" s="207"/>
      <c r="BRF13" s="207"/>
      <c r="BRG13" s="207"/>
      <c r="BRH13" s="207"/>
      <c r="BRI13" s="207"/>
      <c r="BRJ13" s="207"/>
      <c r="BRK13" s="207"/>
      <c r="BRL13" s="207"/>
      <c r="BRM13" s="207"/>
      <c r="BRN13" s="207"/>
      <c r="BRO13" s="207"/>
      <c r="BRP13" s="207"/>
      <c r="BRQ13" s="207"/>
      <c r="BRR13" s="207"/>
      <c r="BRS13" s="207"/>
      <c r="BRT13" s="207"/>
      <c r="BRU13" s="207"/>
      <c r="BRV13" s="207"/>
      <c r="BRW13" s="207"/>
      <c r="BRX13" s="207"/>
      <c r="BRY13" s="207"/>
      <c r="BRZ13" s="207"/>
      <c r="BSA13" s="207"/>
      <c r="BSB13" s="207"/>
      <c r="BSC13" s="207"/>
      <c r="BSD13" s="207"/>
      <c r="BSE13" s="207"/>
      <c r="BSF13" s="207"/>
      <c r="BSG13" s="207"/>
      <c r="BSH13" s="207"/>
      <c r="BSI13" s="207"/>
      <c r="BSJ13" s="207"/>
      <c r="BSK13" s="207"/>
      <c r="BSL13" s="207"/>
      <c r="BSM13" s="207"/>
      <c r="BSN13" s="207"/>
      <c r="BSO13" s="207"/>
      <c r="BSP13" s="207"/>
      <c r="BSQ13" s="207"/>
      <c r="BSR13" s="207"/>
      <c r="BSS13" s="208"/>
      <c r="BST13" s="206" t="s">
        <v>125</v>
      </c>
      <c r="BSU13" s="207"/>
      <c r="BSV13" s="207"/>
      <c r="BSW13" s="207"/>
      <c r="BSX13" s="207"/>
      <c r="BSY13" s="207"/>
      <c r="BSZ13" s="207"/>
      <c r="BTA13" s="207"/>
      <c r="BTB13" s="207"/>
      <c r="BTC13" s="207"/>
      <c r="BTD13" s="207"/>
      <c r="BTE13" s="207"/>
      <c r="BTF13" s="207"/>
      <c r="BTG13" s="207"/>
      <c r="BTH13" s="207"/>
      <c r="BTI13" s="207"/>
      <c r="BTJ13" s="207"/>
      <c r="BTK13" s="207"/>
      <c r="BTL13" s="207"/>
      <c r="BTM13" s="207"/>
      <c r="BTN13" s="207"/>
      <c r="BTO13" s="207"/>
      <c r="BTP13" s="207"/>
      <c r="BTQ13" s="207"/>
      <c r="BTR13" s="207"/>
      <c r="BTS13" s="207"/>
      <c r="BTT13" s="207"/>
      <c r="BTU13" s="207"/>
      <c r="BTV13" s="207"/>
      <c r="BTW13" s="207"/>
      <c r="BTX13" s="207"/>
      <c r="BTY13" s="207"/>
      <c r="BTZ13" s="207"/>
      <c r="BUA13" s="207"/>
      <c r="BUB13" s="207"/>
      <c r="BUC13" s="207"/>
      <c r="BUD13" s="207"/>
      <c r="BUE13" s="207"/>
      <c r="BUF13" s="207"/>
      <c r="BUG13" s="207"/>
      <c r="BUH13" s="207"/>
      <c r="BUI13" s="207"/>
      <c r="BUJ13" s="207"/>
      <c r="BUK13" s="207"/>
      <c r="BUL13" s="207"/>
      <c r="BUM13" s="207"/>
      <c r="BUN13" s="207"/>
      <c r="BUO13" s="207"/>
      <c r="BUP13" s="207"/>
      <c r="BUQ13" s="207"/>
      <c r="BUR13" s="207"/>
      <c r="BUS13" s="207"/>
      <c r="BUT13" s="207"/>
      <c r="BUU13" s="207"/>
      <c r="BUV13" s="207"/>
      <c r="BUW13" s="207"/>
      <c r="BUX13" s="207"/>
      <c r="BUY13" s="207"/>
      <c r="BUZ13" s="207"/>
      <c r="BVA13" s="208"/>
      <c r="BVB13" s="206" t="s">
        <v>123</v>
      </c>
      <c r="BVC13" s="207"/>
      <c r="BVD13" s="207"/>
      <c r="BVE13" s="207"/>
      <c r="BVF13" s="207"/>
      <c r="BVG13" s="207"/>
      <c r="BVH13" s="207"/>
      <c r="BVI13" s="207"/>
      <c r="BVJ13" s="207"/>
      <c r="BVK13" s="207"/>
      <c r="BVL13" s="207"/>
      <c r="BVM13" s="207"/>
      <c r="BVN13" s="207"/>
      <c r="BVO13" s="207"/>
      <c r="BVP13" s="207"/>
      <c r="BVQ13" s="207"/>
      <c r="BVR13" s="207"/>
      <c r="BVS13" s="207"/>
      <c r="BVT13" s="207"/>
      <c r="BVU13" s="207"/>
      <c r="BVV13" s="207"/>
      <c r="BVW13" s="207"/>
      <c r="BVX13" s="207"/>
      <c r="BVY13" s="207"/>
      <c r="BVZ13" s="207"/>
      <c r="BWA13" s="207"/>
      <c r="BWB13" s="207"/>
      <c r="BWC13" s="207"/>
      <c r="BWD13" s="207"/>
      <c r="BWE13" s="207"/>
      <c r="BWF13" s="207"/>
      <c r="BWG13" s="207"/>
      <c r="BWH13" s="207"/>
      <c r="BWI13" s="207"/>
      <c r="BWJ13" s="207"/>
      <c r="BWK13" s="207"/>
      <c r="BWL13" s="207"/>
      <c r="BWM13" s="207"/>
      <c r="BWN13" s="207"/>
      <c r="BWO13" s="207"/>
      <c r="BWP13" s="207"/>
      <c r="BWQ13" s="207"/>
      <c r="BWR13" s="207"/>
      <c r="BWS13" s="207"/>
      <c r="BWT13" s="207"/>
      <c r="BWU13" s="207"/>
      <c r="BWV13" s="207"/>
      <c r="BWW13" s="207"/>
      <c r="BWX13" s="207"/>
      <c r="BWY13" s="207"/>
      <c r="BWZ13" s="207"/>
      <c r="BXA13" s="207"/>
      <c r="BXB13" s="207"/>
      <c r="BXC13" s="207"/>
      <c r="BXD13" s="207"/>
      <c r="BXE13" s="207"/>
      <c r="BXF13" s="207"/>
      <c r="BXG13" s="207"/>
      <c r="BXH13" s="207"/>
      <c r="BXI13" s="208"/>
      <c r="BXJ13" s="206" t="s">
        <v>122</v>
      </c>
      <c r="BXK13" s="207"/>
      <c r="BXL13" s="207"/>
      <c r="BXM13" s="207"/>
      <c r="BXN13" s="207"/>
      <c r="BXO13" s="207"/>
      <c r="BXP13" s="207"/>
      <c r="BXQ13" s="207"/>
      <c r="BXR13" s="207"/>
      <c r="BXS13" s="207"/>
      <c r="BXT13" s="207"/>
      <c r="BXU13" s="207"/>
      <c r="BXV13" s="207"/>
      <c r="BXW13" s="207"/>
      <c r="BXX13" s="207"/>
      <c r="BXY13" s="207"/>
      <c r="BXZ13" s="207"/>
      <c r="BYA13" s="207"/>
      <c r="BYB13" s="207"/>
      <c r="BYC13" s="207"/>
      <c r="BYD13" s="207"/>
      <c r="BYE13" s="207"/>
      <c r="BYF13" s="207"/>
      <c r="BYG13" s="207"/>
      <c r="BYH13" s="207"/>
      <c r="BYI13" s="207"/>
      <c r="BYJ13" s="207"/>
      <c r="BYK13" s="207"/>
      <c r="BYL13" s="207"/>
      <c r="BYM13" s="207"/>
      <c r="BYN13" s="207"/>
      <c r="BYO13" s="207"/>
      <c r="BYP13" s="207"/>
      <c r="BYQ13" s="207"/>
      <c r="BYR13" s="207"/>
      <c r="BYS13" s="207"/>
      <c r="BYT13" s="207"/>
      <c r="BYU13" s="207"/>
      <c r="BYV13" s="207"/>
      <c r="BYW13" s="207"/>
      <c r="BYX13" s="207"/>
      <c r="BYY13" s="207"/>
      <c r="BYZ13" s="207"/>
      <c r="BZA13" s="207"/>
      <c r="BZB13" s="207"/>
      <c r="BZC13" s="207"/>
      <c r="BZD13" s="207"/>
      <c r="BZE13" s="207"/>
      <c r="BZF13" s="207"/>
      <c r="BZG13" s="207"/>
      <c r="BZH13" s="207"/>
      <c r="BZI13" s="207"/>
      <c r="BZJ13" s="207"/>
      <c r="BZK13" s="207"/>
      <c r="BZL13" s="207"/>
      <c r="BZM13" s="207"/>
      <c r="BZN13" s="207"/>
      <c r="BZO13" s="207"/>
      <c r="BZP13" s="207"/>
      <c r="BZQ13" s="208"/>
      <c r="BZR13" s="206" t="s">
        <v>120</v>
      </c>
      <c r="BZS13" s="207"/>
      <c r="BZT13" s="207"/>
      <c r="BZU13" s="207"/>
      <c r="BZV13" s="207"/>
      <c r="BZW13" s="207"/>
      <c r="BZX13" s="207"/>
      <c r="BZY13" s="207"/>
      <c r="BZZ13" s="207"/>
      <c r="CAA13" s="207"/>
      <c r="CAB13" s="207"/>
      <c r="CAC13" s="207"/>
      <c r="CAD13" s="207"/>
      <c r="CAE13" s="207"/>
      <c r="CAF13" s="207"/>
      <c r="CAG13" s="207"/>
      <c r="CAH13" s="207"/>
      <c r="CAI13" s="207"/>
      <c r="CAJ13" s="207"/>
      <c r="CAK13" s="207"/>
      <c r="CAL13" s="207"/>
      <c r="CAM13" s="207"/>
      <c r="CAN13" s="207"/>
      <c r="CAO13" s="207"/>
      <c r="CAP13" s="207"/>
      <c r="CAQ13" s="207"/>
      <c r="CAR13" s="207"/>
      <c r="CAS13" s="207"/>
      <c r="CAT13" s="207"/>
      <c r="CAU13" s="207"/>
      <c r="CAV13" s="207"/>
      <c r="CAW13" s="207"/>
      <c r="CAX13" s="207"/>
      <c r="CAY13" s="207"/>
      <c r="CAZ13" s="207"/>
      <c r="CBA13" s="207"/>
      <c r="CBB13" s="207"/>
      <c r="CBC13" s="207"/>
      <c r="CBD13" s="207"/>
      <c r="CBE13" s="207"/>
      <c r="CBF13" s="207"/>
      <c r="CBG13" s="207"/>
      <c r="CBH13" s="207"/>
      <c r="CBI13" s="207"/>
      <c r="CBJ13" s="207"/>
      <c r="CBK13" s="207"/>
      <c r="CBL13" s="207"/>
      <c r="CBM13" s="207"/>
      <c r="CBN13" s="207"/>
      <c r="CBO13" s="207"/>
      <c r="CBP13" s="207"/>
      <c r="CBQ13" s="207"/>
      <c r="CBR13" s="207"/>
      <c r="CBS13" s="207"/>
      <c r="CBT13" s="207"/>
      <c r="CBU13" s="207"/>
      <c r="CBV13" s="207"/>
      <c r="CBW13" s="207"/>
      <c r="CBX13" s="207"/>
      <c r="CBY13" s="208"/>
      <c r="CBZ13" s="206" t="s">
        <v>119</v>
      </c>
      <c r="CCA13" s="207"/>
      <c r="CCB13" s="207"/>
      <c r="CCC13" s="207"/>
      <c r="CCD13" s="207"/>
      <c r="CCE13" s="207"/>
      <c r="CCF13" s="207"/>
      <c r="CCG13" s="207"/>
      <c r="CCH13" s="207"/>
      <c r="CCI13" s="207"/>
      <c r="CCJ13" s="207"/>
      <c r="CCK13" s="207"/>
      <c r="CCL13" s="207"/>
      <c r="CCM13" s="207"/>
      <c r="CCN13" s="207"/>
      <c r="CCO13" s="207"/>
      <c r="CCP13" s="207"/>
      <c r="CCQ13" s="207"/>
      <c r="CCR13" s="207"/>
      <c r="CCS13" s="207"/>
      <c r="CCT13" s="207"/>
      <c r="CCU13" s="207"/>
      <c r="CCV13" s="207"/>
      <c r="CCW13" s="207"/>
      <c r="CCX13" s="207"/>
      <c r="CCY13" s="207"/>
      <c r="CCZ13" s="207"/>
      <c r="CDA13" s="207"/>
      <c r="CDB13" s="207"/>
      <c r="CDC13" s="207"/>
      <c r="CDD13" s="207"/>
      <c r="CDE13" s="207"/>
      <c r="CDF13" s="207"/>
      <c r="CDG13" s="207"/>
      <c r="CDH13" s="207"/>
      <c r="CDI13" s="207"/>
      <c r="CDJ13" s="207"/>
      <c r="CDK13" s="207"/>
      <c r="CDL13" s="207"/>
      <c r="CDM13" s="207"/>
      <c r="CDN13" s="207"/>
      <c r="CDO13" s="207"/>
      <c r="CDP13" s="207"/>
      <c r="CDQ13" s="207"/>
      <c r="CDR13" s="207"/>
      <c r="CDS13" s="207"/>
      <c r="CDT13" s="207"/>
      <c r="CDU13" s="207"/>
      <c r="CDV13" s="207"/>
      <c r="CDW13" s="207"/>
      <c r="CDX13" s="207"/>
      <c r="CDY13" s="207"/>
      <c r="CDZ13" s="207"/>
      <c r="CEA13" s="207"/>
      <c r="CEB13" s="207"/>
      <c r="CEC13" s="207"/>
      <c r="CED13" s="207"/>
      <c r="CEE13" s="207"/>
      <c r="CEF13" s="207"/>
      <c r="CEG13" s="208"/>
      <c r="CEH13" s="206" t="s">
        <v>117</v>
      </c>
      <c r="CEI13" s="207"/>
      <c r="CEJ13" s="207"/>
      <c r="CEK13" s="207"/>
      <c r="CEL13" s="207"/>
      <c r="CEM13" s="207"/>
      <c r="CEN13" s="207"/>
      <c r="CEO13" s="207"/>
      <c r="CEP13" s="207"/>
      <c r="CEQ13" s="207"/>
      <c r="CER13" s="207"/>
      <c r="CES13" s="207"/>
      <c r="CET13" s="207"/>
      <c r="CEU13" s="207"/>
      <c r="CEV13" s="207"/>
      <c r="CEW13" s="207"/>
      <c r="CEX13" s="207"/>
      <c r="CEY13" s="207"/>
      <c r="CEZ13" s="207"/>
      <c r="CFA13" s="207"/>
      <c r="CFB13" s="207"/>
      <c r="CFC13" s="207"/>
      <c r="CFD13" s="207"/>
      <c r="CFE13" s="207"/>
      <c r="CFF13" s="207"/>
      <c r="CFG13" s="207"/>
      <c r="CFH13" s="207"/>
      <c r="CFI13" s="207"/>
      <c r="CFJ13" s="207"/>
      <c r="CFK13" s="207"/>
      <c r="CFL13" s="207"/>
      <c r="CFM13" s="207"/>
      <c r="CFN13" s="207"/>
      <c r="CFO13" s="207"/>
      <c r="CFP13" s="207"/>
      <c r="CFQ13" s="207"/>
      <c r="CFR13" s="207"/>
      <c r="CFS13" s="207"/>
      <c r="CFT13" s="207"/>
      <c r="CFU13" s="207"/>
      <c r="CFV13" s="207"/>
      <c r="CFW13" s="207"/>
      <c r="CFX13" s="207"/>
      <c r="CFY13" s="207"/>
      <c r="CFZ13" s="207"/>
      <c r="CGA13" s="207"/>
      <c r="CGB13" s="207"/>
      <c r="CGC13" s="207"/>
      <c r="CGD13" s="207"/>
      <c r="CGE13" s="207"/>
      <c r="CGF13" s="207"/>
      <c r="CGG13" s="207"/>
      <c r="CGH13" s="207"/>
      <c r="CGI13" s="207"/>
      <c r="CGJ13" s="207"/>
      <c r="CGK13" s="207"/>
      <c r="CGL13" s="207"/>
      <c r="CGM13" s="207"/>
      <c r="CGN13" s="207"/>
      <c r="CGO13" s="208"/>
      <c r="CGP13" s="206" t="s">
        <v>116</v>
      </c>
      <c r="CGQ13" s="207"/>
      <c r="CGR13" s="207"/>
      <c r="CGS13" s="207"/>
      <c r="CGT13" s="207"/>
      <c r="CGU13" s="207"/>
      <c r="CGV13" s="207"/>
      <c r="CGW13" s="207"/>
      <c r="CGX13" s="207"/>
      <c r="CGY13" s="207"/>
      <c r="CGZ13" s="207"/>
      <c r="CHA13" s="207"/>
      <c r="CHB13" s="207"/>
      <c r="CHC13" s="207"/>
      <c r="CHD13" s="207"/>
      <c r="CHE13" s="207"/>
      <c r="CHF13" s="207"/>
      <c r="CHG13" s="207"/>
      <c r="CHH13" s="207"/>
      <c r="CHI13" s="207"/>
      <c r="CHJ13" s="207"/>
      <c r="CHK13" s="207"/>
      <c r="CHL13" s="207"/>
      <c r="CHM13" s="207"/>
      <c r="CHN13" s="207"/>
      <c r="CHO13" s="207"/>
      <c r="CHP13" s="207"/>
      <c r="CHQ13" s="207"/>
      <c r="CHR13" s="207"/>
      <c r="CHS13" s="207"/>
      <c r="CHT13" s="207"/>
      <c r="CHU13" s="207"/>
      <c r="CHV13" s="207"/>
      <c r="CHW13" s="207"/>
      <c r="CHX13" s="207"/>
      <c r="CHY13" s="207"/>
      <c r="CHZ13" s="207"/>
      <c r="CIA13" s="207"/>
      <c r="CIB13" s="207"/>
      <c r="CIC13" s="207"/>
      <c r="CID13" s="207"/>
      <c r="CIE13" s="207"/>
      <c r="CIF13" s="207"/>
      <c r="CIG13" s="207"/>
      <c r="CIH13" s="207"/>
      <c r="CII13" s="207"/>
      <c r="CIJ13" s="207"/>
      <c r="CIK13" s="207"/>
      <c r="CIL13" s="207"/>
      <c r="CIM13" s="207"/>
      <c r="CIN13" s="207"/>
      <c r="CIO13" s="207"/>
      <c r="CIP13" s="207"/>
      <c r="CIQ13" s="207"/>
      <c r="CIR13" s="207"/>
      <c r="CIS13" s="207"/>
      <c r="CIT13" s="207"/>
      <c r="CIU13" s="207"/>
      <c r="CIV13" s="207"/>
      <c r="CIW13" s="208"/>
      <c r="CIX13" s="206" t="s">
        <v>114</v>
      </c>
      <c r="CIY13" s="207"/>
      <c r="CIZ13" s="207"/>
      <c r="CJA13" s="207"/>
      <c r="CJB13" s="207"/>
      <c r="CJC13" s="207"/>
      <c r="CJD13" s="207"/>
      <c r="CJE13" s="207"/>
      <c r="CJF13" s="207"/>
      <c r="CJG13" s="207"/>
      <c r="CJH13" s="207"/>
      <c r="CJI13" s="207"/>
      <c r="CJJ13" s="207"/>
      <c r="CJK13" s="207"/>
      <c r="CJL13" s="207"/>
      <c r="CJM13" s="207"/>
      <c r="CJN13" s="207"/>
      <c r="CJO13" s="207"/>
      <c r="CJP13" s="207"/>
      <c r="CJQ13" s="207"/>
      <c r="CJR13" s="207"/>
      <c r="CJS13" s="207"/>
      <c r="CJT13" s="207"/>
      <c r="CJU13" s="207"/>
      <c r="CJV13" s="207"/>
      <c r="CJW13" s="207"/>
      <c r="CJX13" s="207"/>
      <c r="CJY13" s="207"/>
      <c r="CJZ13" s="207"/>
      <c r="CKA13" s="207"/>
      <c r="CKB13" s="207"/>
      <c r="CKC13" s="207"/>
      <c r="CKD13" s="207"/>
      <c r="CKE13" s="207"/>
      <c r="CKF13" s="207"/>
      <c r="CKG13" s="207"/>
      <c r="CKH13" s="207"/>
      <c r="CKI13" s="207"/>
      <c r="CKJ13" s="207"/>
      <c r="CKK13" s="207"/>
      <c r="CKL13" s="207"/>
      <c r="CKM13" s="207"/>
      <c r="CKN13" s="207"/>
      <c r="CKO13" s="207"/>
      <c r="CKP13" s="207"/>
      <c r="CKQ13" s="207"/>
      <c r="CKR13" s="207"/>
      <c r="CKS13" s="207"/>
      <c r="CKT13" s="207"/>
      <c r="CKU13" s="207"/>
      <c r="CKV13" s="207"/>
      <c r="CKW13" s="207"/>
      <c r="CKX13" s="207"/>
      <c r="CKY13" s="207"/>
      <c r="CKZ13" s="207"/>
      <c r="CLA13" s="207"/>
      <c r="CLB13" s="207"/>
      <c r="CLC13" s="207"/>
      <c r="CLD13" s="207"/>
      <c r="CLE13" s="208"/>
      <c r="CLF13" s="206" t="s">
        <v>112</v>
      </c>
      <c r="CLG13" s="207"/>
      <c r="CLH13" s="207"/>
      <c r="CLI13" s="207"/>
      <c r="CLJ13" s="207"/>
      <c r="CLK13" s="207"/>
      <c r="CLL13" s="207"/>
      <c r="CLM13" s="207"/>
      <c r="CLN13" s="207"/>
      <c r="CLO13" s="207"/>
      <c r="CLP13" s="207"/>
      <c r="CLQ13" s="207"/>
      <c r="CLR13" s="207"/>
      <c r="CLS13" s="207"/>
      <c r="CLT13" s="207"/>
      <c r="CLU13" s="207"/>
      <c r="CLV13" s="207"/>
      <c r="CLW13" s="207"/>
      <c r="CLX13" s="207"/>
      <c r="CLY13" s="207"/>
      <c r="CLZ13" s="207"/>
      <c r="CMA13" s="207"/>
      <c r="CMB13" s="207"/>
      <c r="CMC13" s="207"/>
      <c r="CMD13" s="207"/>
      <c r="CME13" s="207"/>
      <c r="CMF13" s="207"/>
      <c r="CMG13" s="207"/>
      <c r="CMH13" s="207"/>
      <c r="CMI13" s="207"/>
      <c r="CMJ13" s="207"/>
      <c r="CMK13" s="207"/>
      <c r="CML13" s="207"/>
      <c r="CMM13" s="207"/>
      <c r="CMN13" s="207"/>
      <c r="CMO13" s="207"/>
      <c r="CMP13" s="207"/>
      <c r="CMQ13" s="207"/>
      <c r="CMR13" s="207"/>
      <c r="CMS13" s="207"/>
      <c r="CMT13" s="207"/>
      <c r="CMU13" s="207"/>
      <c r="CMV13" s="207"/>
      <c r="CMW13" s="207"/>
      <c r="CMX13" s="207"/>
      <c r="CMY13" s="207"/>
      <c r="CMZ13" s="207"/>
      <c r="CNA13" s="207"/>
      <c r="CNB13" s="207"/>
      <c r="CNC13" s="207"/>
      <c r="CND13" s="207"/>
      <c r="CNE13" s="207"/>
      <c r="CNF13" s="207"/>
      <c r="CNG13" s="207"/>
      <c r="CNH13" s="207"/>
      <c r="CNI13" s="207"/>
      <c r="CNJ13" s="207"/>
      <c r="CNK13" s="207"/>
      <c r="CNL13" s="207"/>
      <c r="CNM13" s="208"/>
      <c r="CNN13" s="206" t="s">
        <v>111</v>
      </c>
      <c r="CNO13" s="207"/>
      <c r="CNP13" s="207"/>
      <c r="CNQ13" s="207"/>
      <c r="CNR13" s="207"/>
      <c r="CNS13" s="207"/>
      <c r="CNT13" s="207"/>
      <c r="CNU13" s="207"/>
      <c r="CNV13" s="207"/>
      <c r="CNW13" s="207"/>
      <c r="CNX13" s="207"/>
      <c r="CNY13" s="207"/>
      <c r="CNZ13" s="207"/>
      <c r="COA13" s="207"/>
      <c r="COB13" s="207"/>
      <c r="COC13" s="207"/>
      <c r="COD13" s="207"/>
      <c r="COE13" s="207"/>
      <c r="COF13" s="207"/>
      <c r="COG13" s="207"/>
      <c r="COH13" s="207"/>
      <c r="COI13" s="207"/>
      <c r="COJ13" s="207"/>
      <c r="COK13" s="207"/>
      <c r="COL13" s="207"/>
      <c r="COM13" s="207"/>
      <c r="CON13" s="207"/>
      <c r="COO13" s="207"/>
      <c r="COP13" s="207"/>
      <c r="COQ13" s="207"/>
      <c r="COR13" s="207"/>
      <c r="COS13" s="207"/>
      <c r="COT13" s="207"/>
      <c r="COU13" s="207"/>
      <c r="COV13" s="207"/>
      <c r="COW13" s="207"/>
      <c r="COX13" s="207"/>
      <c r="COY13" s="207"/>
      <c r="COZ13" s="207"/>
      <c r="CPA13" s="207"/>
      <c r="CPB13" s="207"/>
      <c r="CPC13" s="207"/>
      <c r="CPD13" s="207"/>
      <c r="CPE13" s="207"/>
      <c r="CPF13" s="207"/>
      <c r="CPG13" s="207"/>
      <c r="CPH13" s="207"/>
      <c r="CPI13" s="207"/>
      <c r="CPJ13" s="207"/>
      <c r="CPK13" s="207"/>
      <c r="CPL13" s="207"/>
      <c r="CPM13" s="207"/>
      <c r="CPN13" s="207"/>
      <c r="CPO13" s="207"/>
      <c r="CPP13" s="207"/>
      <c r="CPQ13" s="207"/>
      <c r="CPR13" s="207"/>
      <c r="CPS13" s="207"/>
      <c r="CPT13" s="207"/>
      <c r="CPU13" s="208"/>
      <c r="CPV13" s="206" t="s">
        <v>109</v>
      </c>
      <c r="CPW13" s="207"/>
      <c r="CPX13" s="207"/>
      <c r="CPY13" s="207"/>
      <c r="CPZ13" s="207"/>
      <c r="CQA13" s="207"/>
      <c r="CQB13" s="207"/>
      <c r="CQC13" s="207"/>
      <c r="CQD13" s="207"/>
      <c r="CQE13" s="207"/>
      <c r="CQF13" s="207"/>
      <c r="CQG13" s="207"/>
      <c r="CQH13" s="207"/>
      <c r="CQI13" s="207"/>
      <c r="CQJ13" s="207"/>
      <c r="CQK13" s="207"/>
      <c r="CQL13" s="207"/>
      <c r="CQM13" s="207"/>
      <c r="CQN13" s="207"/>
      <c r="CQO13" s="207"/>
      <c r="CQP13" s="207"/>
      <c r="CQQ13" s="207"/>
      <c r="CQR13" s="207"/>
      <c r="CQS13" s="207"/>
      <c r="CQT13" s="207"/>
      <c r="CQU13" s="207"/>
      <c r="CQV13" s="207"/>
      <c r="CQW13" s="207"/>
      <c r="CQX13" s="207"/>
      <c r="CQY13" s="207"/>
      <c r="CQZ13" s="207"/>
      <c r="CRA13" s="207"/>
      <c r="CRB13" s="207"/>
      <c r="CRC13" s="207"/>
      <c r="CRD13" s="207"/>
      <c r="CRE13" s="207"/>
      <c r="CRF13" s="207"/>
      <c r="CRG13" s="207"/>
      <c r="CRH13" s="207"/>
      <c r="CRI13" s="207"/>
      <c r="CRJ13" s="207"/>
      <c r="CRK13" s="207"/>
      <c r="CRL13" s="207"/>
      <c r="CRM13" s="207"/>
      <c r="CRN13" s="207"/>
      <c r="CRO13" s="207"/>
      <c r="CRP13" s="207"/>
      <c r="CRQ13" s="207"/>
      <c r="CRR13" s="207"/>
      <c r="CRS13" s="207"/>
      <c r="CRT13" s="207"/>
      <c r="CRU13" s="207"/>
      <c r="CRV13" s="207"/>
      <c r="CRW13" s="207"/>
      <c r="CRX13" s="207"/>
      <c r="CRY13" s="207"/>
      <c r="CRZ13" s="207"/>
      <c r="CSA13" s="207"/>
      <c r="CSB13" s="207"/>
      <c r="CSC13" s="208"/>
      <c r="CSD13" s="90"/>
    </row>
    <row r="14" spans="1:2526" ht="12.75" customHeight="1" thickBot="1" x14ac:dyDescent="0.35">
      <c r="B14" s="96"/>
      <c r="C14" s="233"/>
      <c r="D14" s="145"/>
      <c r="E14" s="235"/>
      <c r="F14" s="103"/>
      <c r="G14" s="104"/>
      <c r="H14" s="104"/>
      <c r="I14" s="104"/>
      <c r="J14" s="209" t="s">
        <v>32</v>
      </c>
      <c r="K14" s="209"/>
      <c r="L14" s="209"/>
      <c r="M14" s="209"/>
      <c r="N14" s="104"/>
      <c r="O14" s="104"/>
      <c r="P14" s="210" t="s">
        <v>22</v>
      </c>
      <c r="Q14" s="210"/>
      <c r="R14" s="210"/>
      <c r="S14" s="210"/>
      <c r="T14" s="129"/>
      <c r="U14" s="129"/>
      <c r="V14" s="209" t="s">
        <v>33</v>
      </c>
      <c r="W14" s="209"/>
      <c r="X14" s="209"/>
      <c r="Y14" s="209"/>
      <c r="Z14" s="104"/>
      <c r="AA14" s="104"/>
      <c r="AB14" s="210" t="s">
        <v>23</v>
      </c>
      <c r="AC14" s="210"/>
      <c r="AD14" s="210"/>
      <c r="AE14" s="210"/>
      <c r="AF14" s="129"/>
      <c r="AG14" s="129"/>
      <c r="AH14" s="209" t="s">
        <v>34</v>
      </c>
      <c r="AI14" s="209"/>
      <c r="AJ14" s="209"/>
      <c r="AK14" s="209"/>
      <c r="AL14" s="104"/>
      <c r="AM14" s="104"/>
      <c r="AN14" s="210" t="s">
        <v>24</v>
      </c>
      <c r="AO14" s="210"/>
      <c r="AP14" s="210"/>
      <c r="AQ14" s="210"/>
      <c r="AR14" s="129"/>
      <c r="AS14" s="129"/>
      <c r="AT14" s="209" t="s">
        <v>35</v>
      </c>
      <c r="AU14" s="209"/>
      <c r="AV14" s="209"/>
      <c r="AW14" s="209"/>
      <c r="AX14" s="104"/>
      <c r="AY14" s="104"/>
      <c r="AZ14" s="210" t="s">
        <v>25</v>
      </c>
      <c r="BA14" s="210"/>
      <c r="BB14" s="210"/>
      <c r="BC14" s="210"/>
      <c r="BD14" s="129"/>
      <c r="BE14" s="129"/>
      <c r="BF14" s="209" t="s">
        <v>36</v>
      </c>
      <c r="BG14" s="209"/>
      <c r="BH14" s="209"/>
      <c r="BI14" s="209"/>
      <c r="BJ14" s="104"/>
      <c r="BK14" s="104"/>
      <c r="BL14" s="104"/>
      <c r="BM14" s="105"/>
      <c r="BN14" s="103"/>
      <c r="BO14" s="104"/>
      <c r="BP14" s="104"/>
      <c r="BQ14" s="104"/>
      <c r="BR14" s="209" t="s">
        <v>32</v>
      </c>
      <c r="BS14" s="209"/>
      <c r="BT14" s="209"/>
      <c r="BU14" s="209"/>
      <c r="BV14" s="104"/>
      <c r="BW14" s="104"/>
      <c r="BX14" s="210" t="s">
        <v>22</v>
      </c>
      <c r="BY14" s="210"/>
      <c r="BZ14" s="210"/>
      <c r="CA14" s="210"/>
      <c r="CB14" s="129"/>
      <c r="CC14" s="129"/>
      <c r="CD14" s="209" t="s">
        <v>33</v>
      </c>
      <c r="CE14" s="209"/>
      <c r="CF14" s="209"/>
      <c r="CG14" s="209"/>
      <c r="CH14" s="104"/>
      <c r="CI14" s="104"/>
      <c r="CJ14" s="210" t="s">
        <v>23</v>
      </c>
      <c r="CK14" s="210"/>
      <c r="CL14" s="210"/>
      <c r="CM14" s="210"/>
      <c r="CN14" s="129"/>
      <c r="CO14" s="129"/>
      <c r="CP14" s="209" t="s">
        <v>34</v>
      </c>
      <c r="CQ14" s="209"/>
      <c r="CR14" s="209"/>
      <c r="CS14" s="209"/>
      <c r="CT14" s="104"/>
      <c r="CU14" s="104"/>
      <c r="CV14" s="210" t="s">
        <v>24</v>
      </c>
      <c r="CW14" s="210"/>
      <c r="CX14" s="210"/>
      <c r="CY14" s="210"/>
      <c r="CZ14" s="129"/>
      <c r="DA14" s="129"/>
      <c r="DB14" s="209" t="s">
        <v>35</v>
      </c>
      <c r="DC14" s="209"/>
      <c r="DD14" s="209"/>
      <c r="DE14" s="209"/>
      <c r="DF14" s="104"/>
      <c r="DG14" s="104"/>
      <c r="DH14" s="210" t="s">
        <v>25</v>
      </c>
      <c r="DI14" s="210"/>
      <c r="DJ14" s="210"/>
      <c r="DK14" s="210"/>
      <c r="DL14" s="129"/>
      <c r="DM14" s="129"/>
      <c r="DN14" s="209" t="s">
        <v>36</v>
      </c>
      <c r="DO14" s="209"/>
      <c r="DP14" s="209"/>
      <c r="DQ14" s="209"/>
      <c r="DR14" s="104"/>
      <c r="DS14" s="104"/>
      <c r="DT14" s="104"/>
      <c r="DU14" s="105"/>
      <c r="DV14" s="103"/>
      <c r="DW14" s="104"/>
      <c r="DX14" s="104"/>
      <c r="DY14" s="104"/>
      <c r="DZ14" s="209" t="s">
        <v>32</v>
      </c>
      <c r="EA14" s="209"/>
      <c r="EB14" s="209"/>
      <c r="EC14" s="209"/>
      <c r="ED14" s="104"/>
      <c r="EE14" s="104"/>
      <c r="EF14" s="210" t="s">
        <v>22</v>
      </c>
      <c r="EG14" s="210"/>
      <c r="EH14" s="210"/>
      <c r="EI14" s="210"/>
      <c r="EJ14" s="129"/>
      <c r="EK14" s="129"/>
      <c r="EL14" s="209" t="s">
        <v>33</v>
      </c>
      <c r="EM14" s="209"/>
      <c r="EN14" s="209"/>
      <c r="EO14" s="209"/>
      <c r="EP14" s="104"/>
      <c r="EQ14" s="104"/>
      <c r="ER14" s="210" t="s">
        <v>23</v>
      </c>
      <c r="ES14" s="210"/>
      <c r="ET14" s="210"/>
      <c r="EU14" s="210"/>
      <c r="EV14" s="129"/>
      <c r="EW14" s="129"/>
      <c r="EX14" s="209" t="s">
        <v>34</v>
      </c>
      <c r="EY14" s="209"/>
      <c r="EZ14" s="209"/>
      <c r="FA14" s="209"/>
      <c r="FB14" s="104"/>
      <c r="FC14" s="104"/>
      <c r="FD14" s="210" t="s">
        <v>24</v>
      </c>
      <c r="FE14" s="210"/>
      <c r="FF14" s="210"/>
      <c r="FG14" s="210"/>
      <c r="FH14" s="129"/>
      <c r="FI14" s="129"/>
      <c r="FJ14" s="209" t="s">
        <v>35</v>
      </c>
      <c r="FK14" s="209"/>
      <c r="FL14" s="209"/>
      <c r="FM14" s="209"/>
      <c r="FN14" s="104"/>
      <c r="FO14" s="104"/>
      <c r="FP14" s="210" t="s">
        <v>25</v>
      </c>
      <c r="FQ14" s="210"/>
      <c r="FR14" s="210"/>
      <c r="FS14" s="210"/>
      <c r="FT14" s="129"/>
      <c r="FU14" s="129"/>
      <c r="FV14" s="209" t="s">
        <v>36</v>
      </c>
      <c r="FW14" s="209"/>
      <c r="FX14" s="209"/>
      <c r="FY14" s="209"/>
      <c r="FZ14" s="104"/>
      <c r="GA14" s="104"/>
      <c r="GB14" s="104"/>
      <c r="GC14" s="105"/>
      <c r="GD14" s="103"/>
      <c r="GE14" s="104"/>
      <c r="GF14" s="104"/>
      <c r="GG14" s="104"/>
      <c r="GH14" s="209" t="s">
        <v>32</v>
      </c>
      <c r="GI14" s="209"/>
      <c r="GJ14" s="209"/>
      <c r="GK14" s="209"/>
      <c r="GL14" s="104"/>
      <c r="GM14" s="104"/>
      <c r="GN14" s="210" t="s">
        <v>22</v>
      </c>
      <c r="GO14" s="210"/>
      <c r="GP14" s="210"/>
      <c r="GQ14" s="210"/>
      <c r="GR14" s="129"/>
      <c r="GS14" s="129"/>
      <c r="GT14" s="209" t="s">
        <v>33</v>
      </c>
      <c r="GU14" s="209"/>
      <c r="GV14" s="209"/>
      <c r="GW14" s="209"/>
      <c r="GX14" s="104"/>
      <c r="GY14" s="104"/>
      <c r="GZ14" s="210" t="s">
        <v>23</v>
      </c>
      <c r="HA14" s="210"/>
      <c r="HB14" s="210"/>
      <c r="HC14" s="210"/>
      <c r="HD14" s="129"/>
      <c r="HE14" s="129"/>
      <c r="HF14" s="209" t="s">
        <v>34</v>
      </c>
      <c r="HG14" s="209"/>
      <c r="HH14" s="209"/>
      <c r="HI14" s="209"/>
      <c r="HJ14" s="104"/>
      <c r="HK14" s="104"/>
      <c r="HL14" s="210" t="s">
        <v>24</v>
      </c>
      <c r="HM14" s="210"/>
      <c r="HN14" s="210"/>
      <c r="HO14" s="210"/>
      <c r="HP14" s="129"/>
      <c r="HQ14" s="129"/>
      <c r="HR14" s="209" t="s">
        <v>35</v>
      </c>
      <c r="HS14" s="209"/>
      <c r="HT14" s="209"/>
      <c r="HU14" s="209"/>
      <c r="HV14" s="104"/>
      <c r="HW14" s="104"/>
      <c r="HX14" s="210" t="s">
        <v>25</v>
      </c>
      <c r="HY14" s="210"/>
      <c r="HZ14" s="210"/>
      <c r="IA14" s="210"/>
      <c r="IB14" s="129"/>
      <c r="IC14" s="129"/>
      <c r="ID14" s="209" t="s">
        <v>36</v>
      </c>
      <c r="IE14" s="209"/>
      <c r="IF14" s="209"/>
      <c r="IG14" s="209"/>
      <c r="IH14" s="104"/>
      <c r="II14" s="104"/>
      <c r="IJ14" s="104"/>
      <c r="IK14" s="105"/>
      <c r="IL14" s="103"/>
      <c r="IM14" s="104"/>
      <c r="IN14" s="104"/>
      <c r="IO14" s="104"/>
      <c r="IP14" s="209" t="s">
        <v>32</v>
      </c>
      <c r="IQ14" s="209"/>
      <c r="IR14" s="209"/>
      <c r="IS14" s="209"/>
      <c r="IT14" s="104"/>
      <c r="IU14" s="104"/>
      <c r="IV14" s="210" t="s">
        <v>22</v>
      </c>
      <c r="IW14" s="210"/>
      <c r="IX14" s="210"/>
      <c r="IY14" s="210"/>
      <c r="IZ14" s="129"/>
      <c r="JA14" s="129"/>
      <c r="JB14" s="209" t="s">
        <v>33</v>
      </c>
      <c r="JC14" s="209"/>
      <c r="JD14" s="209"/>
      <c r="JE14" s="209"/>
      <c r="JF14" s="104"/>
      <c r="JG14" s="104"/>
      <c r="JH14" s="210" t="s">
        <v>23</v>
      </c>
      <c r="JI14" s="210"/>
      <c r="JJ14" s="210"/>
      <c r="JK14" s="210"/>
      <c r="JL14" s="129"/>
      <c r="JM14" s="129"/>
      <c r="JN14" s="209" t="s">
        <v>34</v>
      </c>
      <c r="JO14" s="209"/>
      <c r="JP14" s="209"/>
      <c r="JQ14" s="209"/>
      <c r="JR14" s="104"/>
      <c r="JS14" s="104"/>
      <c r="JT14" s="210" t="s">
        <v>24</v>
      </c>
      <c r="JU14" s="210"/>
      <c r="JV14" s="210"/>
      <c r="JW14" s="210"/>
      <c r="JX14" s="129"/>
      <c r="JY14" s="129"/>
      <c r="JZ14" s="209" t="s">
        <v>35</v>
      </c>
      <c r="KA14" s="209"/>
      <c r="KB14" s="209"/>
      <c r="KC14" s="209"/>
      <c r="KD14" s="104"/>
      <c r="KE14" s="104"/>
      <c r="KF14" s="210" t="s">
        <v>25</v>
      </c>
      <c r="KG14" s="210"/>
      <c r="KH14" s="210"/>
      <c r="KI14" s="210"/>
      <c r="KJ14" s="129"/>
      <c r="KK14" s="129"/>
      <c r="KL14" s="209" t="s">
        <v>36</v>
      </c>
      <c r="KM14" s="209"/>
      <c r="KN14" s="209"/>
      <c r="KO14" s="209"/>
      <c r="KP14" s="104"/>
      <c r="KQ14" s="104"/>
      <c r="KR14" s="104"/>
      <c r="KS14" s="105"/>
      <c r="KT14" s="103"/>
      <c r="KU14" s="104"/>
      <c r="KV14" s="104"/>
      <c r="KW14" s="104"/>
      <c r="KX14" s="209" t="s">
        <v>32</v>
      </c>
      <c r="KY14" s="209"/>
      <c r="KZ14" s="209"/>
      <c r="LA14" s="209"/>
      <c r="LB14" s="104"/>
      <c r="LC14" s="104"/>
      <c r="LD14" s="210" t="s">
        <v>22</v>
      </c>
      <c r="LE14" s="210"/>
      <c r="LF14" s="210"/>
      <c r="LG14" s="210"/>
      <c r="LH14" s="129"/>
      <c r="LI14" s="129"/>
      <c r="LJ14" s="209" t="s">
        <v>33</v>
      </c>
      <c r="LK14" s="209"/>
      <c r="LL14" s="209"/>
      <c r="LM14" s="209"/>
      <c r="LN14" s="104"/>
      <c r="LO14" s="104"/>
      <c r="LP14" s="210" t="s">
        <v>23</v>
      </c>
      <c r="LQ14" s="210"/>
      <c r="LR14" s="210"/>
      <c r="LS14" s="210"/>
      <c r="LT14" s="129"/>
      <c r="LU14" s="129"/>
      <c r="LV14" s="209" t="s">
        <v>34</v>
      </c>
      <c r="LW14" s="209"/>
      <c r="LX14" s="209"/>
      <c r="LY14" s="209"/>
      <c r="LZ14" s="104"/>
      <c r="MA14" s="104"/>
      <c r="MB14" s="210" t="s">
        <v>24</v>
      </c>
      <c r="MC14" s="210"/>
      <c r="MD14" s="210"/>
      <c r="ME14" s="210"/>
      <c r="MF14" s="129"/>
      <c r="MG14" s="129"/>
      <c r="MH14" s="209" t="s">
        <v>35</v>
      </c>
      <c r="MI14" s="209"/>
      <c r="MJ14" s="209"/>
      <c r="MK14" s="209"/>
      <c r="ML14" s="104"/>
      <c r="MM14" s="104"/>
      <c r="MN14" s="210" t="s">
        <v>25</v>
      </c>
      <c r="MO14" s="210"/>
      <c r="MP14" s="210"/>
      <c r="MQ14" s="210"/>
      <c r="MR14" s="129"/>
      <c r="MS14" s="129"/>
      <c r="MT14" s="209" t="s">
        <v>36</v>
      </c>
      <c r="MU14" s="209"/>
      <c r="MV14" s="209"/>
      <c r="MW14" s="209"/>
      <c r="MX14" s="104"/>
      <c r="MY14" s="104"/>
      <c r="MZ14" s="104"/>
      <c r="NA14" s="105"/>
      <c r="NB14" s="103"/>
      <c r="NC14" s="104"/>
      <c r="ND14" s="104"/>
      <c r="NE14" s="104"/>
      <c r="NF14" s="209" t="s">
        <v>32</v>
      </c>
      <c r="NG14" s="209"/>
      <c r="NH14" s="209"/>
      <c r="NI14" s="209"/>
      <c r="NJ14" s="104"/>
      <c r="NK14" s="104"/>
      <c r="NL14" s="210" t="s">
        <v>22</v>
      </c>
      <c r="NM14" s="210"/>
      <c r="NN14" s="210"/>
      <c r="NO14" s="210"/>
      <c r="NP14" s="129"/>
      <c r="NQ14" s="129"/>
      <c r="NR14" s="209" t="s">
        <v>33</v>
      </c>
      <c r="NS14" s="209"/>
      <c r="NT14" s="209"/>
      <c r="NU14" s="209"/>
      <c r="NV14" s="104"/>
      <c r="NW14" s="104"/>
      <c r="NX14" s="210" t="s">
        <v>23</v>
      </c>
      <c r="NY14" s="210"/>
      <c r="NZ14" s="210"/>
      <c r="OA14" s="210"/>
      <c r="OB14" s="129"/>
      <c r="OC14" s="129"/>
      <c r="OD14" s="209" t="s">
        <v>34</v>
      </c>
      <c r="OE14" s="209"/>
      <c r="OF14" s="209"/>
      <c r="OG14" s="209"/>
      <c r="OH14" s="104"/>
      <c r="OI14" s="104"/>
      <c r="OJ14" s="210" t="s">
        <v>24</v>
      </c>
      <c r="OK14" s="210"/>
      <c r="OL14" s="210"/>
      <c r="OM14" s="210"/>
      <c r="ON14" s="129"/>
      <c r="OO14" s="129"/>
      <c r="OP14" s="209" t="s">
        <v>35</v>
      </c>
      <c r="OQ14" s="209"/>
      <c r="OR14" s="209"/>
      <c r="OS14" s="209"/>
      <c r="OT14" s="104"/>
      <c r="OU14" s="104"/>
      <c r="OV14" s="210" t="s">
        <v>25</v>
      </c>
      <c r="OW14" s="210"/>
      <c r="OX14" s="210"/>
      <c r="OY14" s="210"/>
      <c r="OZ14" s="129"/>
      <c r="PA14" s="129"/>
      <c r="PB14" s="209" t="s">
        <v>36</v>
      </c>
      <c r="PC14" s="209"/>
      <c r="PD14" s="209"/>
      <c r="PE14" s="209"/>
      <c r="PF14" s="104"/>
      <c r="PG14" s="104"/>
      <c r="PH14" s="104"/>
      <c r="PI14" s="105"/>
      <c r="PJ14" s="103"/>
      <c r="PK14" s="104"/>
      <c r="PL14" s="104"/>
      <c r="PM14" s="104"/>
      <c r="PN14" s="209" t="s">
        <v>32</v>
      </c>
      <c r="PO14" s="209"/>
      <c r="PP14" s="209"/>
      <c r="PQ14" s="209"/>
      <c r="PR14" s="104"/>
      <c r="PS14" s="104"/>
      <c r="PT14" s="210" t="s">
        <v>22</v>
      </c>
      <c r="PU14" s="210"/>
      <c r="PV14" s="210"/>
      <c r="PW14" s="210"/>
      <c r="PX14" s="129"/>
      <c r="PY14" s="129"/>
      <c r="PZ14" s="209" t="s">
        <v>33</v>
      </c>
      <c r="QA14" s="209"/>
      <c r="QB14" s="209"/>
      <c r="QC14" s="209"/>
      <c r="QD14" s="104"/>
      <c r="QE14" s="104"/>
      <c r="QF14" s="210" t="s">
        <v>23</v>
      </c>
      <c r="QG14" s="210"/>
      <c r="QH14" s="210"/>
      <c r="QI14" s="210"/>
      <c r="QJ14" s="129"/>
      <c r="QK14" s="129"/>
      <c r="QL14" s="209" t="s">
        <v>34</v>
      </c>
      <c r="QM14" s="209"/>
      <c r="QN14" s="209"/>
      <c r="QO14" s="209"/>
      <c r="QP14" s="104"/>
      <c r="QQ14" s="104"/>
      <c r="QR14" s="210" t="s">
        <v>24</v>
      </c>
      <c r="QS14" s="210"/>
      <c r="QT14" s="210"/>
      <c r="QU14" s="210"/>
      <c r="QV14" s="129"/>
      <c r="QW14" s="129"/>
      <c r="QX14" s="209" t="s">
        <v>35</v>
      </c>
      <c r="QY14" s="209"/>
      <c r="QZ14" s="209"/>
      <c r="RA14" s="209"/>
      <c r="RB14" s="104"/>
      <c r="RC14" s="104"/>
      <c r="RD14" s="210" t="s">
        <v>25</v>
      </c>
      <c r="RE14" s="210"/>
      <c r="RF14" s="210"/>
      <c r="RG14" s="210"/>
      <c r="RH14" s="129"/>
      <c r="RI14" s="129"/>
      <c r="RJ14" s="209" t="s">
        <v>36</v>
      </c>
      <c r="RK14" s="209"/>
      <c r="RL14" s="209"/>
      <c r="RM14" s="209"/>
      <c r="RN14" s="104"/>
      <c r="RO14" s="104"/>
      <c r="RP14" s="104"/>
      <c r="RQ14" s="105"/>
      <c r="RR14" s="103"/>
      <c r="RS14" s="104"/>
      <c r="RT14" s="104"/>
      <c r="RU14" s="104"/>
      <c r="RV14" s="209" t="s">
        <v>32</v>
      </c>
      <c r="RW14" s="209"/>
      <c r="RX14" s="209"/>
      <c r="RY14" s="209"/>
      <c r="RZ14" s="104"/>
      <c r="SA14" s="104"/>
      <c r="SB14" s="210" t="s">
        <v>22</v>
      </c>
      <c r="SC14" s="210"/>
      <c r="SD14" s="210"/>
      <c r="SE14" s="210"/>
      <c r="SF14" s="129"/>
      <c r="SG14" s="129"/>
      <c r="SH14" s="209" t="s">
        <v>33</v>
      </c>
      <c r="SI14" s="209"/>
      <c r="SJ14" s="209"/>
      <c r="SK14" s="209"/>
      <c r="SL14" s="104"/>
      <c r="SM14" s="104"/>
      <c r="SN14" s="210" t="s">
        <v>23</v>
      </c>
      <c r="SO14" s="210"/>
      <c r="SP14" s="210"/>
      <c r="SQ14" s="210"/>
      <c r="SR14" s="129"/>
      <c r="SS14" s="129"/>
      <c r="ST14" s="209" t="s">
        <v>34</v>
      </c>
      <c r="SU14" s="209"/>
      <c r="SV14" s="209"/>
      <c r="SW14" s="209"/>
      <c r="SX14" s="104"/>
      <c r="SY14" s="104"/>
      <c r="SZ14" s="210" t="s">
        <v>24</v>
      </c>
      <c r="TA14" s="210"/>
      <c r="TB14" s="210"/>
      <c r="TC14" s="210"/>
      <c r="TD14" s="129"/>
      <c r="TE14" s="129"/>
      <c r="TF14" s="209" t="s">
        <v>35</v>
      </c>
      <c r="TG14" s="209"/>
      <c r="TH14" s="209"/>
      <c r="TI14" s="209"/>
      <c r="TJ14" s="104"/>
      <c r="TK14" s="104"/>
      <c r="TL14" s="210" t="s">
        <v>25</v>
      </c>
      <c r="TM14" s="210"/>
      <c r="TN14" s="210"/>
      <c r="TO14" s="210"/>
      <c r="TP14" s="129"/>
      <c r="TQ14" s="129"/>
      <c r="TR14" s="209" t="s">
        <v>36</v>
      </c>
      <c r="TS14" s="209"/>
      <c r="TT14" s="209"/>
      <c r="TU14" s="209"/>
      <c r="TV14" s="104"/>
      <c r="TW14" s="104"/>
      <c r="TX14" s="104"/>
      <c r="TY14" s="105"/>
      <c r="TZ14" s="103"/>
      <c r="UA14" s="104"/>
      <c r="UB14" s="104"/>
      <c r="UC14" s="104"/>
      <c r="UD14" s="209" t="s">
        <v>32</v>
      </c>
      <c r="UE14" s="209"/>
      <c r="UF14" s="209"/>
      <c r="UG14" s="209"/>
      <c r="UH14" s="104"/>
      <c r="UI14" s="104"/>
      <c r="UJ14" s="210" t="s">
        <v>22</v>
      </c>
      <c r="UK14" s="210"/>
      <c r="UL14" s="210"/>
      <c r="UM14" s="210"/>
      <c r="UN14" s="129"/>
      <c r="UO14" s="129"/>
      <c r="UP14" s="209" t="s">
        <v>33</v>
      </c>
      <c r="UQ14" s="209"/>
      <c r="UR14" s="209"/>
      <c r="US14" s="209"/>
      <c r="UT14" s="104"/>
      <c r="UU14" s="104"/>
      <c r="UV14" s="210" t="s">
        <v>23</v>
      </c>
      <c r="UW14" s="210"/>
      <c r="UX14" s="210"/>
      <c r="UY14" s="210"/>
      <c r="UZ14" s="129"/>
      <c r="VA14" s="129"/>
      <c r="VB14" s="209" t="s">
        <v>34</v>
      </c>
      <c r="VC14" s="209"/>
      <c r="VD14" s="209"/>
      <c r="VE14" s="209"/>
      <c r="VF14" s="104"/>
      <c r="VG14" s="104"/>
      <c r="VH14" s="210" t="s">
        <v>24</v>
      </c>
      <c r="VI14" s="210"/>
      <c r="VJ14" s="210"/>
      <c r="VK14" s="210"/>
      <c r="VL14" s="129"/>
      <c r="VM14" s="129"/>
      <c r="VN14" s="209" t="s">
        <v>35</v>
      </c>
      <c r="VO14" s="209"/>
      <c r="VP14" s="209"/>
      <c r="VQ14" s="209"/>
      <c r="VR14" s="104"/>
      <c r="VS14" s="104"/>
      <c r="VT14" s="210" t="s">
        <v>25</v>
      </c>
      <c r="VU14" s="210"/>
      <c r="VV14" s="210"/>
      <c r="VW14" s="210"/>
      <c r="VX14" s="129"/>
      <c r="VY14" s="129"/>
      <c r="VZ14" s="209" t="s">
        <v>36</v>
      </c>
      <c r="WA14" s="209"/>
      <c r="WB14" s="209"/>
      <c r="WC14" s="209"/>
      <c r="WD14" s="104"/>
      <c r="WE14" s="104"/>
      <c r="WF14" s="104"/>
      <c r="WG14" s="105"/>
      <c r="WH14" s="103"/>
      <c r="WI14" s="104"/>
      <c r="WJ14" s="104"/>
      <c r="WK14" s="104"/>
      <c r="WL14" s="209" t="s">
        <v>32</v>
      </c>
      <c r="WM14" s="209"/>
      <c r="WN14" s="209"/>
      <c r="WO14" s="209"/>
      <c r="WP14" s="104"/>
      <c r="WQ14" s="104"/>
      <c r="WR14" s="210" t="s">
        <v>22</v>
      </c>
      <c r="WS14" s="210"/>
      <c r="WT14" s="210"/>
      <c r="WU14" s="210"/>
      <c r="WV14" s="129"/>
      <c r="WW14" s="129"/>
      <c r="WX14" s="209" t="s">
        <v>33</v>
      </c>
      <c r="WY14" s="209"/>
      <c r="WZ14" s="209"/>
      <c r="XA14" s="209"/>
      <c r="XB14" s="104"/>
      <c r="XC14" s="104"/>
      <c r="XD14" s="210" t="s">
        <v>23</v>
      </c>
      <c r="XE14" s="210"/>
      <c r="XF14" s="210"/>
      <c r="XG14" s="210"/>
      <c r="XH14" s="129"/>
      <c r="XI14" s="129"/>
      <c r="XJ14" s="209" t="s">
        <v>34</v>
      </c>
      <c r="XK14" s="209"/>
      <c r="XL14" s="209"/>
      <c r="XM14" s="209"/>
      <c r="XN14" s="104"/>
      <c r="XO14" s="104"/>
      <c r="XP14" s="210" t="s">
        <v>24</v>
      </c>
      <c r="XQ14" s="210"/>
      <c r="XR14" s="210"/>
      <c r="XS14" s="210"/>
      <c r="XT14" s="129"/>
      <c r="XU14" s="129"/>
      <c r="XV14" s="209" t="s">
        <v>35</v>
      </c>
      <c r="XW14" s="209"/>
      <c r="XX14" s="209"/>
      <c r="XY14" s="209"/>
      <c r="XZ14" s="104"/>
      <c r="YA14" s="104"/>
      <c r="YB14" s="210" t="s">
        <v>25</v>
      </c>
      <c r="YC14" s="210"/>
      <c r="YD14" s="210"/>
      <c r="YE14" s="210"/>
      <c r="YF14" s="129"/>
      <c r="YG14" s="129"/>
      <c r="YH14" s="209" t="s">
        <v>36</v>
      </c>
      <c r="YI14" s="209"/>
      <c r="YJ14" s="209"/>
      <c r="YK14" s="209"/>
      <c r="YL14" s="104"/>
      <c r="YM14" s="104"/>
      <c r="YN14" s="104"/>
      <c r="YO14" s="105"/>
      <c r="YP14" s="103"/>
      <c r="YQ14" s="104"/>
      <c r="YR14" s="104"/>
      <c r="YS14" s="104"/>
      <c r="YT14" s="209" t="s">
        <v>32</v>
      </c>
      <c r="YU14" s="209"/>
      <c r="YV14" s="209"/>
      <c r="YW14" s="209"/>
      <c r="YX14" s="104"/>
      <c r="YY14" s="104"/>
      <c r="YZ14" s="210" t="s">
        <v>22</v>
      </c>
      <c r="ZA14" s="210"/>
      <c r="ZB14" s="210"/>
      <c r="ZC14" s="210"/>
      <c r="ZD14" s="129"/>
      <c r="ZE14" s="129"/>
      <c r="ZF14" s="209" t="s">
        <v>33</v>
      </c>
      <c r="ZG14" s="209"/>
      <c r="ZH14" s="209"/>
      <c r="ZI14" s="209"/>
      <c r="ZJ14" s="104"/>
      <c r="ZK14" s="104"/>
      <c r="ZL14" s="210" t="s">
        <v>23</v>
      </c>
      <c r="ZM14" s="210"/>
      <c r="ZN14" s="210"/>
      <c r="ZO14" s="210"/>
      <c r="ZP14" s="129"/>
      <c r="ZQ14" s="129"/>
      <c r="ZR14" s="209" t="s">
        <v>34</v>
      </c>
      <c r="ZS14" s="209"/>
      <c r="ZT14" s="209"/>
      <c r="ZU14" s="209"/>
      <c r="ZV14" s="104"/>
      <c r="ZW14" s="104"/>
      <c r="ZX14" s="210" t="s">
        <v>24</v>
      </c>
      <c r="ZY14" s="210"/>
      <c r="ZZ14" s="210"/>
      <c r="AAA14" s="210"/>
      <c r="AAB14" s="129"/>
      <c r="AAC14" s="129"/>
      <c r="AAD14" s="209" t="s">
        <v>35</v>
      </c>
      <c r="AAE14" s="209"/>
      <c r="AAF14" s="209"/>
      <c r="AAG14" s="209"/>
      <c r="AAH14" s="104"/>
      <c r="AAI14" s="104"/>
      <c r="AAJ14" s="210" t="s">
        <v>25</v>
      </c>
      <c r="AAK14" s="210"/>
      <c r="AAL14" s="210"/>
      <c r="AAM14" s="210"/>
      <c r="AAN14" s="129"/>
      <c r="AAO14" s="129"/>
      <c r="AAP14" s="209" t="s">
        <v>36</v>
      </c>
      <c r="AAQ14" s="209"/>
      <c r="AAR14" s="209"/>
      <c r="AAS14" s="209"/>
      <c r="AAT14" s="104"/>
      <c r="AAU14" s="104"/>
      <c r="AAV14" s="104"/>
      <c r="AAW14" s="105"/>
      <c r="AAX14" s="103"/>
      <c r="AAY14" s="104"/>
      <c r="AAZ14" s="104"/>
      <c r="ABA14" s="104"/>
      <c r="ABB14" s="209" t="s">
        <v>32</v>
      </c>
      <c r="ABC14" s="209"/>
      <c r="ABD14" s="209"/>
      <c r="ABE14" s="209"/>
      <c r="ABF14" s="104"/>
      <c r="ABG14" s="104"/>
      <c r="ABH14" s="210" t="s">
        <v>22</v>
      </c>
      <c r="ABI14" s="210"/>
      <c r="ABJ14" s="210"/>
      <c r="ABK14" s="210"/>
      <c r="ABL14" s="129"/>
      <c r="ABM14" s="129"/>
      <c r="ABN14" s="209" t="s">
        <v>33</v>
      </c>
      <c r="ABO14" s="209"/>
      <c r="ABP14" s="209"/>
      <c r="ABQ14" s="209"/>
      <c r="ABR14" s="104"/>
      <c r="ABS14" s="104"/>
      <c r="ABT14" s="210" t="s">
        <v>23</v>
      </c>
      <c r="ABU14" s="210"/>
      <c r="ABV14" s="210"/>
      <c r="ABW14" s="210"/>
      <c r="ABX14" s="129"/>
      <c r="ABY14" s="129"/>
      <c r="ABZ14" s="209" t="s">
        <v>34</v>
      </c>
      <c r="ACA14" s="209"/>
      <c r="ACB14" s="209"/>
      <c r="ACC14" s="209"/>
      <c r="ACD14" s="104"/>
      <c r="ACE14" s="104"/>
      <c r="ACF14" s="210" t="s">
        <v>24</v>
      </c>
      <c r="ACG14" s="210"/>
      <c r="ACH14" s="210"/>
      <c r="ACI14" s="210"/>
      <c r="ACJ14" s="129"/>
      <c r="ACK14" s="129"/>
      <c r="ACL14" s="209" t="s">
        <v>35</v>
      </c>
      <c r="ACM14" s="209"/>
      <c r="ACN14" s="209"/>
      <c r="ACO14" s="209"/>
      <c r="ACP14" s="104"/>
      <c r="ACQ14" s="104"/>
      <c r="ACR14" s="210" t="s">
        <v>25</v>
      </c>
      <c r="ACS14" s="210"/>
      <c r="ACT14" s="210"/>
      <c r="ACU14" s="210"/>
      <c r="ACV14" s="129"/>
      <c r="ACW14" s="129"/>
      <c r="ACX14" s="209" t="s">
        <v>36</v>
      </c>
      <c r="ACY14" s="209"/>
      <c r="ACZ14" s="209"/>
      <c r="ADA14" s="209"/>
      <c r="ADB14" s="104"/>
      <c r="ADC14" s="104"/>
      <c r="ADD14" s="104"/>
      <c r="ADE14" s="105"/>
      <c r="ADF14" s="103"/>
      <c r="ADG14" s="104"/>
      <c r="ADH14" s="104"/>
      <c r="ADI14" s="104"/>
      <c r="ADJ14" s="209" t="s">
        <v>32</v>
      </c>
      <c r="ADK14" s="209"/>
      <c r="ADL14" s="209"/>
      <c r="ADM14" s="209"/>
      <c r="ADN14" s="104"/>
      <c r="ADO14" s="104"/>
      <c r="ADP14" s="210" t="s">
        <v>22</v>
      </c>
      <c r="ADQ14" s="210"/>
      <c r="ADR14" s="210"/>
      <c r="ADS14" s="210"/>
      <c r="ADT14" s="129"/>
      <c r="ADU14" s="129"/>
      <c r="ADV14" s="209" t="s">
        <v>33</v>
      </c>
      <c r="ADW14" s="209"/>
      <c r="ADX14" s="209"/>
      <c r="ADY14" s="209"/>
      <c r="ADZ14" s="104"/>
      <c r="AEA14" s="104"/>
      <c r="AEB14" s="210" t="s">
        <v>23</v>
      </c>
      <c r="AEC14" s="210"/>
      <c r="AED14" s="210"/>
      <c r="AEE14" s="210"/>
      <c r="AEF14" s="129"/>
      <c r="AEG14" s="129"/>
      <c r="AEH14" s="209" t="s">
        <v>34</v>
      </c>
      <c r="AEI14" s="209"/>
      <c r="AEJ14" s="209"/>
      <c r="AEK14" s="209"/>
      <c r="AEL14" s="104"/>
      <c r="AEM14" s="104"/>
      <c r="AEN14" s="210" t="s">
        <v>24</v>
      </c>
      <c r="AEO14" s="210"/>
      <c r="AEP14" s="210"/>
      <c r="AEQ14" s="210"/>
      <c r="AER14" s="129"/>
      <c r="AES14" s="129"/>
      <c r="AET14" s="209" t="s">
        <v>35</v>
      </c>
      <c r="AEU14" s="209"/>
      <c r="AEV14" s="209"/>
      <c r="AEW14" s="209"/>
      <c r="AEX14" s="104"/>
      <c r="AEY14" s="104"/>
      <c r="AEZ14" s="210" t="s">
        <v>25</v>
      </c>
      <c r="AFA14" s="210"/>
      <c r="AFB14" s="210"/>
      <c r="AFC14" s="210"/>
      <c r="AFD14" s="129"/>
      <c r="AFE14" s="129"/>
      <c r="AFF14" s="209" t="s">
        <v>36</v>
      </c>
      <c r="AFG14" s="209"/>
      <c r="AFH14" s="209"/>
      <c r="AFI14" s="209"/>
      <c r="AFJ14" s="104"/>
      <c r="AFK14" s="104"/>
      <c r="AFL14" s="104"/>
      <c r="AFM14" s="105"/>
      <c r="AFN14" s="103"/>
      <c r="AFO14" s="104"/>
      <c r="AFP14" s="104"/>
      <c r="AFQ14" s="104"/>
      <c r="AFR14" s="209" t="s">
        <v>32</v>
      </c>
      <c r="AFS14" s="209"/>
      <c r="AFT14" s="209"/>
      <c r="AFU14" s="209"/>
      <c r="AFV14" s="104"/>
      <c r="AFW14" s="104"/>
      <c r="AFX14" s="210" t="s">
        <v>22</v>
      </c>
      <c r="AFY14" s="210"/>
      <c r="AFZ14" s="210"/>
      <c r="AGA14" s="210"/>
      <c r="AGB14" s="129"/>
      <c r="AGC14" s="129"/>
      <c r="AGD14" s="209" t="s">
        <v>33</v>
      </c>
      <c r="AGE14" s="209"/>
      <c r="AGF14" s="209"/>
      <c r="AGG14" s="209"/>
      <c r="AGH14" s="104"/>
      <c r="AGI14" s="104"/>
      <c r="AGJ14" s="210" t="s">
        <v>23</v>
      </c>
      <c r="AGK14" s="210"/>
      <c r="AGL14" s="210"/>
      <c r="AGM14" s="210"/>
      <c r="AGN14" s="129"/>
      <c r="AGO14" s="129"/>
      <c r="AGP14" s="209" t="s">
        <v>34</v>
      </c>
      <c r="AGQ14" s="209"/>
      <c r="AGR14" s="209"/>
      <c r="AGS14" s="209"/>
      <c r="AGT14" s="104"/>
      <c r="AGU14" s="104"/>
      <c r="AGV14" s="210" t="s">
        <v>24</v>
      </c>
      <c r="AGW14" s="210"/>
      <c r="AGX14" s="210"/>
      <c r="AGY14" s="210"/>
      <c r="AGZ14" s="129"/>
      <c r="AHA14" s="129"/>
      <c r="AHB14" s="209" t="s">
        <v>35</v>
      </c>
      <c r="AHC14" s="209"/>
      <c r="AHD14" s="209"/>
      <c r="AHE14" s="209"/>
      <c r="AHF14" s="104"/>
      <c r="AHG14" s="104"/>
      <c r="AHH14" s="210" t="s">
        <v>25</v>
      </c>
      <c r="AHI14" s="210"/>
      <c r="AHJ14" s="210"/>
      <c r="AHK14" s="210"/>
      <c r="AHL14" s="129"/>
      <c r="AHM14" s="129"/>
      <c r="AHN14" s="209" t="s">
        <v>36</v>
      </c>
      <c r="AHO14" s="209"/>
      <c r="AHP14" s="209"/>
      <c r="AHQ14" s="209"/>
      <c r="AHR14" s="104"/>
      <c r="AHS14" s="104"/>
      <c r="AHT14" s="104"/>
      <c r="AHU14" s="105"/>
      <c r="AHV14" s="103"/>
      <c r="AHW14" s="104"/>
      <c r="AHX14" s="104"/>
      <c r="AHY14" s="104"/>
      <c r="AHZ14" s="209" t="s">
        <v>32</v>
      </c>
      <c r="AIA14" s="209"/>
      <c r="AIB14" s="209"/>
      <c r="AIC14" s="209"/>
      <c r="AID14" s="104"/>
      <c r="AIE14" s="104"/>
      <c r="AIF14" s="210" t="s">
        <v>22</v>
      </c>
      <c r="AIG14" s="210"/>
      <c r="AIH14" s="210"/>
      <c r="AII14" s="210"/>
      <c r="AIJ14" s="129"/>
      <c r="AIK14" s="129"/>
      <c r="AIL14" s="209" t="s">
        <v>33</v>
      </c>
      <c r="AIM14" s="209"/>
      <c r="AIN14" s="209"/>
      <c r="AIO14" s="209"/>
      <c r="AIP14" s="104"/>
      <c r="AIQ14" s="104"/>
      <c r="AIR14" s="210" t="s">
        <v>23</v>
      </c>
      <c r="AIS14" s="210"/>
      <c r="AIT14" s="210"/>
      <c r="AIU14" s="210"/>
      <c r="AIV14" s="129"/>
      <c r="AIW14" s="129"/>
      <c r="AIX14" s="209" t="s">
        <v>34</v>
      </c>
      <c r="AIY14" s="209"/>
      <c r="AIZ14" s="209"/>
      <c r="AJA14" s="209"/>
      <c r="AJB14" s="104"/>
      <c r="AJC14" s="104"/>
      <c r="AJD14" s="210" t="s">
        <v>24</v>
      </c>
      <c r="AJE14" s="210"/>
      <c r="AJF14" s="210"/>
      <c r="AJG14" s="210"/>
      <c r="AJH14" s="129"/>
      <c r="AJI14" s="129"/>
      <c r="AJJ14" s="209" t="s">
        <v>35</v>
      </c>
      <c r="AJK14" s="209"/>
      <c r="AJL14" s="209"/>
      <c r="AJM14" s="209"/>
      <c r="AJN14" s="104"/>
      <c r="AJO14" s="104"/>
      <c r="AJP14" s="210" t="s">
        <v>25</v>
      </c>
      <c r="AJQ14" s="210"/>
      <c r="AJR14" s="210"/>
      <c r="AJS14" s="210"/>
      <c r="AJT14" s="129"/>
      <c r="AJU14" s="129"/>
      <c r="AJV14" s="209" t="s">
        <v>36</v>
      </c>
      <c r="AJW14" s="209"/>
      <c r="AJX14" s="209"/>
      <c r="AJY14" s="209"/>
      <c r="AJZ14" s="104"/>
      <c r="AKA14" s="104"/>
      <c r="AKB14" s="104"/>
      <c r="AKC14" s="105"/>
      <c r="AKD14" s="103"/>
      <c r="AKE14" s="104"/>
      <c r="AKF14" s="104"/>
      <c r="AKG14" s="104"/>
      <c r="AKH14" s="209" t="s">
        <v>32</v>
      </c>
      <c r="AKI14" s="209"/>
      <c r="AKJ14" s="209"/>
      <c r="AKK14" s="209"/>
      <c r="AKL14" s="104"/>
      <c r="AKM14" s="104"/>
      <c r="AKN14" s="210" t="s">
        <v>22</v>
      </c>
      <c r="AKO14" s="210"/>
      <c r="AKP14" s="210"/>
      <c r="AKQ14" s="210"/>
      <c r="AKR14" s="129"/>
      <c r="AKS14" s="129"/>
      <c r="AKT14" s="209" t="s">
        <v>33</v>
      </c>
      <c r="AKU14" s="209"/>
      <c r="AKV14" s="209"/>
      <c r="AKW14" s="209"/>
      <c r="AKX14" s="104"/>
      <c r="AKY14" s="104"/>
      <c r="AKZ14" s="210" t="s">
        <v>23</v>
      </c>
      <c r="ALA14" s="210"/>
      <c r="ALB14" s="210"/>
      <c r="ALC14" s="210"/>
      <c r="ALD14" s="129"/>
      <c r="ALE14" s="129"/>
      <c r="ALF14" s="209" t="s">
        <v>34</v>
      </c>
      <c r="ALG14" s="209"/>
      <c r="ALH14" s="209"/>
      <c r="ALI14" s="209"/>
      <c r="ALJ14" s="104"/>
      <c r="ALK14" s="104"/>
      <c r="ALL14" s="210" t="s">
        <v>24</v>
      </c>
      <c r="ALM14" s="210"/>
      <c r="ALN14" s="210"/>
      <c r="ALO14" s="210"/>
      <c r="ALP14" s="129"/>
      <c r="ALQ14" s="129"/>
      <c r="ALR14" s="209" t="s">
        <v>35</v>
      </c>
      <c r="ALS14" s="209"/>
      <c r="ALT14" s="209"/>
      <c r="ALU14" s="209"/>
      <c r="ALV14" s="104"/>
      <c r="ALW14" s="104"/>
      <c r="ALX14" s="210" t="s">
        <v>25</v>
      </c>
      <c r="ALY14" s="210"/>
      <c r="ALZ14" s="210"/>
      <c r="AMA14" s="210"/>
      <c r="AMB14" s="129"/>
      <c r="AMC14" s="129"/>
      <c r="AMD14" s="209" t="s">
        <v>36</v>
      </c>
      <c r="AME14" s="209"/>
      <c r="AMF14" s="209"/>
      <c r="AMG14" s="209"/>
      <c r="AMH14" s="104"/>
      <c r="AMI14" s="104"/>
      <c r="AMJ14" s="104"/>
      <c r="AMK14" s="105"/>
      <c r="AML14" s="103"/>
      <c r="AMM14" s="104"/>
      <c r="AMN14" s="104"/>
      <c r="AMO14" s="104"/>
      <c r="AMP14" s="209" t="s">
        <v>32</v>
      </c>
      <c r="AMQ14" s="209"/>
      <c r="AMR14" s="209"/>
      <c r="AMS14" s="209"/>
      <c r="AMT14" s="104"/>
      <c r="AMU14" s="104"/>
      <c r="AMV14" s="210" t="s">
        <v>22</v>
      </c>
      <c r="AMW14" s="210"/>
      <c r="AMX14" s="210"/>
      <c r="AMY14" s="210"/>
      <c r="AMZ14" s="129"/>
      <c r="ANA14" s="129"/>
      <c r="ANB14" s="209" t="s">
        <v>33</v>
      </c>
      <c r="ANC14" s="209"/>
      <c r="AND14" s="209"/>
      <c r="ANE14" s="209"/>
      <c r="ANF14" s="104"/>
      <c r="ANG14" s="104"/>
      <c r="ANH14" s="210" t="s">
        <v>23</v>
      </c>
      <c r="ANI14" s="210"/>
      <c r="ANJ14" s="210"/>
      <c r="ANK14" s="210"/>
      <c r="ANL14" s="129"/>
      <c r="ANM14" s="129"/>
      <c r="ANN14" s="209" t="s">
        <v>34</v>
      </c>
      <c r="ANO14" s="209"/>
      <c r="ANP14" s="209"/>
      <c r="ANQ14" s="209"/>
      <c r="ANR14" s="104"/>
      <c r="ANS14" s="104"/>
      <c r="ANT14" s="210" t="s">
        <v>24</v>
      </c>
      <c r="ANU14" s="210"/>
      <c r="ANV14" s="210"/>
      <c r="ANW14" s="210"/>
      <c r="ANX14" s="129"/>
      <c r="ANY14" s="129"/>
      <c r="ANZ14" s="209" t="s">
        <v>35</v>
      </c>
      <c r="AOA14" s="209"/>
      <c r="AOB14" s="209"/>
      <c r="AOC14" s="209"/>
      <c r="AOD14" s="104"/>
      <c r="AOE14" s="104"/>
      <c r="AOF14" s="210" t="s">
        <v>25</v>
      </c>
      <c r="AOG14" s="210"/>
      <c r="AOH14" s="210"/>
      <c r="AOI14" s="210"/>
      <c r="AOJ14" s="129"/>
      <c r="AOK14" s="129"/>
      <c r="AOL14" s="209" t="s">
        <v>36</v>
      </c>
      <c r="AOM14" s="209"/>
      <c r="AON14" s="209"/>
      <c r="AOO14" s="209"/>
      <c r="AOP14" s="104"/>
      <c r="AOQ14" s="104"/>
      <c r="AOR14" s="104"/>
      <c r="AOS14" s="105"/>
      <c r="AOT14" s="103"/>
      <c r="AOU14" s="104"/>
      <c r="AOV14" s="104"/>
      <c r="AOW14" s="104"/>
      <c r="AOX14" s="209" t="s">
        <v>32</v>
      </c>
      <c r="AOY14" s="209"/>
      <c r="AOZ14" s="209"/>
      <c r="APA14" s="209"/>
      <c r="APB14" s="104"/>
      <c r="APC14" s="104"/>
      <c r="APD14" s="210" t="s">
        <v>22</v>
      </c>
      <c r="APE14" s="210"/>
      <c r="APF14" s="210"/>
      <c r="APG14" s="210"/>
      <c r="APH14" s="129"/>
      <c r="API14" s="129"/>
      <c r="APJ14" s="209" t="s">
        <v>33</v>
      </c>
      <c r="APK14" s="209"/>
      <c r="APL14" s="209"/>
      <c r="APM14" s="209"/>
      <c r="APN14" s="104"/>
      <c r="APO14" s="104"/>
      <c r="APP14" s="210" t="s">
        <v>23</v>
      </c>
      <c r="APQ14" s="210"/>
      <c r="APR14" s="210"/>
      <c r="APS14" s="210"/>
      <c r="APT14" s="129"/>
      <c r="APU14" s="129"/>
      <c r="APV14" s="209" t="s">
        <v>34</v>
      </c>
      <c r="APW14" s="209"/>
      <c r="APX14" s="209"/>
      <c r="APY14" s="209"/>
      <c r="APZ14" s="104"/>
      <c r="AQA14" s="104"/>
      <c r="AQB14" s="210" t="s">
        <v>24</v>
      </c>
      <c r="AQC14" s="210"/>
      <c r="AQD14" s="210"/>
      <c r="AQE14" s="210"/>
      <c r="AQF14" s="129"/>
      <c r="AQG14" s="129"/>
      <c r="AQH14" s="209" t="s">
        <v>35</v>
      </c>
      <c r="AQI14" s="209"/>
      <c r="AQJ14" s="209"/>
      <c r="AQK14" s="209"/>
      <c r="AQL14" s="104"/>
      <c r="AQM14" s="104"/>
      <c r="AQN14" s="210" t="s">
        <v>25</v>
      </c>
      <c r="AQO14" s="210"/>
      <c r="AQP14" s="210"/>
      <c r="AQQ14" s="210"/>
      <c r="AQR14" s="129"/>
      <c r="AQS14" s="129"/>
      <c r="AQT14" s="209" t="s">
        <v>36</v>
      </c>
      <c r="AQU14" s="209"/>
      <c r="AQV14" s="209"/>
      <c r="AQW14" s="209"/>
      <c r="AQX14" s="104"/>
      <c r="AQY14" s="104"/>
      <c r="AQZ14" s="104"/>
      <c r="ARA14" s="105"/>
      <c r="ARB14" s="103"/>
      <c r="ARC14" s="104"/>
      <c r="ARD14" s="104"/>
      <c r="ARE14" s="104"/>
      <c r="ARF14" s="209" t="s">
        <v>32</v>
      </c>
      <c r="ARG14" s="209"/>
      <c r="ARH14" s="209"/>
      <c r="ARI14" s="209"/>
      <c r="ARJ14" s="104"/>
      <c r="ARK14" s="104"/>
      <c r="ARL14" s="210" t="s">
        <v>22</v>
      </c>
      <c r="ARM14" s="210"/>
      <c r="ARN14" s="210"/>
      <c r="ARO14" s="210"/>
      <c r="ARP14" s="129"/>
      <c r="ARQ14" s="129"/>
      <c r="ARR14" s="209" t="s">
        <v>33</v>
      </c>
      <c r="ARS14" s="209"/>
      <c r="ART14" s="209"/>
      <c r="ARU14" s="209"/>
      <c r="ARV14" s="104"/>
      <c r="ARW14" s="104"/>
      <c r="ARX14" s="210" t="s">
        <v>23</v>
      </c>
      <c r="ARY14" s="210"/>
      <c r="ARZ14" s="210"/>
      <c r="ASA14" s="210"/>
      <c r="ASB14" s="129"/>
      <c r="ASC14" s="129"/>
      <c r="ASD14" s="209" t="s">
        <v>34</v>
      </c>
      <c r="ASE14" s="209"/>
      <c r="ASF14" s="209"/>
      <c r="ASG14" s="209"/>
      <c r="ASH14" s="104"/>
      <c r="ASI14" s="104"/>
      <c r="ASJ14" s="210" t="s">
        <v>24</v>
      </c>
      <c r="ASK14" s="210"/>
      <c r="ASL14" s="210"/>
      <c r="ASM14" s="210"/>
      <c r="ASN14" s="129"/>
      <c r="ASO14" s="129"/>
      <c r="ASP14" s="209" t="s">
        <v>35</v>
      </c>
      <c r="ASQ14" s="209"/>
      <c r="ASR14" s="209"/>
      <c r="ASS14" s="209"/>
      <c r="AST14" s="104"/>
      <c r="ASU14" s="104"/>
      <c r="ASV14" s="210" t="s">
        <v>25</v>
      </c>
      <c r="ASW14" s="210"/>
      <c r="ASX14" s="210"/>
      <c r="ASY14" s="210"/>
      <c r="ASZ14" s="129"/>
      <c r="ATA14" s="129"/>
      <c r="ATB14" s="209" t="s">
        <v>36</v>
      </c>
      <c r="ATC14" s="209"/>
      <c r="ATD14" s="209"/>
      <c r="ATE14" s="209"/>
      <c r="ATF14" s="104"/>
      <c r="ATG14" s="104"/>
      <c r="ATH14" s="104"/>
      <c r="ATI14" s="105"/>
      <c r="ATJ14" s="103"/>
      <c r="ATK14" s="104"/>
      <c r="ATL14" s="104"/>
      <c r="ATM14" s="104"/>
      <c r="ATN14" s="209" t="s">
        <v>32</v>
      </c>
      <c r="ATO14" s="209"/>
      <c r="ATP14" s="209"/>
      <c r="ATQ14" s="209"/>
      <c r="ATR14" s="104"/>
      <c r="ATS14" s="104"/>
      <c r="ATT14" s="210" t="s">
        <v>22</v>
      </c>
      <c r="ATU14" s="210"/>
      <c r="ATV14" s="210"/>
      <c r="ATW14" s="210"/>
      <c r="ATX14" s="129"/>
      <c r="ATY14" s="129"/>
      <c r="ATZ14" s="209" t="s">
        <v>33</v>
      </c>
      <c r="AUA14" s="209"/>
      <c r="AUB14" s="209"/>
      <c r="AUC14" s="209"/>
      <c r="AUD14" s="104"/>
      <c r="AUE14" s="104"/>
      <c r="AUF14" s="210" t="s">
        <v>23</v>
      </c>
      <c r="AUG14" s="210"/>
      <c r="AUH14" s="210"/>
      <c r="AUI14" s="210"/>
      <c r="AUJ14" s="129"/>
      <c r="AUK14" s="129"/>
      <c r="AUL14" s="209" t="s">
        <v>34</v>
      </c>
      <c r="AUM14" s="209"/>
      <c r="AUN14" s="209"/>
      <c r="AUO14" s="209"/>
      <c r="AUP14" s="104"/>
      <c r="AUQ14" s="104"/>
      <c r="AUR14" s="210" t="s">
        <v>24</v>
      </c>
      <c r="AUS14" s="210"/>
      <c r="AUT14" s="210"/>
      <c r="AUU14" s="210"/>
      <c r="AUV14" s="129"/>
      <c r="AUW14" s="129"/>
      <c r="AUX14" s="209" t="s">
        <v>35</v>
      </c>
      <c r="AUY14" s="209"/>
      <c r="AUZ14" s="209"/>
      <c r="AVA14" s="209"/>
      <c r="AVB14" s="104"/>
      <c r="AVC14" s="104"/>
      <c r="AVD14" s="210" t="s">
        <v>25</v>
      </c>
      <c r="AVE14" s="210"/>
      <c r="AVF14" s="210"/>
      <c r="AVG14" s="210"/>
      <c r="AVH14" s="129"/>
      <c r="AVI14" s="129"/>
      <c r="AVJ14" s="209" t="s">
        <v>36</v>
      </c>
      <c r="AVK14" s="209"/>
      <c r="AVL14" s="209"/>
      <c r="AVM14" s="209"/>
      <c r="AVN14" s="104"/>
      <c r="AVO14" s="104"/>
      <c r="AVP14" s="104"/>
      <c r="AVQ14" s="105"/>
      <c r="AVR14" s="103"/>
      <c r="AVS14" s="104"/>
      <c r="AVT14" s="104"/>
      <c r="AVU14" s="104"/>
      <c r="AVV14" s="209" t="s">
        <v>32</v>
      </c>
      <c r="AVW14" s="209"/>
      <c r="AVX14" s="209"/>
      <c r="AVY14" s="209"/>
      <c r="AVZ14" s="104"/>
      <c r="AWA14" s="104"/>
      <c r="AWB14" s="210" t="s">
        <v>22</v>
      </c>
      <c r="AWC14" s="210"/>
      <c r="AWD14" s="210"/>
      <c r="AWE14" s="210"/>
      <c r="AWF14" s="129"/>
      <c r="AWG14" s="129"/>
      <c r="AWH14" s="209" t="s">
        <v>33</v>
      </c>
      <c r="AWI14" s="209"/>
      <c r="AWJ14" s="209"/>
      <c r="AWK14" s="209"/>
      <c r="AWL14" s="104"/>
      <c r="AWM14" s="104"/>
      <c r="AWN14" s="210" t="s">
        <v>23</v>
      </c>
      <c r="AWO14" s="210"/>
      <c r="AWP14" s="210"/>
      <c r="AWQ14" s="210"/>
      <c r="AWR14" s="129"/>
      <c r="AWS14" s="129"/>
      <c r="AWT14" s="209" t="s">
        <v>34</v>
      </c>
      <c r="AWU14" s="209"/>
      <c r="AWV14" s="209"/>
      <c r="AWW14" s="209"/>
      <c r="AWX14" s="104"/>
      <c r="AWY14" s="104"/>
      <c r="AWZ14" s="210" t="s">
        <v>24</v>
      </c>
      <c r="AXA14" s="210"/>
      <c r="AXB14" s="210"/>
      <c r="AXC14" s="210"/>
      <c r="AXD14" s="129"/>
      <c r="AXE14" s="129"/>
      <c r="AXF14" s="209" t="s">
        <v>35</v>
      </c>
      <c r="AXG14" s="209"/>
      <c r="AXH14" s="209"/>
      <c r="AXI14" s="209"/>
      <c r="AXJ14" s="104"/>
      <c r="AXK14" s="104"/>
      <c r="AXL14" s="210" t="s">
        <v>25</v>
      </c>
      <c r="AXM14" s="210"/>
      <c r="AXN14" s="210"/>
      <c r="AXO14" s="210"/>
      <c r="AXP14" s="129"/>
      <c r="AXQ14" s="129"/>
      <c r="AXR14" s="209" t="s">
        <v>36</v>
      </c>
      <c r="AXS14" s="209"/>
      <c r="AXT14" s="209"/>
      <c r="AXU14" s="209"/>
      <c r="AXV14" s="104"/>
      <c r="AXW14" s="104"/>
      <c r="AXX14" s="104"/>
      <c r="AXY14" s="105"/>
      <c r="AXZ14" s="103"/>
      <c r="AYA14" s="104"/>
      <c r="AYB14" s="104"/>
      <c r="AYC14" s="104"/>
      <c r="AYD14" s="209" t="s">
        <v>32</v>
      </c>
      <c r="AYE14" s="209"/>
      <c r="AYF14" s="209"/>
      <c r="AYG14" s="209"/>
      <c r="AYH14" s="104"/>
      <c r="AYI14" s="104"/>
      <c r="AYJ14" s="210" t="s">
        <v>22</v>
      </c>
      <c r="AYK14" s="210"/>
      <c r="AYL14" s="210"/>
      <c r="AYM14" s="210"/>
      <c r="AYN14" s="129"/>
      <c r="AYO14" s="129"/>
      <c r="AYP14" s="209" t="s">
        <v>33</v>
      </c>
      <c r="AYQ14" s="209"/>
      <c r="AYR14" s="209"/>
      <c r="AYS14" s="209"/>
      <c r="AYT14" s="104"/>
      <c r="AYU14" s="104"/>
      <c r="AYV14" s="210" t="s">
        <v>23</v>
      </c>
      <c r="AYW14" s="210"/>
      <c r="AYX14" s="210"/>
      <c r="AYY14" s="210"/>
      <c r="AYZ14" s="129"/>
      <c r="AZA14" s="129"/>
      <c r="AZB14" s="209" t="s">
        <v>34</v>
      </c>
      <c r="AZC14" s="209"/>
      <c r="AZD14" s="209"/>
      <c r="AZE14" s="209"/>
      <c r="AZF14" s="104"/>
      <c r="AZG14" s="104"/>
      <c r="AZH14" s="210" t="s">
        <v>24</v>
      </c>
      <c r="AZI14" s="210"/>
      <c r="AZJ14" s="210"/>
      <c r="AZK14" s="210"/>
      <c r="AZL14" s="129"/>
      <c r="AZM14" s="129"/>
      <c r="AZN14" s="209" t="s">
        <v>35</v>
      </c>
      <c r="AZO14" s="209"/>
      <c r="AZP14" s="209"/>
      <c r="AZQ14" s="209"/>
      <c r="AZR14" s="104"/>
      <c r="AZS14" s="104"/>
      <c r="AZT14" s="210" t="s">
        <v>25</v>
      </c>
      <c r="AZU14" s="210"/>
      <c r="AZV14" s="210"/>
      <c r="AZW14" s="210"/>
      <c r="AZX14" s="129"/>
      <c r="AZY14" s="129"/>
      <c r="AZZ14" s="209" t="s">
        <v>36</v>
      </c>
      <c r="BAA14" s="209"/>
      <c r="BAB14" s="209"/>
      <c r="BAC14" s="209"/>
      <c r="BAD14" s="104"/>
      <c r="BAE14" s="104"/>
      <c r="BAF14" s="104"/>
      <c r="BAG14" s="105"/>
      <c r="BAH14" s="103"/>
      <c r="BAI14" s="104"/>
      <c r="BAJ14" s="104"/>
      <c r="BAK14" s="104"/>
      <c r="BAL14" s="209" t="s">
        <v>32</v>
      </c>
      <c r="BAM14" s="209"/>
      <c r="BAN14" s="209"/>
      <c r="BAO14" s="209"/>
      <c r="BAP14" s="104"/>
      <c r="BAQ14" s="104"/>
      <c r="BAR14" s="210" t="s">
        <v>22</v>
      </c>
      <c r="BAS14" s="210"/>
      <c r="BAT14" s="210"/>
      <c r="BAU14" s="210"/>
      <c r="BAV14" s="129"/>
      <c r="BAW14" s="129"/>
      <c r="BAX14" s="209" t="s">
        <v>33</v>
      </c>
      <c r="BAY14" s="209"/>
      <c r="BAZ14" s="209"/>
      <c r="BBA14" s="209"/>
      <c r="BBB14" s="104"/>
      <c r="BBC14" s="104"/>
      <c r="BBD14" s="210" t="s">
        <v>23</v>
      </c>
      <c r="BBE14" s="210"/>
      <c r="BBF14" s="210"/>
      <c r="BBG14" s="210"/>
      <c r="BBH14" s="129"/>
      <c r="BBI14" s="129"/>
      <c r="BBJ14" s="209" t="s">
        <v>34</v>
      </c>
      <c r="BBK14" s="209"/>
      <c r="BBL14" s="209"/>
      <c r="BBM14" s="209"/>
      <c r="BBN14" s="104"/>
      <c r="BBO14" s="104"/>
      <c r="BBP14" s="210" t="s">
        <v>24</v>
      </c>
      <c r="BBQ14" s="210"/>
      <c r="BBR14" s="210"/>
      <c r="BBS14" s="210"/>
      <c r="BBT14" s="129"/>
      <c r="BBU14" s="129"/>
      <c r="BBV14" s="209" t="s">
        <v>35</v>
      </c>
      <c r="BBW14" s="209"/>
      <c r="BBX14" s="209"/>
      <c r="BBY14" s="209"/>
      <c r="BBZ14" s="104"/>
      <c r="BCA14" s="104"/>
      <c r="BCB14" s="210" t="s">
        <v>25</v>
      </c>
      <c r="BCC14" s="210"/>
      <c r="BCD14" s="210"/>
      <c r="BCE14" s="210"/>
      <c r="BCF14" s="129"/>
      <c r="BCG14" s="129"/>
      <c r="BCH14" s="209" t="s">
        <v>36</v>
      </c>
      <c r="BCI14" s="209"/>
      <c r="BCJ14" s="209"/>
      <c r="BCK14" s="209"/>
      <c r="BCL14" s="104"/>
      <c r="BCM14" s="104"/>
      <c r="BCN14" s="104"/>
      <c r="BCO14" s="105"/>
      <c r="BCP14" s="103"/>
      <c r="BCQ14" s="104"/>
      <c r="BCR14" s="104"/>
      <c r="BCS14" s="104"/>
      <c r="BCT14" s="209" t="s">
        <v>32</v>
      </c>
      <c r="BCU14" s="209"/>
      <c r="BCV14" s="209"/>
      <c r="BCW14" s="209"/>
      <c r="BCX14" s="104"/>
      <c r="BCY14" s="104"/>
      <c r="BCZ14" s="210" t="s">
        <v>22</v>
      </c>
      <c r="BDA14" s="210"/>
      <c r="BDB14" s="210"/>
      <c r="BDC14" s="210"/>
      <c r="BDD14" s="129"/>
      <c r="BDE14" s="129"/>
      <c r="BDF14" s="209" t="s">
        <v>33</v>
      </c>
      <c r="BDG14" s="209"/>
      <c r="BDH14" s="209"/>
      <c r="BDI14" s="209"/>
      <c r="BDJ14" s="104"/>
      <c r="BDK14" s="104"/>
      <c r="BDL14" s="210" t="s">
        <v>23</v>
      </c>
      <c r="BDM14" s="210"/>
      <c r="BDN14" s="210"/>
      <c r="BDO14" s="210"/>
      <c r="BDP14" s="129"/>
      <c r="BDQ14" s="129"/>
      <c r="BDR14" s="209" t="s">
        <v>34</v>
      </c>
      <c r="BDS14" s="209"/>
      <c r="BDT14" s="209"/>
      <c r="BDU14" s="209"/>
      <c r="BDV14" s="104"/>
      <c r="BDW14" s="104"/>
      <c r="BDX14" s="210" t="s">
        <v>24</v>
      </c>
      <c r="BDY14" s="210"/>
      <c r="BDZ14" s="210"/>
      <c r="BEA14" s="210"/>
      <c r="BEB14" s="129"/>
      <c r="BEC14" s="129"/>
      <c r="BED14" s="209" t="s">
        <v>35</v>
      </c>
      <c r="BEE14" s="209"/>
      <c r="BEF14" s="209"/>
      <c r="BEG14" s="209"/>
      <c r="BEH14" s="104"/>
      <c r="BEI14" s="104"/>
      <c r="BEJ14" s="210" t="s">
        <v>25</v>
      </c>
      <c r="BEK14" s="210"/>
      <c r="BEL14" s="210"/>
      <c r="BEM14" s="210"/>
      <c r="BEN14" s="129"/>
      <c r="BEO14" s="129"/>
      <c r="BEP14" s="209" t="s">
        <v>36</v>
      </c>
      <c r="BEQ14" s="209"/>
      <c r="BER14" s="209"/>
      <c r="BES14" s="209"/>
      <c r="BET14" s="104"/>
      <c r="BEU14" s="104"/>
      <c r="BEV14" s="104"/>
      <c r="BEW14" s="105"/>
      <c r="BEX14" s="103"/>
      <c r="BEY14" s="104"/>
      <c r="BEZ14" s="104"/>
      <c r="BFA14" s="104"/>
      <c r="BFB14" s="209" t="s">
        <v>32</v>
      </c>
      <c r="BFC14" s="209"/>
      <c r="BFD14" s="209"/>
      <c r="BFE14" s="209"/>
      <c r="BFF14" s="104"/>
      <c r="BFG14" s="104"/>
      <c r="BFH14" s="210" t="s">
        <v>22</v>
      </c>
      <c r="BFI14" s="210"/>
      <c r="BFJ14" s="210"/>
      <c r="BFK14" s="210"/>
      <c r="BFL14" s="129"/>
      <c r="BFM14" s="129"/>
      <c r="BFN14" s="209" t="s">
        <v>33</v>
      </c>
      <c r="BFO14" s="209"/>
      <c r="BFP14" s="209"/>
      <c r="BFQ14" s="209"/>
      <c r="BFR14" s="104"/>
      <c r="BFS14" s="104"/>
      <c r="BFT14" s="210" t="s">
        <v>23</v>
      </c>
      <c r="BFU14" s="210"/>
      <c r="BFV14" s="210"/>
      <c r="BFW14" s="210"/>
      <c r="BFX14" s="129"/>
      <c r="BFY14" s="129"/>
      <c r="BFZ14" s="209" t="s">
        <v>34</v>
      </c>
      <c r="BGA14" s="209"/>
      <c r="BGB14" s="209"/>
      <c r="BGC14" s="209"/>
      <c r="BGD14" s="104"/>
      <c r="BGE14" s="104"/>
      <c r="BGF14" s="210" t="s">
        <v>24</v>
      </c>
      <c r="BGG14" s="210"/>
      <c r="BGH14" s="210"/>
      <c r="BGI14" s="210"/>
      <c r="BGJ14" s="129"/>
      <c r="BGK14" s="129"/>
      <c r="BGL14" s="209" t="s">
        <v>35</v>
      </c>
      <c r="BGM14" s="209"/>
      <c r="BGN14" s="209"/>
      <c r="BGO14" s="209"/>
      <c r="BGP14" s="104"/>
      <c r="BGQ14" s="104"/>
      <c r="BGR14" s="210" t="s">
        <v>25</v>
      </c>
      <c r="BGS14" s="210"/>
      <c r="BGT14" s="210"/>
      <c r="BGU14" s="210"/>
      <c r="BGV14" s="129"/>
      <c r="BGW14" s="129"/>
      <c r="BGX14" s="209" t="s">
        <v>36</v>
      </c>
      <c r="BGY14" s="209"/>
      <c r="BGZ14" s="209"/>
      <c r="BHA14" s="209"/>
      <c r="BHB14" s="104"/>
      <c r="BHC14" s="104"/>
      <c r="BHD14" s="104"/>
      <c r="BHE14" s="105"/>
      <c r="BHF14" s="103"/>
      <c r="BHG14" s="104"/>
      <c r="BHH14" s="104"/>
      <c r="BHI14" s="104"/>
      <c r="BHJ14" s="209" t="s">
        <v>32</v>
      </c>
      <c r="BHK14" s="209"/>
      <c r="BHL14" s="209"/>
      <c r="BHM14" s="209"/>
      <c r="BHN14" s="104"/>
      <c r="BHO14" s="104"/>
      <c r="BHP14" s="210" t="s">
        <v>22</v>
      </c>
      <c r="BHQ14" s="210"/>
      <c r="BHR14" s="210"/>
      <c r="BHS14" s="210"/>
      <c r="BHT14" s="129"/>
      <c r="BHU14" s="129"/>
      <c r="BHV14" s="209" t="s">
        <v>33</v>
      </c>
      <c r="BHW14" s="209"/>
      <c r="BHX14" s="209"/>
      <c r="BHY14" s="209"/>
      <c r="BHZ14" s="104"/>
      <c r="BIA14" s="104"/>
      <c r="BIB14" s="210" t="s">
        <v>23</v>
      </c>
      <c r="BIC14" s="210"/>
      <c r="BID14" s="210"/>
      <c r="BIE14" s="210"/>
      <c r="BIF14" s="129"/>
      <c r="BIG14" s="129"/>
      <c r="BIH14" s="209" t="s">
        <v>34</v>
      </c>
      <c r="BII14" s="209"/>
      <c r="BIJ14" s="209"/>
      <c r="BIK14" s="209"/>
      <c r="BIL14" s="104"/>
      <c r="BIM14" s="104"/>
      <c r="BIN14" s="210" t="s">
        <v>24</v>
      </c>
      <c r="BIO14" s="210"/>
      <c r="BIP14" s="210"/>
      <c r="BIQ14" s="210"/>
      <c r="BIR14" s="129"/>
      <c r="BIS14" s="129"/>
      <c r="BIT14" s="209" t="s">
        <v>35</v>
      </c>
      <c r="BIU14" s="209"/>
      <c r="BIV14" s="209"/>
      <c r="BIW14" s="209"/>
      <c r="BIX14" s="104"/>
      <c r="BIY14" s="104"/>
      <c r="BIZ14" s="210" t="s">
        <v>25</v>
      </c>
      <c r="BJA14" s="210"/>
      <c r="BJB14" s="210"/>
      <c r="BJC14" s="210"/>
      <c r="BJD14" s="129"/>
      <c r="BJE14" s="129"/>
      <c r="BJF14" s="209" t="s">
        <v>36</v>
      </c>
      <c r="BJG14" s="209"/>
      <c r="BJH14" s="209"/>
      <c r="BJI14" s="209"/>
      <c r="BJJ14" s="104"/>
      <c r="BJK14" s="104"/>
      <c r="BJL14" s="104"/>
      <c r="BJM14" s="105"/>
      <c r="BJN14" s="103"/>
      <c r="BJO14" s="104"/>
      <c r="BJP14" s="104"/>
      <c r="BJQ14" s="104"/>
      <c r="BJR14" s="209" t="s">
        <v>32</v>
      </c>
      <c r="BJS14" s="209"/>
      <c r="BJT14" s="209"/>
      <c r="BJU14" s="209"/>
      <c r="BJV14" s="104"/>
      <c r="BJW14" s="104"/>
      <c r="BJX14" s="210" t="s">
        <v>22</v>
      </c>
      <c r="BJY14" s="210"/>
      <c r="BJZ14" s="210"/>
      <c r="BKA14" s="210"/>
      <c r="BKB14" s="129"/>
      <c r="BKC14" s="129"/>
      <c r="BKD14" s="209" t="s">
        <v>33</v>
      </c>
      <c r="BKE14" s="209"/>
      <c r="BKF14" s="209"/>
      <c r="BKG14" s="209"/>
      <c r="BKH14" s="104"/>
      <c r="BKI14" s="104"/>
      <c r="BKJ14" s="210" t="s">
        <v>23</v>
      </c>
      <c r="BKK14" s="210"/>
      <c r="BKL14" s="210"/>
      <c r="BKM14" s="210"/>
      <c r="BKN14" s="129"/>
      <c r="BKO14" s="129"/>
      <c r="BKP14" s="209" t="s">
        <v>34</v>
      </c>
      <c r="BKQ14" s="209"/>
      <c r="BKR14" s="209"/>
      <c r="BKS14" s="209"/>
      <c r="BKT14" s="104"/>
      <c r="BKU14" s="104"/>
      <c r="BKV14" s="210" t="s">
        <v>24</v>
      </c>
      <c r="BKW14" s="210"/>
      <c r="BKX14" s="210"/>
      <c r="BKY14" s="210"/>
      <c r="BKZ14" s="129"/>
      <c r="BLA14" s="129"/>
      <c r="BLB14" s="209" t="s">
        <v>35</v>
      </c>
      <c r="BLC14" s="209"/>
      <c r="BLD14" s="209"/>
      <c r="BLE14" s="209"/>
      <c r="BLF14" s="104"/>
      <c r="BLG14" s="104"/>
      <c r="BLH14" s="210" t="s">
        <v>25</v>
      </c>
      <c r="BLI14" s="210"/>
      <c r="BLJ14" s="210"/>
      <c r="BLK14" s="210"/>
      <c r="BLL14" s="129"/>
      <c r="BLM14" s="129"/>
      <c r="BLN14" s="209" t="s">
        <v>36</v>
      </c>
      <c r="BLO14" s="209"/>
      <c r="BLP14" s="209"/>
      <c r="BLQ14" s="209"/>
      <c r="BLR14" s="104"/>
      <c r="BLS14" s="104"/>
      <c r="BLT14" s="104"/>
      <c r="BLU14" s="105"/>
      <c r="BLV14" s="103"/>
      <c r="BLW14" s="104"/>
      <c r="BLX14" s="104"/>
      <c r="BLY14" s="104"/>
      <c r="BLZ14" s="209" t="s">
        <v>32</v>
      </c>
      <c r="BMA14" s="209"/>
      <c r="BMB14" s="209"/>
      <c r="BMC14" s="209"/>
      <c r="BMD14" s="104"/>
      <c r="BME14" s="104"/>
      <c r="BMF14" s="210" t="s">
        <v>22</v>
      </c>
      <c r="BMG14" s="210"/>
      <c r="BMH14" s="210"/>
      <c r="BMI14" s="210"/>
      <c r="BMJ14" s="129"/>
      <c r="BMK14" s="129"/>
      <c r="BML14" s="209" t="s">
        <v>33</v>
      </c>
      <c r="BMM14" s="209"/>
      <c r="BMN14" s="209"/>
      <c r="BMO14" s="209"/>
      <c r="BMP14" s="104"/>
      <c r="BMQ14" s="104"/>
      <c r="BMR14" s="210" t="s">
        <v>23</v>
      </c>
      <c r="BMS14" s="210"/>
      <c r="BMT14" s="210"/>
      <c r="BMU14" s="210"/>
      <c r="BMV14" s="129"/>
      <c r="BMW14" s="129"/>
      <c r="BMX14" s="209" t="s">
        <v>34</v>
      </c>
      <c r="BMY14" s="209"/>
      <c r="BMZ14" s="209"/>
      <c r="BNA14" s="209"/>
      <c r="BNB14" s="104"/>
      <c r="BNC14" s="104"/>
      <c r="BND14" s="210" t="s">
        <v>24</v>
      </c>
      <c r="BNE14" s="210"/>
      <c r="BNF14" s="210"/>
      <c r="BNG14" s="210"/>
      <c r="BNH14" s="129"/>
      <c r="BNI14" s="129"/>
      <c r="BNJ14" s="209" t="s">
        <v>35</v>
      </c>
      <c r="BNK14" s="209"/>
      <c r="BNL14" s="209"/>
      <c r="BNM14" s="209"/>
      <c r="BNN14" s="104"/>
      <c r="BNO14" s="104"/>
      <c r="BNP14" s="210" t="s">
        <v>25</v>
      </c>
      <c r="BNQ14" s="210"/>
      <c r="BNR14" s="210"/>
      <c r="BNS14" s="210"/>
      <c r="BNT14" s="129"/>
      <c r="BNU14" s="129"/>
      <c r="BNV14" s="209" t="s">
        <v>36</v>
      </c>
      <c r="BNW14" s="209"/>
      <c r="BNX14" s="209"/>
      <c r="BNY14" s="209"/>
      <c r="BNZ14" s="104"/>
      <c r="BOA14" s="104"/>
      <c r="BOB14" s="104"/>
      <c r="BOC14" s="105"/>
      <c r="BOD14" s="103"/>
      <c r="BOE14" s="104"/>
      <c r="BOF14" s="104"/>
      <c r="BOG14" s="104"/>
      <c r="BOH14" s="209" t="s">
        <v>32</v>
      </c>
      <c r="BOI14" s="209"/>
      <c r="BOJ14" s="209"/>
      <c r="BOK14" s="209"/>
      <c r="BOL14" s="104"/>
      <c r="BOM14" s="104"/>
      <c r="BON14" s="210" t="s">
        <v>22</v>
      </c>
      <c r="BOO14" s="210"/>
      <c r="BOP14" s="210"/>
      <c r="BOQ14" s="210"/>
      <c r="BOR14" s="129"/>
      <c r="BOS14" s="129"/>
      <c r="BOT14" s="209" t="s">
        <v>33</v>
      </c>
      <c r="BOU14" s="209"/>
      <c r="BOV14" s="209"/>
      <c r="BOW14" s="209"/>
      <c r="BOX14" s="104"/>
      <c r="BOY14" s="104"/>
      <c r="BOZ14" s="210" t="s">
        <v>23</v>
      </c>
      <c r="BPA14" s="210"/>
      <c r="BPB14" s="210"/>
      <c r="BPC14" s="210"/>
      <c r="BPD14" s="129"/>
      <c r="BPE14" s="129"/>
      <c r="BPF14" s="209" t="s">
        <v>34</v>
      </c>
      <c r="BPG14" s="209"/>
      <c r="BPH14" s="209"/>
      <c r="BPI14" s="209"/>
      <c r="BPJ14" s="104"/>
      <c r="BPK14" s="104"/>
      <c r="BPL14" s="210" t="s">
        <v>24</v>
      </c>
      <c r="BPM14" s="210"/>
      <c r="BPN14" s="210"/>
      <c r="BPO14" s="210"/>
      <c r="BPP14" s="129"/>
      <c r="BPQ14" s="129"/>
      <c r="BPR14" s="209" t="s">
        <v>35</v>
      </c>
      <c r="BPS14" s="209"/>
      <c r="BPT14" s="209"/>
      <c r="BPU14" s="209"/>
      <c r="BPV14" s="104"/>
      <c r="BPW14" s="104"/>
      <c r="BPX14" s="210" t="s">
        <v>25</v>
      </c>
      <c r="BPY14" s="210"/>
      <c r="BPZ14" s="210"/>
      <c r="BQA14" s="210"/>
      <c r="BQB14" s="129"/>
      <c r="BQC14" s="129"/>
      <c r="BQD14" s="209" t="s">
        <v>36</v>
      </c>
      <c r="BQE14" s="209"/>
      <c r="BQF14" s="209"/>
      <c r="BQG14" s="209"/>
      <c r="BQH14" s="104"/>
      <c r="BQI14" s="104"/>
      <c r="BQJ14" s="104"/>
      <c r="BQK14" s="105"/>
      <c r="BQL14" s="103"/>
      <c r="BQM14" s="104"/>
      <c r="BQN14" s="104"/>
      <c r="BQO14" s="104"/>
      <c r="BQP14" s="209" t="s">
        <v>32</v>
      </c>
      <c r="BQQ14" s="209"/>
      <c r="BQR14" s="209"/>
      <c r="BQS14" s="209"/>
      <c r="BQT14" s="104"/>
      <c r="BQU14" s="104"/>
      <c r="BQV14" s="210" t="s">
        <v>22</v>
      </c>
      <c r="BQW14" s="210"/>
      <c r="BQX14" s="210"/>
      <c r="BQY14" s="210"/>
      <c r="BQZ14" s="129"/>
      <c r="BRA14" s="129"/>
      <c r="BRB14" s="209" t="s">
        <v>33</v>
      </c>
      <c r="BRC14" s="209"/>
      <c r="BRD14" s="209"/>
      <c r="BRE14" s="209"/>
      <c r="BRF14" s="104"/>
      <c r="BRG14" s="104"/>
      <c r="BRH14" s="210" t="s">
        <v>23</v>
      </c>
      <c r="BRI14" s="210"/>
      <c r="BRJ14" s="210"/>
      <c r="BRK14" s="210"/>
      <c r="BRL14" s="129"/>
      <c r="BRM14" s="129"/>
      <c r="BRN14" s="209" t="s">
        <v>34</v>
      </c>
      <c r="BRO14" s="209"/>
      <c r="BRP14" s="209"/>
      <c r="BRQ14" s="209"/>
      <c r="BRR14" s="104"/>
      <c r="BRS14" s="104"/>
      <c r="BRT14" s="210" t="s">
        <v>24</v>
      </c>
      <c r="BRU14" s="210"/>
      <c r="BRV14" s="210"/>
      <c r="BRW14" s="210"/>
      <c r="BRX14" s="129"/>
      <c r="BRY14" s="129"/>
      <c r="BRZ14" s="209" t="s">
        <v>35</v>
      </c>
      <c r="BSA14" s="209"/>
      <c r="BSB14" s="209"/>
      <c r="BSC14" s="209"/>
      <c r="BSD14" s="104"/>
      <c r="BSE14" s="104"/>
      <c r="BSF14" s="210" t="s">
        <v>25</v>
      </c>
      <c r="BSG14" s="210"/>
      <c r="BSH14" s="210"/>
      <c r="BSI14" s="210"/>
      <c r="BSJ14" s="129"/>
      <c r="BSK14" s="129"/>
      <c r="BSL14" s="209" t="s">
        <v>36</v>
      </c>
      <c r="BSM14" s="209"/>
      <c r="BSN14" s="209"/>
      <c r="BSO14" s="209"/>
      <c r="BSP14" s="104"/>
      <c r="BSQ14" s="104"/>
      <c r="BSR14" s="104"/>
      <c r="BSS14" s="105"/>
      <c r="BST14" s="103"/>
      <c r="BSU14" s="104"/>
      <c r="BSV14" s="104"/>
      <c r="BSW14" s="104"/>
      <c r="BSX14" s="209" t="s">
        <v>32</v>
      </c>
      <c r="BSY14" s="209"/>
      <c r="BSZ14" s="209"/>
      <c r="BTA14" s="209"/>
      <c r="BTB14" s="104"/>
      <c r="BTC14" s="104"/>
      <c r="BTD14" s="210" t="s">
        <v>22</v>
      </c>
      <c r="BTE14" s="210"/>
      <c r="BTF14" s="210"/>
      <c r="BTG14" s="210"/>
      <c r="BTH14" s="129"/>
      <c r="BTI14" s="129"/>
      <c r="BTJ14" s="209" t="s">
        <v>33</v>
      </c>
      <c r="BTK14" s="209"/>
      <c r="BTL14" s="209"/>
      <c r="BTM14" s="209"/>
      <c r="BTN14" s="104"/>
      <c r="BTO14" s="104"/>
      <c r="BTP14" s="210" t="s">
        <v>23</v>
      </c>
      <c r="BTQ14" s="210"/>
      <c r="BTR14" s="210"/>
      <c r="BTS14" s="210"/>
      <c r="BTT14" s="129"/>
      <c r="BTU14" s="129"/>
      <c r="BTV14" s="209" t="s">
        <v>34</v>
      </c>
      <c r="BTW14" s="209"/>
      <c r="BTX14" s="209"/>
      <c r="BTY14" s="209"/>
      <c r="BTZ14" s="104"/>
      <c r="BUA14" s="104"/>
      <c r="BUB14" s="210" t="s">
        <v>24</v>
      </c>
      <c r="BUC14" s="210"/>
      <c r="BUD14" s="210"/>
      <c r="BUE14" s="210"/>
      <c r="BUF14" s="129"/>
      <c r="BUG14" s="129"/>
      <c r="BUH14" s="209" t="s">
        <v>35</v>
      </c>
      <c r="BUI14" s="209"/>
      <c r="BUJ14" s="209"/>
      <c r="BUK14" s="209"/>
      <c r="BUL14" s="104"/>
      <c r="BUM14" s="104"/>
      <c r="BUN14" s="210" t="s">
        <v>25</v>
      </c>
      <c r="BUO14" s="210"/>
      <c r="BUP14" s="210"/>
      <c r="BUQ14" s="210"/>
      <c r="BUR14" s="129"/>
      <c r="BUS14" s="129"/>
      <c r="BUT14" s="209" t="s">
        <v>36</v>
      </c>
      <c r="BUU14" s="209"/>
      <c r="BUV14" s="209"/>
      <c r="BUW14" s="209"/>
      <c r="BUX14" s="104"/>
      <c r="BUY14" s="104"/>
      <c r="BUZ14" s="104"/>
      <c r="BVA14" s="105"/>
      <c r="BVB14" s="103"/>
      <c r="BVC14" s="104"/>
      <c r="BVD14" s="104"/>
      <c r="BVE14" s="104"/>
      <c r="BVF14" s="209" t="s">
        <v>32</v>
      </c>
      <c r="BVG14" s="209"/>
      <c r="BVH14" s="209"/>
      <c r="BVI14" s="209"/>
      <c r="BVJ14" s="104"/>
      <c r="BVK14" s="104"/>
      <c r="BVL14" s="210" t="s">
        <v>22</v>
      </c>
      <c r="BVM14" s="210"/>
      <c r="BVN14" s="210"/>
      <c r="BVO14" s="210"/>
      <c r="BVP14" s="129"/>
      <c r="BVQ14" s="129"/>
      <c r="BVR14" s="209" t="s">
        <v>33</v>
      </c>
      <c r="BVS14" s="209"/>
      <c r="BVT14" s="209"/>
      <c r="BVU14" s="209"/>
      <c r="BVV14" s="104"/>
      <c r="BVW14" s="104"/>
      <c r="BVX14" s="210" t="s">
        <v>23</v>
      </c>
      <c r="BVY14" s="210"/>
      <c r="BVZ14" s="210"/>
      <c r="BWA14" s="210"/>
      <c r="BWB14" s="129"/>
      <c r="BWC14" s="129"/>
      <c r="BWD14" s="209" t="s">
        <v>34</v>
      </c>
      <c r="BWE14" s="209"/>
      <c r="BWF14" s="209"/>
      <c r="BWG14" s="209"/>
      <c r="BWH14" s="104"/>
      <c r="BWI14" s="104"/>
      <c r="BWJ14" s="210" t="s">
        <v>24</v>
      </c>
      <c r="BWK14" s="210"/>
      <c r="BWL14" s="210"/>
      <c r="BWM14" s="210"/>
      <c r="BWN14" s="129"/>
      <c r="BWO14" s="129"/>
      <c r="BWP14" s="209" t="s">
        <v>35</v>
      </c>
      <c r="BWQ14" s="209"/>
      <c r="BWR14" s="209"/>
      <c r="BWS14" s="209"/>
      <c r="BWT14" s="104"/>
      <c r="BWU14" s="104"/>
      <c r="BWV14" s="210" t="s">
        <v>25</v>
      </c>
      <c r="BWW14" s="210"/>
      <c r="BWX14" s="210"/>
      <c r="BWY14" s="210"/>
      <c r="BWZ14" s="129"/>
      <c r="BXA14" s="129"/>
      <c r="BXB14" s="209" t="s">
        <v>36</v>
      </c>
      <c r="BXC14" s="209"/>
      <c r="BXD14" s="209"/>
      <c r="BXE14" s="209"/>
      <c r="BXF14" s="104"/>
      <c r="BXG14" s="104"/>
      <c r="BXH14" s="104"/>
      <c r="BXI14" s="105"/>
      <c r="BXJ14" s="103"/>
      <c r="BXK14" s="104"/>
      <c r="BXL14" s="104"/>
      <c r="BXM14" s="104"/>
      <c r="BXN14" s="209" t="s">
        <v>32</v>
      </c>
      <c r="BXO14" s="209"/>
      <c r="BXP14" s="209"/>
      <c r="BXQ14" s="209"/>
      <c r="BXR14" s="104"/>
      <c r="BXS14" s="104"/>
      <c r="BXT14" s="210" t="s">
        <v>22</v>
      </c>
      <c r="BXU14" s="210"/>
      <c r="BXV14" s="210"/>
      <c r="BXW14" s="210"/>
      <c r="BXX14" s="129"/>
      <c r="BXY14" s="129"/>
      <c r="BXZ14" s="209" t="s">
        <v>33</v>
      </c>
      <c r="BYA14" s="209"/>
      <c r="BYB14" s="209"/>
      <c r="BYC14" s="209"/>
      <c r="BYD14" s="104"/>
      <c r="BYE14" s="104"/>
      <c r="BYF14" s="210" t="s">
        <v>23</v>
      </c>
      <c r="BYG14" s="210"/>
      <c r="BYH14" s="210"/>
      <c r="BYI14" s="210"/>
      <c r="BYJ14" s="129"/>
      <c r="BYK14" s="129"/>
      <c r="BYL14" s="209" t="s">
        <v>34</v>
      </c>
      <c r="BYM14" s="209"/>
      <c r="BYN14" s="209"/>
      <c r="BYO14" s="209"/>
      <c r="BYP14" s="104"/>
      <c r="BYQ14" s="104"/>
      <c r="BYR14" s="210" t="s">
        <v>24</v>
      </c>
      <c r="BYS14" s="210"/>
      <c r="BYT14" s="210"/>
      <c r="BYU14" s="210"/>
      <c r="BYV14" s="129"/>
      <c r="BYW14" s="129"/>
      <c r="BYX14" s="209" t="s">
        <v>35</v>
      </c>
      <c r="BYY14" s="209"/>
      <c r="BYZ14" s="209"/>
      <c r="BZA14" s="209"/>
      <c r="BZB14" s="104"/>
      <c r="BZC14" s="104"/>
      <c r="BZD14" s="210" t="s">
        <v>25</v>
      </c>
      <c r="BZE14" s="210"/>
      <c r="BZF14" s="210"/>
      <c r="BZG14" s="210"/>
      <c r="BZH14" s="129"/>
      <c r="BZI14" s="129"/>
      <c r="BZJ14" s="209" t="s">
        <v>36</v>
      </c>
      <c r="BZK14" s="209"/>
      <c r="BZL14" s="209"/>
      <c r="BZM14" s="209"/>
      <c r="BZN14" s="104"/>
      <c r="BZO14" s="104"/>
      <c r="BZP14" s="104"/>
      <c r="BZQ14" s="105"/>
      <c r="BZR14" s="103"/>
      <c r="BZS14" s="104"/>
      <c r="BZT14" s="104"/>
      <c r="BZU14" s="104"/>
      <c r="BZV14" s="209" t="s">
        <v>32</v>
      </c>
      <c r="BZW14" s="209"/>
      <c r="BZX14" s="209"/>
      <c r="BZY14" s="209"/>
      <c r="BZZ14" s="104"/>
      <c r="CAA14" s="104"/>
      <c r="CAB14" s="210" t="s">
        <v>22</v>
      </c>
      <c r="CAC14" s="210"/>
      <c r="CAD14" s="210"/>
      <c r="CAE14" s="210"/>
      <c r="CAF14" s="129"/>
      <c r="CAG14" s="129"/>
      <c r="CAH14" s="209" t="s">
        <v>33</v>
      </c>
      <c r="CAI14" s="209"/>
      <c r="CAJ14" s="209"/>
      <c r="CAK14" s="209"/>
      <c r="CAL14" s="104"/>
      <c r="CAM14" s="104"/>
      <c r="CAN14" s="210" t="s">
        <v>23</v>
      </c>
      <c r="CAO14" s="210"/>
      <c r="CAP14" s="210"/>
      <c r="CAQ14" s="210"/>
      <c r="CAR14" s="129"/>
      <c r="CAS14" s="129"/>
      <c r="CAT14" s="209" t="s">
        <v>34</v>
      </c>
      <c r="CAU14" s="209"/>
      <c r="CAV14" s="209"/>
      <c r="CAW14" s="209"/>
      <c r="CAX14" s="104"/>
      <c r="CAY14" s="104"/>
      <c r="CAZ14" s="210" t="s">
        <v>24</v>
      </c>
      <c r="CBA14" s="210"/>
      <c r="CBB14" s="210"/>
      <c r="CBC14" s="210"/>
      <c r="CBD14" s="129"/>
      <c r="CBE14" s="129"/>
      <c r="CBF14" s="209" t="s">
        <v>35</v>
      </c>
      <c r="CBG14" s="209"/>
      <c r="CBH14" s="209"/>
      <c r="CBI14" s="209"/>
      <c r="CBJ14" s="104"/>
      <c r="CBK14" s="104"/>
      <c r="CBL14" s="210" t="s">
        <v>25</v>
      </c>
      <c r="CBM14" s="210"/>
      <c r="CBN14" s="210"/>
      <c r="CBO14" s="210"/>
      <c r="CBP14" s="129"/>
      <c r="CBQ14" s="129"/>
      <c r="CBR14" s="209" t="s">
        <v>36</v>
      </c>
      <c r="CBS14" s="209"/>
      <c r="CBT14" s="209"/>
      <c r="CBU14" s="209"/>
      <c r="CBV14" s="104"/>
      <c r="CBW14" s="104"/>
      <c r="CBX14" s="104"/>
      <c r="CBY14" s="105"/>
      <c r="CBZ14" s="103"/>
      <c r="CCA14" s="104"/>
      <c r="CCB14" s="104"/>
      <c r="CCC14" s="104"/>
      <c r="CCD14" s="209" t="s">
        <v>32</v>
      </c>
      <c r="CCE14" s="209"/>
      <c r="CCF14" s="209"/>
      <c r="CCG14" s="209"/>
      <c r="CCH14" s="104"/>
      <c r="CCI14" s="104"/>
      <c r="CCJ14" s="210" t="s">
        <v>22</v>
      </c>
      <c r="CCK14" s="210"/>
      <c r="CCL14" s="210"/>
      <c r="CCM14" s="210"/>
      <c r="CCN14" s="129"/>
      <c r="CCO14" s="129"/>
      <c r="CCP14" s="209" t="s">
        <v>33</v>
      </c>
      <c r="CCQ14" s="209"/>
      <c r="CCR14" s="209"/>
      <c r="CCS14" s="209"/>
      <c r="CCT14" s="104"/>
      <c r="CCU14" s="104"/>
      <c r="CCV14" s="210" t="s">
        <v>23</v>
      </c>
      <c r="CCW14" s="210"/>
      <c r="CCX14" s="210"/>
      <c r="CCY14" s="210"/>
      <c r="CCZ14" s="129"/>
      <c r="CDA14" s="129"/>
      <c r="CDB14" s="209" t="s">
        <v>34</v>
      </c>
      <c r="CDC14" s="209"/>
      <c r="CDD14" s="209"/>
      <c r="CDE14" s="209"/>
      <c r="CDF14" s="104"/>
      <c r="CDG14" s="104"/>
      <c r="CDH14" s="210" t="s">
        <v>24</v>
      </c>
      <c r="CDI14" s="210"/>
      <c r="CDJ14" s="210"/>
      <c r="CDK14" s="210"/>
      <c r="CDL14" s="129"/>
      <c r="CDM14" s="129"/>
      <c r="CDN14" s="209" t="s">
        <v>35</v>
      </c>
      <c r="CDO14" s="209"/>
      <c r="CDP14" s="209"/>
      <c r="CDQ14" s="209"/>
      <c r="CDR14" s="104"/>
      <c r="CDS14" s="104"/>
      <c r="CDT14" s="210" t="s">
        <v>25</v>
      </c>
      <c r="CDU14" s="210"/>
      <c r="CDV14" s="210"/>
      <c r="CDW14" s="210"/>
      <c r="CDX14" s="129"/>
      <c r="CDY14" s="129"/>
      <c r="CDZ14" s="209" t="s">
        <v>36</v>
      </c>
      <c r="CEA14" s="209"/>
      <c r="CEB14" s="209"/>
      <c r="CEC14" s="209"/>
      <c r="CED14" s="104"/>
      <c r="CEE14" s="104"/>
      <c r="CEF14" s="104"/>
      <c r="CEG14" s="105"/>
      <c r="CEH14" s="103"/>
      <c r="CEI14" s="104"/>
      <c r="CEJ14" s="104"/>
      <c r="CEK14" s="104"/>
      <c r="CEL14" s="209" t="s">
        <v>32</v>
      </c>
      <c r="CEM14" s="209"/>
      <c r="CEN14" s="209"/>
      <c r="CEO14" s="209"/>
      <c r="CEP14" s="104"/>
      <c r="CEQ14" s="104"/>
      <c r="CER14" s="210" t="s">
        <v>22</v>
      </c>
      <c r="CES14" s="210"/>
      <c r="CET14" s="210"/>
      <c r="CEU14" s="210"/>
      <c r="CEV14" s="129"/>
      <c r="CEW14" s="129"/>
      <c r="CEX14" s="209" t="s">
        <v>33</v>
      </c>
      <c r="CEY14" s="209"/>
      <c r="CEZ14" s="209"/>
      <c r="CFA14" s="209"/>
      <c r="CFB14" s="104"/>
      <c r="CFC14" s="104"/>
      <c r="CFD14" s="210" t="s">
        <v>23</v>
      </c>
      <c r="CFE14" s="210"/>
      <c r="CFF14" s="210"/>
      <c r="CFG14" s="210"/>
      <c r="CFH14" s="129"/>
      <c r="CFI14" s="129"/>
      <c r="CFJ14" s="209" t="s">
        <v>34</v>
      </c>
      <c r="CFK14" s="209"/>
      <c r="CFL14" s="209"/>
      <c r="CFM14" s="209"/>
      <c r="CFN14" s="104"/>
      <c r="CFO14" s="104"/>
      <c r="CFP14" s="210" t="s">
        <v>24</v>
      </c>
      <c r="CFQ14" s="210"/>
      <c r="CFR14" s="210"/>
      <c r="CFS14" s="210"/>
      <c r="CFT14" s="129"/>
      <c r="CFU14" s="129"/>
      <c r="CFV14" s="209" t="s">
        <v>35</v>
      </c>
      <c r="CFW14" s="209"/>
      <c r="CFX14" s="209"/>
      <c r="CFY14" s="209"/>
      <c r="CFZ14" s="104"/>
      <c r="CGA14" s="104"/>
      <c r="CGB14" s="210" t="s">
        <v>25</v>
      </c>
      <c r="CGC14" s="210"/>
      <c r="CGD14" s="210"/>
      <c r="CGE14" s="210"/>
      <c r="CGF14" s="129"/>
      <c r="CGG14" s="129"/>
      <c r="CGH14" s="209" t="s">
        <v>36</v>
      </c>
      <c r="CGI14" s="209"/>
      <c r="CGJ14" s="209"/>
      <c r="CGK14" s="209"/>
      <c r="CGL14" s="104"/>
      <c r="CGM14" s="104"/>
      <c r="CGN14" s="104"/>
      <c r="CGO14" s="105"/>
      <c r="CGP14" s="103"/>
      <c r="CGQ14" s="104"/>
      <c r="CGR14" s="104"/>
      <c r="CGS14" s="104"/>
      <c r="CGT14" s="209" t="s">
        <v>32</v>
      </c>
      <c r="CGU14" s="209"/>
      <c r="CGV14" s="209"/>
      <c r="CGW14" s="209"/>
      <c r="CGX14" s="104"/>
      <c r="CGY14" s="104"/>
      <c r="CGZ14" s="210" t="s">
        <v>22</v>
      </c>
      <c r="CHA14" s="210"/>
      <c r="CHB14" s="210"/>
      <c r="CHC14" s="210"/>
      <c r="CHD14" s="129"/>
      <c r="CHE14" s="129"/>
      <c r="CHF14" s="209" t="s">
        <v>33</v>
      </c>
      <c r="CHG14" s="209"/>
      <c r="CHH14" s="209"/>
      <c r="CHI14" s="209"/>
      <c r="CHJ14" s="104"/>
      <c r="CHK14" s="104"/>
      <c r="CHL14" s="210" t="s">
        <v>23</v>
      </c>
      <c r="CHM14" s="210"/>
      <c r="CHN14" s="210"/>
      <c r="CHO14" s="210"/>
      <c r="CHP14" s="129"/>
      <c r="CHQ14" s="129"/>
      <c r="CHR14" s="209" t="s">
        <v>34</v>
      </c>
      <c r="CHS14" s="209"/>
      <c r="CHT14" s="209"/>
      <c r="CHU14" s="209"/>
      <c r="CHV14" s="104"/>
      <c r="CHW14" s="104"/>
      <c r="CHX14" s="210" t="s">
        <v>24</v>
      </c>
      <c r="CHY14" s="210"/>
      <c r="CHZ14" s="210"/>
      <c r="CIA14" s="210"/>
      <c r="CIB14" s="129"/>
      <c r="CIC14" s="129"/>
      <c r="CID14" s="209" t="s">
        <v>35</v>
      </c>
      <c r="CIE14" s="209"/>
      <c r="CIF14" s="209"/>
      <c r="CIG14" s="209"/>
      <c r="CIH14" s="104"/>
      <c r="CII14" s="104"/>
      <c r="CIJ14" s="210" t="s">
        <v>25</v>
      </c>
      <c r="CIK14" s="210"/>
      <c r="CIL14" s="210"/>
      <c r="CIM14" s="210"/>
      <c r="CIN14" s="129"/>
      <c r="CIO14" s="129"/>
      <c r="CIP14" s="209" t="s">
        <v>36</v>
      </c>
      <c r="CIQ14" s="209"/>
      <c r="CIR14" s="209"/>
      <c r="CIS14" s="209"/>
      <c r="CIT14" s="104"/>
      <c r="CIU14" s="104"/>
      <c r="CIV14" s="104"/>
      <c r="CIW14" s="105"/>
      <c r="CIX14" s="103"/>
      <c r="CIY14" s="104"/>
      <c r="CIZ14" s="104"/>
      <c r="CJA14" s="104"/>
      <c r="CJB14" s="209" t="s">
        <v>32</v>
      </c>
      <c r="CJC14" s="209"/>
      <c r="CJD14" s="209"/>
      <c r="CJE14" s="209"/>
      <c r="CJF14" s="104"/>
      <c r="CJG14" s="104"/>
      <c r="CJH14" s="210" t="s">
        <v>22</v>
      </c>
      <c r="CJI14" s="210"/>
      <c r="CJJ14" s="210"/>
      <c r="CJK14" s="210"/>
      <c r="CJL14" s="129"/>
      <c r="CJM14" s="129"/>
      <c r="CJN14" s="209" t="s">
        <v>33</v>
      </c>
      <c r="CJO14" s="209"/>
      <c r="CJP14" s="209"/>
      <c r="CJQ14" s="209"/>
      <c r="CJR14" s="104"/>
      <c r="CJS14" s="104"/>
      <c r="CJT14" s="210" t="s">
        <v>23</v>
      </c>
      <c r="CJU14" s="210"/>
      <c r="CJV14" s="210"/>
      <c r="CJW14" s="210"/>
      <c r="CJX14" s="129"/>
      <c r="CJY14" s="129"/>
      <c r="CJZ14" s="209" t="s">
        <v>34</v>
      </c>
      <c r="CKA14" s="209"/>
      <c r="CKB14" s="209"/>
      <c r="CKC14" s="209"/>
      <c r="CKD14" s="104"/>
      <c r="CKE14" s="104"/>
      <c r="CKF14" s="210" t="s">
        <v>24</v>
      </c>
      <c r="CKG14" s="210"/>
      <c r="CKH14" s="210"/>
      <c r="CKI14" s="210"/>
      <c r="CKJ14" s="129"/>
      <c r="CKK14" s="129"/>
      <c r="CKL14" s="209" t="s">
        <v>35</v>
      </c>
      <c r="CKM14" s="209"/>
      <c r="CKN14" s="209"/>
      <c r="CKO14" s="209"/>
      <c r="CKP14" s="104"/>
      <c r="CKQ14" s="104"/>
      <c r="CKR14" s="210" t="s">
        <v>25</v>
      </c>
      <c r="CKS14" s="210"/>
      <c r="CKT14" s="210"/>
      <c r="CKU14" s="210"/>
      <c r="CKV14" s="129"/>
      <c r="CKW14" s="129"/>
      <c r="CKX14" s="209" t="s">
        <v>36</v>
      </c>
      <c r="CKY14" s="209"/>
      <c r="CKZ14" s="209"/>
      <c r="CLA14" s="209"/>
      <c r="CLB14" s="104"/>
      <c r="CLC14" s="104"/>
      <c r="CLD14" s="104"/>
      <c r="CLE14" s="105"/>
      <c r="CLF14" s="103"/>
      <c r="CLG14" s="104"/>
      <c r="CLH14" s="104"/>
      <c r="CLI14" s="104"/>
      <c r="CLJ14" s="209" t="s">
        <v>32</v>
      </c>
      <c r="CLK14" s="209"/>
      <c r="CLL14" s="209"/>
      <c r="CLM14" s="209"/>
      <c r="CLN14" s="104"/>
      <c r="CLO14" s="104"/>
      <c r="CLP14" s="210" t="s">
        <v>22</v>
      </c>
      <c r="CLQ14" s="210"/>
      <c r="CLR14" s="210"/>
      <c r="CLS14" s="210"/>
      <c r="CLT14" s="129"/>
      <c r="CLU14" s="129"/>
      <c r="CLV14" s="209" t="s">
        <v>33</v>
      </c>
      <c r="CLW14" s="209"/>
      <c r="CLX14" s="209"/>
      <c r="CLY14" s="209"/>
      <c r="CLZ14" s="104"/>
      <c r="CMA14" s="104"/>
      <c r="CMB14" s="210" t="s">
        <v>23</v>
      </c>
      <c r="CMC14" s="210"/>
      <c r="CMD14" s="210"/>
      <c r="CME14" s="210"/>
      <c r="CMF14" s="129"/>
      <c r="CMG14" s="129"/>
      <c r="CMH14" s="209" t="s">
        <v>34</v>
      </c>
      <c r="CMI14" s="209"/>
      <c r="CMJ14" s="209"/>
      <c r="CMK14" s="209"/>
      <c r="CML14" s="104"/>
      <c r="CMM14" s="104"/>
      <c r="CMN14" s="210" t="s">
        <v>24</v>
      </c>
      <c r="CMO14" s="210"/>
      <c r="CMP14" s="210"/>
      <c r="CMQ14" s="210"/>
      <c r="CMR14" s="129"/>
      <c r="CMS14" s="129"/>
      <c r="CMT14" s="209" t="s">
        <v>35</v>
      </c>
      <c r="CMU14" s="209"/>
      <c r="CMV14" s="209"/>
      <c r="CMW14" s="209"/>
      <c r="CMX14" s="104"/>
      <c r="CMY14" s="104"/>
      <c r="CMZ14" s="210" t="s">
        <v>25</v>
      </c>
      <c r="CNA14" s="210"/>
      <c r="CNB14" s="210"/>
      <c r="CNC14" s="210"/>
      <c r="CND14" s="129"/>
      <c r="CNE14" s="129"/>
      <c r="CNF14" s="209" t="s">
        <v>36</v>
      </c>
      <c r="CNG14" s="209"/>
      <c r="CNH14" s="209"/>
      <c r="CNI14" s="209"/>
      <c r="CNJ14" s="104"/>
      <c r="CNK14" s="104"/>
      <c r="CNL14" s="104"/>
      <c r="CNM14" s="105"/>
      <c r="CNN14" s="103"/>
      <c r="CNO14" s="104"/>
      <c r="CNP14" s="104"/>
      <c r="CNQ14" s="104"/>
      <c r="CNR14" s="209" t="s">
        <v>32</v>
      </c>
      <c r="CNS14" s="209"/>
      <c r="CNT14" s="209"/>
      <c r="CNU14" s="209"/>
      <c r="CNV14" s="104"/>
      <c r="CNW14" s="104"/>
      <c r="CNX14" s="210" t="s">
        <v>22</v>
      </c>
      <c r="CNY14" s="210"/>
      <c r="CNZ14" s="210"/>
      <c r="COA14" s="210"/>
      <c r="COB14" s="129"/>
      <c r="COC14" s="129"/>
      <c r="COD14" s="209" t="s">
        <v>33</v>
      </c>
      <c r="COE14" s="209"/>
      <c r="COF14" s="209"/>
      <c r="COG14" s="209"/>
      <c r="COH14" s="104"/>
      <c r="COI14" s="104"/>
      <c r="COJ14" s="210" t="s">
        <v>23</v>
      </c>
      <c r="COK14" s="210"/>
      <c r="COL14" s="210"/>
      <c r="COM14" s="210"/>
      <c r="CON14" s="129"/>
      <c r="COO14" s="129"/>
      <c r="COP14" s="209" t="s">
        <v>34</v>
      </c>
      <c r="COQ14" s="209"/>
      <c r="COR14" s="209"/>
      <c r="COS14" s="209"/>
      <c r="COT14" s="104"/>
      <c r="COU14" s="104"/>
      <c r="COV14" s="210" t="s">
        <v>24</v>
      </c>
      <c r="COW14" s="210"/>
      <c r="COX14" s="210"/>
      <c r="COY14" s="210"/>
      <c r="COZ14" s="129"/>
      <c r="CPA14" s="129"/>
      <c r="CPB14" s="209" t="s">
        <v>35</v>
      </c>
      <c r="CPC14" s="209"/>
      <c r="CPD14" s="209"/>
      <c r="CPE14" s="209"/>
      <c r="CPF14" s="104"/>
      <c r="CPG14" s="104"/>
      <c r="CPH14" s="210" t="s">
        <v>25</v>
      </c>
      <c r="CPI14" s="210"/>
      <c r="CPJ14" s="210"/>
      <c r="CPK14" s="210"/>
      <c r="CPL14" s="129"/>
      <c r="CPM14" s="129"/>
      <c r="CPN14" s="209" t="s">
        <v>36</v>
      </c>
      <c r="CPO14" s="209"/>
      <c r="CPP14" s="209"/>
      <c r="CPQ14" s="209"/>
      <c r="CPR14" s="104"/>
      <c r="CPS14" s="104"/>
      <c r="CPT14" s="104"/>
      <c r="CPU14" s="105"/>
      <c r="CPV14" s="103"/>
      <c r="CPW14" s="104"/>
      <c r="CPX14" s="104"/>
      <c r="CPY14" s="104"/>
      <c r="CPZ14" s="209" t="s">
        <v>32</v>
      </c>
      <c r="CQA14" s="209"/>
      <c r="CQB14" s="209"/>
      <c r="CQC14" s="209"/>
      <c r="CQD14" s="104"/>
      <c r="CQE14" s="104"/>
      <c r="CQF14" s="210" t="s">
        <v>22</v>
      </c>
      <c r="CQG14" s="210"/>
      <c r="CQH14" s="210"/>
      <c r="CQI14" s="210"/>
      <c r="CQJ14" s="129"/>
      <c r="CQK14" s="129"/>
      <c r="CQL14" s="209" t="s">
        <v>33</v>
      </c>
      <c r="CQM14" s="209"/>
      <c r="CQN14" s="209"/>
      <c r="CQO14" s="209"/>
      <c r="CQP14" s="104"/>
      <c r="CQQ14" s="104"/>
      <c r="CQR14" s="210" t="s">
        <v>23</v>
      </c>
      <c r="CQS14" s="210"/>
      <c r="CQT14" s="210"/>
      <c r="CQU14" s="210"/>
      <c r="CQV14" s="129"/>
      <c r="CQW14" s="129"/>
      <c r="CQX14" s="209" t="s">
        <v>34</v>
      </c>
      <c r="CQY14" s="209"/>
      <c r="CQZ14" s="209"/>
      <c r="CRA14" s="209"/>
      <c r="CRB14" s="104"/>
      <c r="CRC14" s="104"/>
      <c r="CRD14" s="210" t="s">
        <v>24</v>
      </c>
      <c r="CRE14" s="210"/>
      <c r="CRF14" s="210"/>
      <c r="CRG14" s="210"/>
      <c r="CRH14" s="129"/>
      <c r="CRI14" s="129"/>
      <c r="CRJ14" s="209" t="s">
        <v>35</v>
      </c>
      <c r="CRK14" s="209"/>
      <c r="CRL14" s="209"/>
      <c r="CRM14" s="209"/>
      <c r="CRN14" s="104"/>
      <c r="CRO14" s="104"/>
      <c r="CRP14" s="210" t="s">
        <v>25</v>
      </c>
      <c r="CRQ14" s="210"/>
      <c r="CRR14" s="210"/>
      <c r="CRS14" s="210"/>
      <c r="CRT14" s="129"/>
      <c r="CRU14" s="129"/>
      <c r="CRV14" s="209" t="s">
        <v>36</v>
      </c>
      <c r="CRW14" s="209"/>
      <c r="CRX14" s="209"/>
      <c r="CRY14" s="209"/>
      <c r="CRZ14" s="104"/>
      <c r="CSA14" s="104"/>
      <c r="CSB14" s="104"/>
      <c r="CSC14" s="105"/>
      <c r="CSD14" s="90"/>
    </row>
    <row r="15" spans="1:2526" ht="20.100000000000001" customHeight="1" x14ac:dyDescent="0.25">
      <c r="A15" s="100" t="s">
        <v>18</v>
      </c>
      <c r="B15" s="63" t="str">
        <f>IF(LEN(C15)=0,"",C15)</f>
        <v xml:space="preserve">Absences - imprévus </v>
      </c>
      <c r="C15" s="211" t="s">
        <v>4</v>
      </c>
      <c r="D15" s="149" t="str">
        <f>setValueToTime(E15)</f>
        <v>7h30min</v>
      </c>
      <c r="E15" s="31">
        <v>90</v>
      </c>
      <c r="F15" s="178"/>
      <c r="G15" s="179"/>
      <c r="H15" s="179"/>
      <c r="I15" s="179"/>
      <c r="J15" s="180"/>
      <c r="K15" s="181"/>
      <c r="L15" s="180"/>
      <c r="M15" s="180"/>
      <c r="N15" s="180"/>
      <c r="O15" s="180"/>
      <c r="P15" s="180"/>
      <c r="Q15" s="182"/>
      <c r="R15" s="180"/>
      <c r="S15" s="180"/>
      <c r="T15" s="180"/>
      <c r="U15" s="180"/>
      <c r="V15" s="180"/>
      <c r="W15" s="183"/>
      <c r="X15" s="180"/>
      <c r="Y15" s="180"/>
      <c r="Z15" s="180"/>
      <c r="AA15" s="180"/>
      <c r="AB15" s="180"/>
      <c r="AC15" s="182"/>
      <c r="AD15" s="180"/>
      <c r="AE15" s="180"/>
      <c r="AF15" s="180"/>
      <c r="AG15" s="180"/>
      <c r="AH15" s="180"/>
      <c r="AI15" s="183"/>
      <c r="AJ15" s="179"/>
      <c r="AK15" s="179"/>
      <c r="AL15" s="179"/>
      <c r="AM15" s="179"/>
      <c r="AN15" s="180"/>
      <c r="AO15" s="182"/>
      <c r="AP15" s="180"/>
      <c r="AQ15" s="180"/>
      <c r="AR15" s="180"/>
      <c r="AS15" s="180"/>
      <c r="AT15" s="180"/>
      <c r="AU15" s="183"/>
      <c r="AV15" s="180"/>
      <c r="AW15" s="180"/>
      <c r="AX15" s="180"/>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178"/>
      <c r="AAY15" s="179"/>
      <c r="AAZ15" s="179"/>
      <c r="ABA15" s="179"/>
      <c r="ABB15" s="180"/>
      <c r="ABC15" s="181"/>
      <c r="ABD15" s="180"/>
      <c r="ABE15" s="180"/>
      <c r="ABF15" s="180"/>
      <c r="ABG15" s="180"/>
      <c r="ABH15" s="180"/>
      <c r="ABI15" s="182"/>
      <c r="ABJ15" s="180"/>
      <c r="ABK15" s="180"/>
      <c r="ABL15" s="180"/>
      <c r="ABM15" s="180"/>
      <c r="ABN15" s="180"/>
      <c r="ABO15" s="183"/>
      <c r="ABP15" s="180"/>
      <c r="ABQ15" s="180"/>
      <c r="ABR15" s="180"/>
      <c r="ABS15" s="180"/>
      <c r="ABT15" s="180"/>
      <c r="ABU15" s="182"/>
      <c r="ABV15" s="180"/>
      <c r="ABW15" s="180"/>
      <c r="ABX15" s="180"/>
      <c r="ABY15" s="180"/>
      <c r="ABZ15" s="180"/>
      <c r="ACA15" s="183"/>
      <c r="ACB15" s="179"/>
      <c r="ACC15" s="179"/>
      <c r="ACD15" s="179"/>
      <c r="ACE15" s="179"/>
      <c r="ACF15" s="180"/>
      <c r="ACG15" s="182"/>
      <c r="ACH15" s="180"/>
      <c r="ACI15" s="180"/>
      <c r="ACJ15" s="180"/>
      <c r="ACK15" s="180"/>
      <c r="ACL15" s="180"/>
      <c r="ACM15" s="183"/>
      <c r="ACN15" s="180"/>
      <c r="ACO15" s="180"/>
      <c r="ACP15" s="180"/>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24"/>
      <c r="BLW15" s="68"/>
      <c r="BLX15" s="68"/>
      <c r="BLY15" s="68"/>
      <c r="BLZ15" s="25"/>
      <c r="BMA15" s="130"/>
      <c r="BMB15" s="25"/>
      <c r="BMC15" s="25"/>
      <c r="BMD15" s="25"/>
      <c r="BME15" s="25"/>
      <c r="BMF15" s="25"/>
      <c r="BMG15" s="135"/>
      <c r="BMH15" s="25"/>
      <c r="BMI15" s="25"/>
      <c r="BMJ15" s="25"/>
      <c r="BMK15" s="25"/>
      <c r="BML15" s="25"/>
      <c r="BMM15" s="72"/>
      <c r="BMN15" s="25"/>
      <c r="BMO15" s="25"/>
      <c r="BMP15" s="25"/>
      <c r="BMQ15" s="25"/>
      <c r="BMR15" s="25"/>
      <c r="BMS15" s="135"/>
      <c r="BMT15" s="25"/>
      <c r="BMU15" s="25"/>
      <c r="BMV15" s="25"/>
      <c r="BMW15" s="25"/>
      <c r="BMX15" s="25"/>
      <c r="BMY15" s="72"/>
      <c r="BMZ15" s="68"/>
      <c r="BNA15" s="68"/>
      <c r="BNB15" s="68"/>
      <c r="BNC15" s="68"/>
      <c r="BND15" s="25"/>
      <c r="BNE15" s="135"/>
      <c r="BNF15" s="25"/>
      <c r="BNG15" s="25"/>
      <c r="BNH15" s="25"/>
      <c r="BNI15" s="25"/>
      <c r="BNJ15" s="25"/>
      <c r="BNK15" s="72"/>
      <c r="BNL15" s="25"/>
      <c r="BNM15" s="25"/>
      <c r="BNN15" s="25"/>
      <c r="BNO15" s="25"/>
      <c r="BNP15" s="25"/>
      <c r="BNQ15" s="135"/>
      <c r="BNR15" s="25"/>
      <c r="BNS15" s="25"/>
      <c r="BNT15" s="25"/>
      <c r="BNU15" s="25"/>
      <c r="BNV15" s="25"/>
      <c r="BNW15" s="72"/>
      <c r="BNX15" s="25"/>
      <c r="BNY15" s="25"/>
      <c r="BNZ15" s="25"/>
      <c r="BOA15" s="25"/>
      <c r="BOB15" s="25"/>
      <c r="BOC15" s="26"/>
      <c r="BOD15" s="24"/>
      <c r="BOE15" s="68"/>
      <c r="BOF15" s="68"/>
      <c r="BOG15" s="68"/>
      <c r="BOH15" s="25"/>
      <c r="BOI15" s="130"/>
      <c r="BOJ15" s="25"/>
      <c r="BOK15" s="25"/>
      <c r="BOL15" s="25"/>
      <c r="BOM15" s="25"/>
      <c r="BON15" s="25"/>
      <c r="BOO15" s="135"/>
      <c r="BOP15" s="25"/>
      <c r="BOQ15" s="25"/>
      <c r="BOR15" s="25"/>
      <c r="BOS15" s="25"/>
      <c r="BOT15" s="25"/>
      <c r="BOU15" s="72"/>
      <c r="BOV15" s="25"/>
      <c r="BOW15" s="25"/>
      <c r="BOX15" s="25"/>
      <c r="BOY15" s="25"/>
      <c r="BOZ15" s="25"/>
      <c r="BPA15" s="135"/>
      <c r="BPB15" s="25"/>
      <c r="BPC15" s="25"/>
      <c r="BPD15" s="25"/>
      <c r="BPE15" s="25"/>
      <c r="BPF15" s="25"/>
      <c r="BPG15" s="72"/>
      <c r="BPH15" s="68"/>
      <c r="BPI15" s="68"/>
      <c r="BPJ15" s="68"/>
      <c r="BPK15" s="68"/>
      <c r="BPL15" s="25"/>
      <c r="BPM15" s="135"/>
      <c r="BPN15" s="25"/>
      <c r="BPO15" s="25"/>
      <c r="BPP15" s="25"/>
      <c r="BPQ15" s="25"/>
      <c r="BPR15" s="25"/>
      <c r="BPS15" s="72"/>
      <c r="BPT15" s="25"/>
      <c r="BPU15" s="25"/>
      <c r="BPV15" s="25"/>
      <c r="BPW15" s="25"/>
      <c r="BPX15" s="25"/>
      <c r="BPY15" s="135"/>
      <c r="BPZ15" s="25"/>
      <c r="BQA15" s="25"/>
      <c r="BQB15" s="25"/>
      <c r="BQC15" s="25"/>
      <c r="BQD15" s="25"/>
      <c r="BQE15" s="72"/>
      <c r="BQF15" s="25"/>
      <c r="BQG15" s="25"/>
      <c r="BQH15" s="25"/>
      <c r="BQI15" s="25"/>
      <c r="BQJ15" s="25"/>
      <c r="BQK15" s="26"/>
      <c r="BQL15" s="24"/>
      <c r="BQM15" s="68"/>
      <c r="BQN15" s="68"/>
      <c r="BQO15" s="68"/>
      <c r="BQP15" s="25"/>
      <c r="BQQ15" s="130"/>
      <c r="BQR15" s="25"/>
      <c r="BQS15" s="25"/>
      <c r="BQT15" s="25"/>
      <c r="BQU15" s="25"/>
      <c r="BQV15" s="25"/>
      <c r="BQW15" s="135"/>
      <c r="BQX15" s="25"/>
      <c r="BQY15" s="25"/>
      <c r="BQZ15" s="25"/>
      <c r="BRA15" s="25"/>
      <c r="BRB15" s="25"/>
      <c r="BRC15" s="72"/>
      <c r="BRD15" s="25"/>
      <c r="BRE15" s="25"/>
      <c r="BRF15" s="25"/>
      <c r="BRG15" s="25"/>
      <c r="BRH15" s="25"/>
      <c r="BRI15" s="135"/>
      <c r="BRJ15" s="25"/>
      <c r="BRK15" s="25"/>
      <c r="BRL15" s="25"/>
      <c r="BRM15" s="25"/>
      <c r="BRN15" s="25"/>
      <c r="BRO15" s="72"/>
      <c r="BRP15" s="68"/>
      <c r="BRQ15" s="68"/>
      <c r="BRR15" s="68"/>
      <c r="BRS15" s="68"/>
      <c r="BRT15" s="25"/>
      <c r="BRU15" s="135"/>
      <c r="BRV15" s="25"/>
      <c r="BRW15" s="25"/>
      <c r="BRX15" s="25"/>
      <c r="BRY15" s="25"/>
      <c r="BRZ15" s="25"/>
      <c r="BSA15" s="72"/>
      <c r="BSB15" s="25"/>
      <c r="BSC15" s="25"/>
      <c r="BSD15" s="25"/>
      <c r="BSE15" s="25"/>
      <c r="BSF15" s="25"/>
      <c r="BSG15" s="135"/>
      <c r="BSH15" s="25"/>
      <c r="BSI15" s="25"/>
      <c r="BSJ15" s="25"/>
      <c r="BSK15" s="25"/>
      <c r="BSL15" s="25"/>
      <c r="BSM15" s="72"/>
      <c r="BSN15" s="25"/>
      <c r="BSO15" s="25"/>
      <c r="BSP15" s="25"/>
      <c r="BSQ15" s="25"/>
      <c r="BSR15" s="25"/>
      <c r="BSS15" s="26"/>
      <c r="BST15" s="24"/>
      <c r="BSU15" s="68"/>
      <c r="BSV15" s="68"/>
      <c r="BSW15" s="68"/>
      <c r="BSX15" s="25"/>
      <c r="BSY15" s="130"/>
      <c r="BSZ15" s="25"/>
      <c r="BTA15" s="25"/>
      <c r="BTB15" s="25"/>
      <c r="BTC15" s="25"/>
      <c r="BTD15" s="25"/>
      <c r="BTE15" s="135"/>
      <c r="BTF15" s="25"/>
      <c r="BTG15" s="25"/>
      <c r="BTH15" s="25"/>
      <c r="BTI15" s="25"/>
      <c r="BTJ15" s="25"/>
      <c r="BTK15" s="72"/>
      <c r="BTL15" s="25"/>
      <c r="BTM15" s="25"/>
      <c r="BTN15" s="25"/>
      <c r="BTO15" s="25"/>
      <c r="BTP15" s="25"/>
      <c r="BTQ15" s="135"/>
      <c r="BTR15" s="25"/>
      <c r="BTS15" s="25"/>
      <c r="BTT15" s="25"/>
      <c r="BTU15" s="25"/>
      <c r="BTV15" s="25"/>
      <c r="BTW15" s="72"/>
      <c r="BTX15" s="68"/>
      <c r="BTY15" s="68"/>
      <c r="BTZ15" s="68"/>
      <c r="BUA15" s="68"/>
      <c r="BUB15" s="25"/>
      <c r="BUC15" s="135"/>
      <c r="BUD15" s="25"/>
      <c r="BUE15" s="25"/>
      <c r="BUF15" s="25"/>
      <c r="BUG15" s="25"/>
      <c r="BUH15" s="25"/>
      <c r="BUI15" s="72"/>
      <c r="BUJ15" s="25"/>
      <c r="BUK15" s="25"/>
      <c r="BUL15" s="25"/>
      <c r="BUM15" s="25"/>
      <c r="BUN15" s="25"/>
      <c r="BUO15" s="135"/>
      <c r="BUP15" s="25"/>
      <c r="BUQ15" s="25"/>
      <c r="BUR15" s="25"/>
      <c r="BUS15" s="25"/>
      <c r="BUT15" s="25"/>
      <c r="BUU15" s="72"/>
      <c r="BUV15" s="25"/>
      <c r="BUW15" s="25"/>
      <c r="BUX15" s="25"/>
      <c r="BUY15" s="25"/>
      <c r="BUZ15" s="25"/>
      <c r="BVA15" s="26"/>
      <c r="BVB15" s="24"/>
      <c r="BVC15" s="68"/>
      <c r="BVD15" s="68"/>
      <c r="BVE15" s="68"/>
      <c r="BVF15" s="25"/>
      <c r="BVG15" s="130"/>
      <c r="BVH15" s="25"/>
      <c r="BVI15" s="25"/>
      <c r="BVJ15" s="25"/>
      <c r="BVK15" s="25"/>
      <c r="BVL15" s="25"/>
      <c r="BVM15" s="135"/>
      <c r="BVN15" s="25"/>
      <c r="BVO15" s="25"/>
      <c r="BVP15" s="25"/>
      <c r="BVQ15" s="25"/>
      <c r="BVR15" s="25"/>
      <c r="BVS15" s="72"/>
      <c r="BVT15" s="25"/>
      <c r="BVU15" s="25"/>
      <c r="BVV15" s="25"/>
      <c r="BVW15" s="25"/>
      <c r="BVX15" s="25"/>
      <c r="BVY15" s="135"/>
      <c r="BVZ15" s="25"/>
      <c r="BWA15" s="25"/>
      <c r="BWB15" s="25"/>
      <c r="BWC15" s="25"/>
      <c r="BWD15" s="25"/>
      <c r="BWE15" s="72"/>
      <c r="BWF15" s="68"/>
      <c r="BWG15" s="68"/>
      <c r="BWH15" s="68"/>
      <c r="BWI15" s="68"/>
      <c r="BWJ15" s="25"/>
      <c r="BWK15" s="135"/>
      <c r="BWL15" s="25"/>
      <c r="BWM15" s="25"/>
      <c r="BWN15" s="25"/>
      <c r="BWO15" s="25"/>
      <c r="BWP15" s="25"/>
      <c r="BWQ15" s="72"/>
      <c r="BWR15" s="25"/>
      <c r="BWS15" s="25"/>
      <c r="BWT15" s="25"/>
      <c r="BWU15" s="25"/>
      <c r="BWV15" s="25"/>
      <c r="BWW15" s="135"/>
      <c r="BWX15" s="25"/>
      <c r="BWY15" s="25"/>
      <c r="BWZ15" s="25"/>
      <c r="BXA15" s="25"/>
      <c r="BXB15" s="25"/>
      <c r="BXC15" s="72"/>
      <c r="BXD15" s="25"/>
      <c r="BXE15" s="25"/>
      <c r="BXF15" s="25"/>
      <c r="BXG15" s="25"/>
      <c r="BXH15" s="25"/>
      <c r="BXI15" s="26"/>
      <c r="BXJ15" s="24"/>
      <c r="BXK15" s="68"/>
      <c r="BXL15" s="68"/>
      <c r="BXM15" s="68"/>
      <c r="BXN15" s="25"/>
      <c r="BXO15" s="130"/>
      <c r="BXP15" s="25"/>
      <c r="BXQ15" s="25"/>
      <c r="BXR15" s="25"/>
      <c r="BXS15" s="25"/>
      <c r="BXT15" s="25"/>
      <c r="BXU15" s="135"/>
      <c r="BXV15" s="25"/>
      <c r="BXW15" s="25"/>
      <c r="BXX15" s="25"/>
      <c r="BXY15" s="25"/>
      <c r="BXZ15" s="25"/>
      <c r="BYA15" s="72"/>
      <c r="BYB15" s="25"/>
      <c r="BYC15" s="25"/>
      <c r="BYD15" s="25"/>
      <c r="BYE15" s="25"/>
      <c r="BYF15" s="25"/>
      <c r="BYG15" s="135"/>
      <c r="BYH15" s="25"/>
      <c r="BYI15" s="25"/>
      <c r="BYJ15" s="25"/>
      <c r="BYK15" s="25"/>
      <c r="BYL15" s="25"/>
      <c r="BYM15" s="72"/>
      <c r="BYN15" s="68"/>
      <c r="BYO15" s="68"/>
      <c r="BYP15" s="68"/>
      <c r="BYQ15" s="68"/>
      <c r="BYR15" s="25"/>
      <c r="BYS15" s="135"/>
      <c r="BYT15" s="25"/>
      <c r="BYU15" s="25"/>
      <c r="BYV15" s="25"/>
      <c r="BYW15" s="25"/>
      <c r="BYX15" s="25"/>
      <c r="BYY15" s="72"/>
      <c r="BYZ15" s="25"/>
      <c r="BZA15" s="25"/>
      <c r="BZB15" s="25"/>
      <c r="BZC15" s="25"/>
      <c r="BZD15" s="25"/>
      <c r="BZE15" s="135"/>
      <c r="BZF15" s="25"/>
      <c r="BZG15" s="25"/>
      <c r="BZH15" s="25"/>
      <c r="BZI15" s="25"/>
      <c r="BZJ15" s="25"/>
      <c r="BZK15" s="72"/>
      <c r="BZL15" s="25"/>
      <c r="BZM15" s="25"/>
      <c r="BZN15" s="25"/>
      <c r="BZO15" s="25"/>
      <c r="BZP15" s="25"/>
      <c r="BZQ15" s="26"/>
      <c r="BZR15" s="24"/>
      <c r="BZS15" s="68"/>
      <c r="BZT15" s="68"/>
      <c r="BZU15" s="68"/>
      <c r="BZV15" s="25"/>
      <c r="BZW15" s="130"/>
      <c r="BZX15" s="25"/>
      <c r="BZY15" s="25"/>
      <c r="BZZ15" s="25"/>
      <c r="CAA15" s="25"/>
      <c r="CAB15" s="25"/>
      <c r="CAC15" s="135"/>
      <c r="CAD15" s="25"/>
      <c r="CAE15" s="25"/>
      <c r="CAF15" s="25"/>
      <c r="CAG15" s="25"/>
      <c r="CAH15" s="25"/>
      <c r="CAI15" s="72"/>
      <c r="CAJ15" s="25"/>
      <c r="CAK15" s="25"/>
      <c r="CAL15" s="25"/>
      <c r="CAM15" s="25"/>
      <c r="CAN15" s="25"/>
      <c r="CAO15" s="135"/>
      <c r="CAP15" s="25"/>
      <c r="CAQ15" s="25"/>
      <c r="CAR15" s="25"/>
      <c r="CAS15" s="25"/>
      <c r="CAT15" s="25"/>
      <c r="CAU15" s="72"/>
      <c r="CAV15" s="68"/>
      <c r="CAW15" s="68"/>
      <c r="CAX15" s="68"/>
      <c r="CAY15" s="68"/>
      <c r="CAZ15" s="25"/>
      <c r="CBA15" s="135"/>
      <c r="CBB15" s="25"/>
      <c r="CBC15" s="25"/>
      <c r="CBD15" s="25"/>
      <c r="CBE15" s="25"/>
      <c r="CBF15" s="25"/>
      <c r="CBG15" s="72"/>
      <c r="CBH15" s="25"/>
      <c r="CBI15" s="25"/>
      <c r="CBJ15" s="25"/>
      <c r="CBK15" s="25"/>
      <c r="CBL15" s="25"/>
      <c r="CBM15" s="135"/>
      <c r="CBN15" s="25"/>
      <c r="CBO15" s="25"/>
      <c r="CBP15" s="25"/>
      <c r="CBQ15" s="25"/>
      <c r="CBR15" s="25"/>
      <c r="CBS15" s="72"/>
      <c r="CBT15" s="25"/>
      <c r="CBU15" s="25"/>
      <c r="CBV15" s="25"/>
      <c r="CBW15" s="25"/>
      <c r="CBX15" s="25"/>
      <c r="CBY15" s="26"/>
      <c r="CBZ15" s="24"/>
      <c r="CCA15" s="68"/>
      <c r="CCB15" s="68"/>
      <c r="CCC15" s="68"/>
      <c r="CCD15" s="25"/>
      <c r="CCE15" s="130"/>
      <c r="CCF15" s="25"/>
      <c r="CCG15" s="25"/>
      <c r="CCH15" s="25"/>
      <c r="CCI15" s="25"/>
      <c r="CCJ15" s="25"/>
      <c r="CCK15" s="135"/>
      <c r="CCL15" s="25"/>
      <c r="CCM15" s="25"/>
      <c r="CCN15" s="25"/>
      <c r="CCO15" s="25"/>
      <c r="CCP15" s="25"/>
      <c r="CCQ15" s="72"/>
      <c r="CCR15" s="25"/>
      <c r="CCS15" s="25"/>
      <c r="CCT15" s="25"/>
      <c r="CCU15" s="25"/>
      <c r="CCV15" s="25"/>
      <c r="CCW15" s="135"/>
      <c r="CCX15" s="25"/>
      <c r="CCY15" s="25"/>
      <c r="CCZ15" s="25"/>
      <c r="CDA15" s="25"/>
      <c r="CDB15" s="25"/>
      <c r="CDC15" s="72"/>
      <c r="CDD15" s="68"/>
      <c r="CDE15" s="68"/>
      <c r="CDF15" s="68"/>
      <c r="CDG15" s="68"/>
      <c r="CDH15" s="25"/>
      <c r="CDI15" s="135"/>
      <c r="CDJ15" s="25"/>
      <c r="CDK15" s="25"/>
      <c r="CDL15" s="25"/>
      <c r="CDM15" s="25"/>
      <c r="CDN15" s="25"/>
      <c r="CDO15" s="72"/>
      <c r="CDP15" s="25"/>
      <c r="CDQ15" s="25"/>
      <c r="CDR15" s="25"/>
      <c r="CDS15" s="25"/>
      <c r="CDT15" s="25"/>
      <c r="CDU15" s="135"/>
      <c r="CDV15" s="25"/>
      <c r="CDW15" s="25"/>
      <c r="CDX15" s="25"/>
      <c r="CDY15" s="25"/>
      <c r="CDZ15" s="25"/>
      <c r="CEA15" s="72"/>
      <c r="CEB15" s="25"/>
      <c r="CEC15" s="25"/>
      <c r="CED15" s="25"/>
      <c r="CEE15" s="25"/>
      <c r="CEF15" s="25"/>
      <c r="CEG15" s="26"/>
      <c r="CEH15" s="24"/>
      <c r="CEI15" s="68"/>
      <c r="CEJ15" s="68"/>
      <c r="CEK15" s="68"/>
      <c r="CEL15" s="25"/>
      <c r="CEM15" s="130"/>
      <c r="CEN15" s="25"/>
      <c r="CEO15" s="25"/>
      <c r="CEP15" s="25"/>
      <c r="CEQ15" s="25"/>
      <c r="CER15" s="25"/>
      <c r="CES15" s="135"/>
      <c r="CET15" s="25"/>
      <c r="CEU15" s="25"/>
      <c r="CEV15" s="25"/>
      <c r="CEW15" s="25"/>
      <c r="CEX15" s="25"/>
      <c r="CEY15" s="72"/>
      <c r="CEZ15" s="25"/>
      <c r="CFA15" s="25"/>
      <c r="CFB15" s="25"/>
      <c r="CFC15" s="25"/>
      <c r="CFD15" s="25"/>
      <c r="CFE15" s="135"/>
      <c r="CFF15" s="25"/>
      <c r="CFG15" s="25"/>
      <c r="CFH15" s="25"/>
      <c r="CFI15" s="25"/>
      <c r="CFJ15" s="25"/>
      <c r="CFK15" s="72"/>
      <c r="CFL15" s="68"/>
      <c r="CFM15" s="68"/>
      <c r="CFN15" s="68"/>
      <c r="CFO15" s="68"/>
      <c r="CFP15" s="25"/>
      <c r="CFQ15" s="135"/>
      <c r="CFR15" s="25"/>
      <c r="CFS15" s="25"/>
      <c r="CFT15" s="25"/>
      <c r="CFU15" s="25"/>
      <c r="CFV15" s="25"/>
      <c r="CFW15" s="72"/>
      <c r="CFX15" s="25"/>
      <c r="CFY15" s="25"/>
      <c r="CFZ15" s="25"/>
      <c r="CGA15" s="25"/>
      <c r="CGB15" s="25"/>
      <c r="CGC15" s="135"/>
      <c r="CGD15" s="25"/>
      <c r="CGE15" s="25"/>
      <c r="CGF15" s="25"/>
      <c r="CGG15" s="25"/>
      <c r="CGH15" s="25"/>
      <c r="CGI15" s="72"/>
      <c r="CGJ15" s="25"/>
      <c r="CGK15" s="25"/>
      <c r="CGL15" s="25"/>
      <c r="CGM15" s="25"/>
      <c r="CGN15" s="25"/>
      <c r="CGO15" s="26"/>
      <c r="CGP15" s="24"/>
      <c r="CGQ15" s="68"/>
      <c r="CGR15" s="68"/>
      <c r="CGS15" s="68"/>
      <c r="CGT15" s="25"/>
      <c r="CGU15" s="130"/>
      <c r="CGV15" s="25"/>
      <c r="CGW15" s="25"/>
      <c r="CGX15" s="25"/>
      <c r="CGY15" s="25"/>
      <c r="CGZ15" s="25"/>
      <c r="CHA15" s="135"/>
      <c r="CHB15" s="25"/>
      <c r="CHC15" s="25"/>
      <c r="CHD15" s="25"/>
      <c r="CHE15" s="25"/>
      <c r="CHF15" s="25"/>
      <c r="CHG15" s="72"/>
      <c r="CHH15" s="25"/>
      <c r="CHI15" s="25"/>
      <c r="CHJ15" s="25"/>
      <c r="CHK15" s="25"/>
      <c r="CHL15" s="25"/>
      <c r="CHM15" s="135"/>
      <c r="CHN15" s="25"/>
      <c r="CHO15" s="25"/>
      <c r="CHP15" s="25"/>
      <c r="CHQ15" s="25"/>
      <c r="CHR15" s="25"/>
      <c r="CHS15" s="72"/>
      <c r="CHT15" s="68"/>
      <c r="CHU15" s="68"/>
      <c r="CHV15" s="68"/>
      <c r="CHW15" s="68"/>
      <c r="CHX15" s="25"/>
      <c r="CHY15" s="135"/>
      <c r="CHZ15" s="25"/>
      <c r="CIA15" s="25"/>
      <c r="CIB15" s="25"/>
      <c r="CIC15" s="25"/>
      <c r="CID15" s="25"/>
      <c r="CIE15" s="72"/>
      <c r="CIF15" s="25"/>
      <c r="CIG15" s="25"/>
      <c r="CIH15" s="25"/>
      <c r="CII15" s="25"/>
      <c r="CIJ15" s="25"/>
      <c r="CIK15" s="135"/>
      <c r="CIL15" s="25"/>
      <c r="CIM15" s="25"/>
      <c r="CIN15" s="25"/>
      <c r="CIO15" s="25"/>
      <c r="CIP15" s="25"/>
      <c r="CIQ15" s="72"/>
      <c r="CIR15" s="25"/>
      <c r="CIS15" s="25"/>
      <c r="CIT15" s="25"/>
      <c r="CIU15" s="25"/>
      <c r="CIV15" s="25"/>
      <c r="CIW15" s="26"/>
      <c r="CIX15" s="24"/>
      <c r="CIY15" s="68"/>
      <c r="CIZ15" s="68"/>
      <c r="CJA15" s="68"/>
      <c r="CJB15" s="25"/>
      <c r="CJC15" s="130"/>
      <c r="CJD15" s="25"/>
      <c r="CJE15" s="25"/>
      <c r="CJF15" s="25"/>
      <c r="CJG15" s="25"/>
      <c r="CJH15" s="25"/>
      <c r="CJI15" s="135"/>
      <c r="CJJ15" s="25"/>
      <c r="CJK15" s="25"/>
      <c r="CJL15" s="25"/>
      <c r="CJM15" s="25"/>
      <c r="CJN15" s="25"/>
      <c r="CJO15" s="72"/>
      <c r="CJP15" s="25"/>
      <c r="CJQ15" s="25"/>
      <c r="CJR15" s="25"/>
      <c r="CJS15" s="25"/>
      <c r="CJT15" s="25"/>
      <c r="CJU15" s="135"/>
      <c r="CJV15" s="25"/>
      <c r="CJW15" s="25"/>
      <c r="CJX15" s="25"/>
      <c r="CJY15" s="25"/>
      <c r="CJZ15" s="25"/>
      <c r="CKA15" s="72"/>
      <c r="CKB15" s="68"/>
      <c r="CKC15" s="68"/>
      <c r="CKD15" s="68"/>
      <c r="CKE15" s="68"/>
      <c r="CKF15" s="25"/>
      <c r="CKG15" s="135"/>
      <c r="CKH15" s="25"/>
      <c r="CKI15" s="25"/>
      <c r="CKJ15" s="25"/>
      <c r="CKK15" s="25"/>
      <c r="CKL15" s="25"/>
      <c r="CKM15" s="72"/>
      <c r="CKN15" s="25"/>
      <c r="CKO15" s="25"/>
      <c r="CKP15" s="25"/>
      <c r="CKQ15" s="25"/>
      <c r="CKR15" s="25"/>
      <c r="CKS15" s="135"/>
      <c r="CKT15" s="25"/>
      <c r="CKU15" s="25"/>
      <c r="CKV15" s="25"/>
      <c r="CKW15" s="25"/>
      <c r="CKX15" s="25"/>
      <c r="CKY15" s="72"/>
      <c r="CKZ15" s="25"/>
      <c r="CLA15" s="25"/>
      <c r="CLB15" s="25"/>
      <c r="CLC15" s="25"/>
      <c r="CLD15" s="25"/>
      <c r="CLE15" s="26"/>
      <c r="CLF15" s="24"/>
      <c r="CLG15" s="68"/>
      <c r="CLH15" s="68"/>
      <c r="CLI15" s="68"/>
      <c r="CLJ15" s="25"/>
      <c r="CLK15" s="130"/>
      <c r="CLL15" s="25"/>
      <c r="CLM15" s="25"/>
      <c r="CLN15" s="25"/>
      <c r="CLO15" s="25"/>
      <c r="CLP15" s="25"/>
      <c r="CLQ15" s="135"/>
      <c r="CLR15" s="25"/>
      <c r="CLS15" s="25"/>
      <c r="CLT15" s="25"/>
      <c r="CLU15" s="25"/>
      <c r="CLV15" s="25"/>
      <c r="CLW15" s="72"/>
      <c r="CLX15" s="25"/>
      <c r="CLY15" s="25"/>
      <c r="CLZ15" s="25"/>
      <c r="CMA15" s="25"/>
      <c r="CMB15" s="25"/>
      <c r="CMC15" s="135"/>
      <c r="CMD15" s="25"/>
      <c r="CME15" s="25"/>
      <c r="CMF15" s="25"/>
      <c r="CMG15" s="25"/>
      <c r="CMH15" s="25"/>
      <c r="CMI15" s="72"/>
      <c r="CMJ15" s="68"/>
      <c r="CMK15" s="68"/>
      <c r="CML15" s="68"/>
      <c r="CMM15" s="68"/>
      <c r="CMN15" s="25"/>
      <c r="CMO15" s="135"/>
      <c r="CMP15" s="25"/>
      <c r="CMQ15" s="25"/>
      <c r="CMR15" s="25"/>
      <c r="CMS15" s="25"/>
      <c r="CMT15" s="25"/>
      <c r="CMU15" s="72"/>
      <c r="CMV15" s="25"/>
      <c r="CMW15" s="25"/>
      <c r="CMX15" s="25"/>
      <c r="CMY15" s="25"/>
      <c r="CMZ15" s="25"/>
      <c r="CNA15" s="135"/>
      <c r="CNB15" s="25"/>
      <c r="CNC15" s="25"/>
      <c r="CND15" s="25"/>
      <c r="CNE15" s="25"/>
      <c r="CNF15" s="25"/>
      <c r="CNG15" s="72"/>
      <c r="CNH15" s="25"/>
      <c r="CNI15" s="25"/>
      <c r="CNJ15" s="25"/>
      <c r="CNK15" s="25"/>
      <c r="CNL15" s="25"/>
      <c r="CNM15" s="26"/>
      <c r="CNN15" s="24"/>
      <c r="CNO15" s="68"/>
      <c r="CNP15" s="68"/>
      <c r="CNQ15" s="68"/>
      <c r="CNR15" s="25"/>
      <c r="CNS15" s="130"/>
      <c r="CNT15" s="25"/>
      <c r="CNU15" s="25"/>
      <c r="CNV15" s="25"/>
      <c r="CNW15" s="25"/>
      <c r="CNX15" s="25"/>
      <c r="CNY15" s="135"/>
      <c r="CNZ15" s="25"/>
      <c r="COA15" s="25"/>
      <c r="COB15" s="25"/>
      <c r="COC15" s="25"/>
      <c r="COD15" s="25"/>
      <c r="COE15" s="72"/>
      <c r="COF15" s="25"/>
      <c r="COG15" s="25"/>
      <c r="COH15" s="25"/>
      <c r="COI15" s="25"/>
      <c r="COJ15" s="25"/>
      <c r="COK15" s="135"/>
      <c r="COL15" s="25"/>
      <c r="COM15" s="25"/>
      <c r="CON15" s="25"/>
      <c r="COO15" s="25"/>
      <c r="COP15" s="25"/>
      <c r="COQ15" s="72"/>
      <c r="COR15" s="68"/>
      <c r="COS15" s="68"/>
      <c r="COT15" s="68"/>
      <c r="COU15" s="68"/>
      <c r="COV15" s="25"/>
      <c r="COW15" s="135"/>
      <c r="COX15" s="25"/>
      <c r="COY15" s="25"/>
      <c r="COZ15" s="25"/>
      <c r="CPA15" s="25"/>
      <c r="CPB15" s="25"/>
      <c r="CPC15" s="72"/>
      <c r="CPD15" s="25"/>
      <c r="CPE15" s="25"/>
      <c r="CPF15" s="25"/>
      <c r="CPG15" s="25"/>
      <c r="CPH15" s="25"/>
      <c r="CPI15" s="135"/>
      <c r="CPJ15" s="25"/>
      <c r="CPK15" s="25"/>
      <c r="CPL15" s="25"/>
      <c r="CPM15" s="25"/>
      <c r="CPN15" s="25"/>
      <c r="CPO15" s="72"/>
      <c r="CPP15" s="25"/>
      <c r="CPQ15" s="25"/>
      <c r="CPR15" s="25"/>
      <c r="CPS15" s="25"/>
      <c r="CPT15" s="25"/>
      <c r="CPU15" s="26"/>
      <c r="CPV15" s="24"/>
      <c r="CPW15" s="68"/>
      <c r="CPX15" s="68"/>
      <c r="CPY15" s="68"/>
      <c r="CPZ15" s="25"/>
      <c r="CQA15" s="130"/>
      <c r="CQB15" s="25"/>
      <c r="CQC15" s="25"/>
      <c r="CQD15" s="25"/>
      <c r="CQE15" s="25"/>
      <c r="CQF15" s="25"/>
      <c r="CQG15" s="135"/>
      <c r="CQH15" s="25"/>
      <c r="CQI15" s="25"/>
      <c r="CQJ15" s="25"/>
      <c r="CQK15" s="25"/>
      <c r="CQL15" s="25"/>
      <c r="CQM15" s="72"/>
      <c r="CQN15" s="25"/>
      <c r="CQO15" s="25"/>
      <c r="CQP15" s="25"/>
      <c r="CQQ15" s="25"/>
      <c r="CQR15" s="25"/>
      <c r="CQS15" s="135"/>
      <c r="CQT15" s="25"/>
      <c r="CQU15" s="25"/>
      <c r="CQV15" s="25"/>
      <c r="CQW15" s="25"/>
      <c r="CQX15" s="25"/>
      <c r="CQY15" s="72"/>
      <c r="CQZ15" s="68"/>
      <c r="CRA15" s="68"/>
      <c r="CRB15" s="68"/>
      <c r="CRC15" s="68"/>
      <c r="CRD15" s="25"/>
      <c r="CRE15" s="135"/>
      <c r="CRF15" s="25"/>
      <c r="CRG15" s="25"/>
      <c r="CRH15" s="25"/>
      <c r="CRI15" s="25"/>
      <c r="CRJ15" s="25"/>
      <c r="CRK15" s="72"/>
      <c r="CRL15" s="25"/>
      <c r="CRM15" s="25"/>
      <c r="CRN15" s="25"/>
      <c r="CRO15" s="25"/>
      <c r="CRP15" s="25"/>
      <c r="CRQ15" s="135"/>
      <c r="CRR15" s="25"/>
      <c r="CRS15" s="25"/>
      <c r="CRT15" s="25"/>
      <c r="CRU15" s="25"/>
      <c r="CRV15" s="25"/>
      <c r="CRW15" s="72"/>
      <c r="CRX15" s="25"/>
      <c r="CRY15" s="25"/>
      <c r="CRZ15" s="25"/>
      <c r="CSA15" s="25"/>
      <c r="CSB15" s="25"/>
      <c r="CSC15" s="26"/>
      <c r="CSD15" s="90"/>
    </row>
    <row r="16" spans="1:2526" ht="20.100000000000001" customHeight="1" x14ac:dyDescent="0.25">
      <c r="A16" s="100" t="s">
        <v>19</v>
      </c>
      <c r="B16" s="63" t="str">
        <f>IF(LEN(C17)=0,"",C17)</f>
        <v>Informer - Relire l'ancien rapport</v>
      </c>
      <c r="C16" s="213"/>
      <c r="D16" s="147" t="str">
        <f t="shared" ref="D16:D79" si="0">setValueToTime(E16)</f>
        <v>9h15min</v>
      </c>
      <c r="E16" s="35">
        <v>111</v>
      </c>
      <c r="F16" s="194"/>
      <c r="G16" s="193"/>
      <c r="H16" s="193"/>
      <c r="I16" s="193"/>
      <c r="J16" s="190"/>
      <c r="K16" s="195"/>
      <c r="L16" s="190"/>
      <c r="M16" s="190"/>
      <c r="N16" s="190"/>
      <c r="O16" s="190"/>
      <c r="P16" s="190"/>
      <c r="Q16" s="191"/>
      <c r="R16" s="190"/>
      <c r="S16" s="190"/>
      <c r="T16" s="190"/>
      <c r="U16" s="190"/>
      <c r="V16" s="190"/>
      <c r="W16" s="192"/>
      <c r="X16" s="190"/>
      <c r="Y16" s="190"/>
      <c r="Z16" s="190"/>
      <c r="AA16" s="190"/>
      <c r="AB16" s="190"/>
      <c r="AC16" s="191"/>
      <c r="AD16" s="190"/>
      <c r="AE16" s="190"/>
      <c r="AF16" s="190"/>
      <c r="AG16" s="190"/>
      <c r="AH16" s="190"/>
      <c r="AI16" s="192"/>
      <c r="AJ16" s="193"/>
      <c r="AK16" s="193"/>
      <c r="AL16" s="193"/>
      <c r="AM16" s="193"/>
      <c r="AN16" s="190"/>
      <c r="AO16" s="191"/>
      <c r="AP16" s="190"/>
      <c r="AQ16" s="190"/>
      <c r="AR16" s="190"/>
      <c r="AS16" s="190"/>
      <c r="AT16" s="190"/>
      <c r="AU16" s="192"/>
      <c r="AV16" s="190"/>
      <c r="AW16" s="190"/>
      <c r="AX16" s="190"/>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194"/>
      <c r="GE16" s="193"/>
      <c r="GF16" s="193"/>
      <c r="GG16" s="193"/>
      <c r="GH16" s="190"/>
      <c r="GI16" s="195"/>
      <c r="GJ16" s="190"/>
      <c r="GK16" s="190"/>
      <c r="GL16" s="190"/>
      <c r="GM16" s="190"/>
      <c r="GN16" s="190"/>
      <c r="GO16" s="191"/>
      <c r="GP16" s="190"/>
      <c r="GQ16" s="190"/>
      <c r="GR16" s="190"/>
      <c r="GS16" s="190"/>
      <c r="GT16" s="190"/>
      <c r="GU16" s="192"/>
      <c r="GV16" s="190"/>
      <c r="GW16" s="190"/>
      <c r="GX16" s="190"/>
      <c r="GY16" s="190"/>
      <c r="GZ16" s="190"/>
      <c r="HA16" s="191"/>
      <c r="HB16" s="190"/>
      <c r="HC16" s="190"/>
      <c r="HD16" s="190"/>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194"/>
      <c r="YQ16" s="193"/>
      <c r="YR16" s="193"/>
      <c r="YS16" s="193"/>
      <c r="YT16" s="190"/>
      <c r="YU16" s="195"/>
      <c r="YV16" s="190"/>
      <c r="YW16" s="190"/>
      <c r="YX16" s="190"/>
      <c r="YY16" s="190"/>
      <c r="YZ16" s="190"/>
      <c r="ZA16" s="191"/>
      <c r="ZB16" s="190"/>
      <c r="ZC16" s="190"/>
      <c r="ZD16" s="190"/>
      <c r="ZE16" s="190"/>
      <c r="ZF16" s="190"/>
      <c r="ZG16" s="192"/>
      <c r="ZH16" s="190"/>
      <c r="ZI16" s="190"/>
      <c r="ZJ16" s="190"/>
      <c r="ZK16" s="190"/>
      <c r="ZL16" s="190"/>
      <c r="ZM16" s="191"/>
      <c r="ZN16" s="190"/>
      <c r="ZO16" s="190"/>
      <c r="ZP16" s="190"/>
      <c r="ZQ16" s="190"/>
      <c r="ZR16" s="190"/>
      <c r="ZS16" s="192"/>
      <c r="ZT16" s="193"/>
      <c r="ZU16" s="193"/>
      <c r="ZV16" s="193"/>
      <c r="ZW16" s="193"/>
      <c r="ZX16" s="190"/>
      <c r="ZY16" s="191"/>
      <c r="ZZ16" s="190"/>
      <c r="AAA16" s="190"/>
      <c r="AAB16" s="190"/>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28"/>
      <c r="BLW16" s="67"/>
      <c r="BLX16" s="67"/>
      <c r="BLY16" s="67"/>
      <c r="BLZ16" s="29"/>
      <c r="BMA16" s="131"/>
      <c r="BMB16" s="29"/>
      <c r="BMC16" s="29"/>
      <c r="BMD16" s="29"/>
      <c r="BME16" s="29"/>
      <c r="BMF16" s="29"/>
      <c r="BMG16" s="136"/>
      <c r="BMH16" s="29"/>
      <c r="BMI16" s="29"/>
      <c r="BMJ16" s="29"/>
      <c r="BMK16" s="29"/>
      <c r="BML16" s="29"/>
      <c r="BMM16" s="73"/>
      <c r="BMN16" s="29"/>
      <c r="BMO16" s="29"/>
      <c r="BMP16" s="29"/>
      <c r="BMQ16" s="29"/>
      <c r="BMR16" s="29"/>
      <c r="BMS16" s="136"/>
      <c r="BMT16" s="29"/>
      <c r="BMU16" s="29"/>
      <c r="BMV16" s="29"/>
      <c r="BMW16" s="29"/>
      <c r="BMX16" s="29"/>
      <c r="BMY16" s="73"/>
      <c r="BMZ16" s="67"/>
      <c r="BNA16" s="67"/>
      <c r="BNB16" s="67"/>
      <c r="BNC16" s="67"/>
      <c r="BND16" s="29"/>
      <c r="BNE16" s="136"/>
      <c r="BNF16" s="29"/>
      <c r="BNG16" s="29"/>
      <c r="BNH16" s="29"/>
      <c r="BNI16" s="29"/>
      <c r="BNJ16" s="29"/>
      <c r="BNK16" s="73"/>
      <c r="BNL16" s="29"/>
      <c r="BNM16" s="29"/>
      <c r="BNN16" s="29"/>
      <c r="BNO16" s="29"/>
      <c r="BNP16" s="29"/>
      <c r="BNQ16" s="136"/>
      <c r="BNR16" s="29"/>
      <c r="BNS16" s="29"/>
      <c r="BNT16" s="29"/>
      <c r="BNU16" s="29"/>
      <c r="BNV16" s="29"/>
      <c r="BNW16" s="73"/>
      <c r="BNX16" s="29"/>
      <c r="BNY16" s="29"/>
      <c r="BNZ16" s="29"/>
      <c r="BOA16" s="29"/>
      <c r="BOB16" s="29"/>
      <c r="BOC16" s="30"/>
      <c r="BOD16" s="28"/>
      <c r="BOE16" s="67"/>
      <c r="BOF16" s="67"/>
      <c r="BOG16" s="67"/>
      <c r="BOH16" s="29"/>
      <c r="BOI16" s="131"/>
      <c r="BOJ16" s="29"/>
      <c r="BOK16" s="29"/>
      <c r="BOL16" s="29"/>
      <c r="BOM16" s="29"/>
      <c r="BON16" s="29"/>
      <c r="BOO16" s="136"/>
      <c r="BOP16" s="29"/>
      <c r="BOQ16" s="29"/>
      <c r="BOR16" s="29"/>
      <c r="BOS16" s="29"/>
      <c r="BOT16" s="29"/>
      <c r="BOU16" s="73"/>
      <c r="BOV16" s="29"/>
      <c r="BOW16" s="29"/>
      <c r="BOX16" s="29"/>
      <c r="BOY16" s="29"/>
      <c r="BOZ16" s="29"/>
      <c r="BPA16" s="136"/>
      <c r="BPB16" s="29"/>
      <c r="BPC16" s="29"/>
      <c r="BPD16" s="29"/>
      <c r="BPE16" s="29"/>
      <c r="BPF16" s="29"/>
      <c r="BPG16" s="73"/>
      <c r="BPH16" s="67"/>
      <c r="BPI16" s="67"/>
      <c r="BPJ16" s="67"/>
      <c r="BPK16" s="67"/>
      <c r="BPL16" s="29"/>
      <c r="BPM16" s="136"/>
      <c r="BPN16" s="29"/>
      <c r="BPO16" s="29"/>
      <c r="BPP16" s="29"/>
      <c r="BPQ16" s="29"/>
      <c r="BPR16" s="29"/>
      <c r="BPS16" s="73"/>
      <c r="BPT16" s="29"/>
      <c r="BPU16" s="29"/>
      <c r="BPV16" s="29"/>
      <c r="BPW16" s="29"/>
      <c r="BPX16" s="29"/>
      <c r="BPY16" s="136"/>
      <c r="BPZ16" s="29"/>
      <c r="BQA16" s="29"/>
      <c r="BQB16" s="29"/>
      <c r="BQC16" s="29"/>
      <c r="BQD16" s="29"/>
      <c r="BQE16" s="73"/>
      <c r="BQF16" s="29"/>
      <c r="BQG16" s="29"/>
      <c r="BQH16" s="29"/>
      <c r="BQI16" s="29"/>
      <c r="BQJ16" s="29"/>
      <c r="BQK16" s="30"/>
      <c r="BQL16" s="28"/>
      <c r="BQM16" s="67"/>
      <c r="BQN16" s="67"/>
      <c r="BQO16" s="67"/>
      <c r="BQP16" s="29"/>
      <c r="BQQ16" s="131"/>
      <c r="BQR16" s="29"/>
      <c r="BQS16" s="29"/>
      <c r="BQT16" s="29"/>
      <c r="BQU16" s="29"/>
      <c r="BQV16" s="29"/>
      <c r="BQW16" s="136"/>
      <c r="BQX16" s="29"/>
      <c r="BQY16" s="29"/>
      <c r="BQZ16" s="29"/>
      <c r="BRA16" s="29"/>
      <c r="BRB16" s="29"/>
      <c r="BRC16" s="73"/>
      <c r="BRD16" s="29"/>
      <c r="BRE16" s="29"/>
      <c r="BRF16" s="29"/>
      <c r="BRG16" s="29"/>
      <c r="BRH16" s="29"/>
      <c r="BRI16" s="136"/>
      <c r="BRJ16" s="29"/>
      <c r="BRK16" s="29"/>
      <c r="BRL16" s="29"/>
      <c r="BRM16" s="29"/>
      <c r="BRN16" s="29"/>
      <c r="BRO16" s="73"/>
      <c r="BRP16" s="67"/>
      <c r="BRQ16" s="67"/>
      <c r="BRR16" s="67"/>
      <c r="BRS16" s="67"/>
      <c r="BRT16" s="29"/>
      <c r="BRU16" s="136"/>
      <c r="BRV16" s="29"/>
      <c r="BRW16" s="29"/>
      <c r="BRX16" s="29"/>
      <c r="BRY16" s="29"/>
      <c r="BRZ16" s="29"/>
      <c r="BSA16" s="73"/>
      <c r="BSB16" s="29"/>
      <c r="BSC16" s="29"/>
      <c r="BSD16" s="29"/>
      <c r="BSE16" s="29"/>
      <c r="BSF16" s="29"/>
      <c r="BSG16" s="136"/>
      <c r="BSH16" s="29"/>
      <c r="BSI16" s="29"/>
      <c r="BSJ16" s="29"/>
      <c r="BSK16" s="29"/>
      <c r="BSL16" s="29"/>
      <c r="BSM16" s="73"/>
      <c r="BSN16" s="29"/>
      <c r="BSO16" s="29"/>
      <c r="BSP16" s="29"/>
      <c r="BSQ16" s="29"/>
      <c r="BSR16" s="29"/>
      <c r="BSS16" s="30"/>
      <c r="BST16" s="28"/>
      <c r="BSU16" s="67"/>
      <c r="BSV16" s="67"/>
      <c r="BSW16" s="67"/>
      <c r="BSX16" s="29"/>
      <c r="BSY16" s="131"/>
      <c r="BSZ16" s="29"/>
      <c r="BTA16" s="29"/>
      <c r="BTB16" s="29"/>
      <c r="BTC16" s="29"/>
      <c r="BTD16" s="29"/>
      <c r="BTE16" s="136"/>
      <c r="BTF16" s="29"/>
      <c r="BTG16" s="29"/>
      <c r="BTH16" s="29"/>
      <c r="BTI16" s="29"/>
      <c r="BTJ16" s="29"/>
      <c r="BTK16" s="73"/>
      <c r="BTL16" s="29"/>
      <c r="BTM16" s="29"/>
      <c r="BTN16" s="29"/>
      <c r="BTO16" s="29"/>
      <c r="BTP16" s="29"/>
      <c r="BTQ16" s="136"/>
      <c r="BTR16" s="29"/>
      <c r="BTS16" s="29"/>
      <c r="BTT16" s="29"/>
      <c r="BTU16" s="29"/>
      <c r="BTV16" s="29"/>
      <c r="BTW16" s="73"/>
      <c r="BTX16" s="67"/>
      <c r="BTY16" s="67"/>
      <c r="BTZ16" s="67"/>
      <c r="BUA16" s="67"/>
      <c r="BUB16" s="29"/>
      <c r="BUC16" s="136"/>
      <c r="BUD16" s="29"/>
      <c r="BUE16" s="29"/>
      <c r="BUF16" s="29"/>
      <c r="BUG16" s="29"/>
      <c r="BUH16" s="29"/>
      <c r="BUI16" s="73"/>
      <c r="BUJ16" s="29"/>
      <c r="BUK16" s="29"/>
      <c r="BUL16" s="29"/>
      <c r="BUM16" s="29"/>
      <c r="BUN16" s="29"/>
      <c r="BUO16" s="136"/>
      <c r="BUP16" s="29"/>
      <c r="BUQ16" s="29"/>
      <c r="BUR16" s="29"/>
      <c r="BUS16" s="29"/>
      <c r="BUT16" s="29"/>
      <c r="BUU16" s="73"/>
      <c r="BUV16" s="29"/>
      <c r="BUW16" s="29"/>
      <c r="BUX16" s="29"/>
      <c r="BUY16" s="29"/>
      <c r="BUZ16" s="29"/>
      <c r="BVA16" s="30"/>
      <c r="BVB16" s="28"/>
      <c r="BVC16" s="67"/>
      <c r="BVD16" s="67"/>
      <c r="BVE16" s="67"/>
      <c r="BVF16" s="29"/>
      <c r="BVG16" s="131"/>
      <c r="BVH16" s="29"/>
      <c r="BVI16" s="29"/>
      <c r="BVJ16" s="29"/>
      <c r="BVK16" s="29"/>
      <c r="BVL16" s="29"/>
      <c r="BVM16" s="136"/>
      <c r="BVN16" s="29"/>
      <c r="BVO16" s="29"/>
      <c r="BVP16" s="29"/>
      <c r="BVQ16" s="29"/>
      <c r="BVR16" s="29"/>
      <c r="BVS16" s="73"/>
      <c r="BVT16" s="29"/>
      <c r="BVU16" s="29"/>
      <c r="BVV16" s="29"/>
      <c r="BVW16" s="29"/>
      <c r="BVX16" s="29"/>
      <c r="BVY16" s="136"/>
      <c r="BVZ16" s="29"/>
      <c r="BWA16" s="29"/>
      <c r="BWB16" s="29"/>
      <c r="BWC16" s="29"/>
      <c r="BWD16" s="29"/>
      <c r="BWE16" s="73"/>
      <c r="BWF16" s="67"/>
      <c r="BWG16" s="67"/>
      <c r="BWH16" s="67"/>
      <c r="BWI16" s="67"/>
      <c r="BWJ16" s="29"/>
      <c r="BWK16" s="136"/>
      <c r="BWL16" s="29"/>
      <c r="BWM16" s="29"/>
      <c r="BWN16" s="29"/>
      <c r="BWO16" s="29"/>
      <c r="BWP16" s="29"/>
      <c r="BWQ16" s="73"/>
      <c r="BWR16" s="29"/>
      <c r="BWS16" s="29"/>
      <c r="BWT16" s="29"/>
      <c r="BWU16" s="29"/>
      <c r="BWV16" s="29"/>
      <c r="BWW16" s="136"/>
      <c r="BWX16" s="29"/>
      <c r="BWY16" s="29"/>
      <c r="BWZ16" s="29"/>
      <c r="BXA16" s="29"/>
      <c r="BXB16" s="29"/>
      <c r="BXC16" s="73"/>
      <c r="BXD16" s="29"/>
      <c r="BXE16" s="29"/>
      <c r="BXF16" s="29"/>
      <c r="BXG16" s="29"/>
      <c r="BXH16" s="29"/>
      <c r="BXI16" s="30"/>
      <c r="BXJ16" s="28"/>
      <c r="BXK16" s="67"/>
      <c r="BXL16" s="67"/>
      <c r="BXM16" s="67"/>
      <c r="BXN16" s="29"/>
      <c r="BXO16" s="131"/>
      <c r="BXP16" s="29"/>
      <c r="BXQ16" s="29"/>
      <c r="BXR16" s="29"/>
      <c r="BXS16" s="29"/>
      <c r="BXT16" s="29"/>
      <c r="BXU16" s="136"/>
      <c r="BXV16" s="29"/>
      <c r="BXW16" s="29"/>
      <c r="BXX16" s="29"/>
      <c r="BXY16" s="29"/>
      <c r="BXZ16" s="29"/>
      <c r="BYA16" s="73"/>
      <c r="BYB16" s="29"/>
      <c r="BYC16" s="29"/>
      <c r="BYD16" s="29"/>
      <c r="BYE16" s="29"/>
      <c r="BYF16" s="29"/>
      <c r="BYG16" s="136"/>
      <c r="BYH16" s="29"/>
      <c r="BYI16" s="29"/>
      <c r="BYJ16" s="29"/>
      <c r="BYK16" s="29"/>
      <c r="BYL16" s="29"/>
      <c r="BYM16" s="73"/>
      <c r="BYN16" s="67"/>
      <c r="BYO16" s="67"/>
      <c r="BYP16" s="67"/>
      <c r="BYQ16" s="67"/>
      <c r="BYR16" s="29"/>
      <c r="BYS16" s="136"/>
      <c r="BYT16" s="29"/>
      <c r="BYU16" s="29"/>
      <c r="BYV16" s="29"/>
      <c r="BYW16" s="29"/>
      <c r="BYX16" s="29"/>
      <c r="BYY16" s="73"/>
      <c r="BYZ16" s="29"/>
      <c r="BZA16" s="29"/>
      <c r="BZB16" s="29"/>
      <c r="BZC16" s="29"/>
      <c r="BZD16" s="29"/>
      <c r="BZE16" s="136"/>
      <c r="BZF16" s="29"/>
      <c r="BZG16" s="29"/>
      <c r="BZH16" s="29"/>
      <c r="BZI16" s="29"/>
      <c r="BZJ16" s="29"/>
      <c r="BZK16" s="73"/>
      <c r="BZL16" s="29"/>
      <c r="BZM16" s="29"/>
      <c r="BZN16" s="29"/>
      <c r="BZO16" s="29"/>
      <c r="BZP16" s="29"/>
      <c r="BZQ16" s="30"/>
      <c r="BZR16" s="28"/>
      <c r="BZS16" s="67"/>
      <c r="BZT16" s="67"/>
      <c r="BZU16" s="67"/>
      <c r="BZV16" s="29"/>
      <c r="BZW16" s="131"/>
      <c r="BZX16" s="29"/>
      <c r="BZY16" s="29"/>
      <c r="BZZ16" s="29"/>
      <c r="CAA16" s="29"/>
      <c r="CAB16" s="29"/>
      <c r="CAC16" s="136"/>
      <c r="CAD16" s="29"/>
      <c r="CAE16" s="29"/>
      <c r="CAF16" s="29"/>
      <c r="CAG16" s="29"/>
      <c r="CAH16" s="29"/>
      <c r="CAI16" s="73"/>
      <c r="CAJ16" s="29"/>
      <c r="CAK16" s="29"/>
      <c r="CAL16" s="29"/>
      <c r="CAM16" s="29"/>
      <c r="CAN16" s="29"/>
      <c r="CAO16" s="136"/>
      <c r="CAP16" s="29"/>
      <c r="CAQ16" s="29"/>
      <c r="CAR16" s="29"/>
      <c r="CAS16" s="29"/>
      <c r="CAT16" s="29"/>
      <c r="CAU16" s="73"/>
      <c r="CAV16" s="67"/>
      <c r="CAW16" s="67"/>
      <c r="CAX16" s="67"/>
      <c r="CAY16" s="67"/>
      <c r="CAZ16" s="29"/>
      <c r="CBA16" s="136"/>
      <c r="CBB16" s="29"/>
      <c r="CBC16" s="29"/>
      <c r="CBD16" s="29"/>
      <c r="CBE16" s="29"/>
      <c r="CBF16" s="29"/>
      <c r="CBG16" s="73"/>
      <c r="CBH16" s="29"/>
      <c r="CBI16" s="29"/>
      <c r="CBJ16" s="29"/>
      <c r="CBK16" s="29"/>
      <c r="CBL16" s="29"/>
      <c r="CBM16" s="136"/>
      <c r="CBN16" s="29"/>
      <c r="CBO16" s="29"/>
      <c r="CBP16" s="29"/>
      <c r="CBQ16" s="29"/>
      <c r="CBR16" s="29"/>
      <c r="CBS16" s="73"/>
      <c r="CBT16" s="29"/>
      <c r="CBU16" s="29"/>
      <c r="CBV16" s="29"/>
      <c r="CBW16" s="29"/>
      <c r="CBX16" s="29"/>
      <c r="CBY16" s="30"/>
      <c r="CBZ16" s="28"/>
      <c r="CCA16" s="67"/>
      <c r="CCB16" s="67"/>
      <c r="CCC16" s="67"/>
      <c r="CCD16" s="29"/>
      <c r="CCE16" s="131"/>
      <c r="CCF16" s="29"/>
      <c r="CCG16" s="29"/>
      <c r="CCH16" s="29"/>
      <c r="CCI16" s="29"/>
      <c r="CCJ16" s="29"/>
      <c r="CCK16" s="136"/>
      <c r="CCL16" s="29"/>
      <c r="CCM16" s="29"/>
      <c r="CCN16" s="29"/>
      <c r="CCO16" s="29"/>
      <c r="CCP16" s="29"/>
      <c r="CCQ16" s="73"/>
      <c r="CCR16" s="29"/>
      <c r="CCS16" s="29"/>
      <c r="CCT16" s="29"/>
      <c r="CCU16" s="29"/>
      <c r="CCV16" s="29"/>
      <c r="CCW16" s="136"/>
      <c r="CCX16" s="29"/>
      <c r="CCY16" s="29"/>
      <c r="CCZ16" s="29"/>
      <c r="CDA16" s="29"/>
      <c r="CDB16" s="29"/>
      <c r="CDC16" s="73"/>
      <c r="CDD16" s="67"/>
      <c r="CDE16" s="67"/>
      <c r="CDF16" s="67"/>
      <c r="CDG16" s="67"/>
      <c r="CDH16" s="29"/>
      <c r="CDI16" s="136"/>
      <c r="CDJ16" s="29"/>
      <c r="CDK16" s="29"/>
      <c r="CDL16" s="29"/>
      <c r="CDM16" s="29"/>
      <c r="CDN16" s="29"/>
      <c r="CDO16" s="73"/>
      <c r="CDP16" s="29"/>
      <c r="CDQ16" s="29"/>
      <c r="CDR16" s="29"/>
      <c r="CDS16" s="29"/>
      <c r="CDT16" s="29"/>
      <c r="CDU16" s="136"/>
      <c r="CDV16" s="29"/>
      <c r="CDW16" s="29"/>
      <c r="CDX16" s="29"/>
      <c r="CDY16" s="29"/>
      <c r="CDZ16" s="29"/>
      <c r="CEA16" s="73"/>
      <c r="CEB16" s="29"/>
      <c r="CEC16" s="29"/>
      <c r="CED16" s="29"/>
      <c r="CEE16" s="29"/>
      <c r="CEF16" s="29"/>
      <c r="CEG16" s="30"/>
      <c r="CEH16" s="28"/>
      <c r="CEI16" s="67"/>
      <c r="CEJ16" s="67"/>
      <c r="CEK16" s="67"/>
      <c r="CEL16" s="29"/>
      <c r="CEM16" s="131"/>
      <c r="CEN16" s="29"/>
      <c r="CEO16" s="29"/>
      <c r="CEP16" s="29"/>
      <c r="CEQ16" s="29"/>
      <c r="CER16" s="29"/>
      <c r="CES16" s="136"/>
      <c r="CET16" s="29"/>
      <c r="CEU16" s="29"/>
      <c r="CEV16" s="29"/>
      <c r="CEW16" s="29"/>
      <c r="CEX16" s="29"/>
      <c r="CEY16" s="73"/>
      <c r="CEZ16" s="29"/>
      <c r="CFA16" s="29"/>
      <c r="CFB16" s="29"/>
      <c r="CFC16" s="29"/>
      <c r="CFD16" s="29"/>
      <c r="CFE16" s="136"/>
      <c r="CFF16" s="29"/>
      <c r="CFG16" s="29"/>
      <c r="CFH16" s="29"/>
      <c r="CFI16" s="29"/>
      <c r="CFJ16" s="29"/>
      <c r="CFK16" s="73"/>
      <c r="CFL16" s="67"/>
      <c r="CFM16" s="67"/>
      <c r="CFN16" s="67"/>
      <c r="CFO16" s="67"/>
      <c r="CFP16" s="29"/>
      <c r="CFQ16" s="136"/>
      <c r="CFR16" s="29"/>
      <c r="CFS16" s="29"/>
      <c r="CFT16" s="29"/>
      <c r="CFU16" s="29"/>
      <c r="CFV16" s="29"/>
      <c r="CFW16" s="73"/>
      <c r="CFX16" s="29"/>
      <c r="CFY16" s="29"/>
      <c r="CFZ16" s="29"/>
      <c r="CGA16" s="29"/>
      <c r="CGB16" s="29"/>
      <c r="CGC16" s="136"/>
      <c r="CGD16" s="29"/>
      <c r="CGE16" s="29"/>
      <c r="CGF16" s="29"/>
      <c r="CGG16" s="29"/>
      <c r="CGH16" s="29"/>
      <c r="CGI16" s="73"/>
      <c r="CGJ16" s="29"/>
      <c r="CGK16" s="29"/>
      <c r="CGL16" s="29"/>
      <c r="CGM16" s="29"/>
      <c r="CGN16" s="29"/>
      <c r="CGO16" s="30"/>
      <c r="CGP16" s="28"/>
      <c r="CGQ16" s="67"/>
      <c r="CGR16" s="67"/>
      <c r="CGS16" s="67"/>
      <c r="CGT16" s="29"/>
      <c r="CGU16" s="131"/>
      <c r="CGV16" s="29"/>
      <c r="CGW16" s="29"/>
      <c r="CGX16" s="29"/>
      <c r="CGY16" s="29"/>
      <c r="CGZ16" s="29"/>
      <c r="CHA16" s="136"/>
      <c r="CHB16" s="29"/>
      <c r="CHC16" s="29"/>
      <c r="CHD16" s="29"/>
      <c r="CHE16" s="29"/>
      <c r="CHF16" s="29"/>
      <c r="CHG16" s="73"/>
      <c r="CHH16" s="29"/>
      <c r="CHI16" s="29"/>
      <c r="CHJ16" s="29"/>
      <c r="CHK16" s="29"/>
      <c r="CHL16" s="29"/>
      <c r="CHM16" s="136"/>
      <c r="CHN16" s="29"/>
      <c r="CHO16" s="29"/>
      <c r="CHP16" s="29"/>
      <c r="CHQ16" s="29"/>
      <c r="CHR16" s="29"/>
      <c r="CHS16" s="73"/>
      <c r="CHT16" s="67"/>
      <c r="CHU16" s="67"/>
      <c r="CHV16" s="67"/>
      <c r="CHW16" s="67"/>
      <c r="CHX16" s="29"/>
      <c r="CHY16" s="136"/>
      <c r="CHZ16" s="29"/>
      <c r="CIA16" s="29"/>
      <c r="CIB16" s="29"/>
      <c r="CIC16" s="29"/>
      <c r="CID16" s="29"/>
      <c r="CIE16" s="73"/>
      <c r="CIF16" s="29"/>
      <c r="CIG16" s="29"/>
      <c r="CIH16" s="29"/>
      <c r="CII16" s="29"/>
      <c r="CIJ16" s="29"/>
      <c r="CIK16" s="136"/>
      <c r="CIL16" s="29"/>
      <c r="CIM16" s="29"/>
      <c r="CIN16" s="29"/>
      <c r="CIO16" s="29"/>
      <c r="CIP16" s="29"/>
      <c r="CIQ16" s="73"/>
      <c r="CIR16" s="29"/>
      <c r="CIS16" s="29"/>
      <c r="CIT16" s="29"/>
      <c r="CIU16" s="29"/>
      <c r="CIV16" s="29"/>
      <c r="CIW16" s="30"/>
      <c r="CIX16" s="28"/>
      <c r="CIY16" s="67"/>
      <c r="CIZ16" s="67"/>
      <c r="CJA16" s="67"/>
      <c r="CJB16" s="29"/>
      <c r="CJC16" s="131"/>
      <c r="CJD16" s="29"/>
      <c r="CJE16" s="29"/>
      <c r="CJF16" s="29"/>
      <c r="CJG16" s="29"/>
      <c r="CJH16" s="29"/>
      <c r="CJI16" s="136"/>
      <c r="CJJ16" s="29"/>
      <c r="CJK16" s="29"/>
      <c r="CJL16" s="29"/>
      <c r="CJM16" s="29"/>
      <c r="CJN16" s="29"/>
      <c r="CJO16" s="73"/>
      <c r="CJP16" s="29"/>
      <c r="CJQ16" s="29"/>
      <c r="CJR16" s="29"/>
      <c r="CJS16" s="29"/>
      <c r="CJT16" s="29"/>
      <c r="CJU16" s="136"/>
      <c r="CJV16" s="29"/>
      <c r="CJW16" s="29"/>
      <c r="CJX16" s="29"/>
      <c r="CJY16" s="29"/>
      <c r="CJZ16" s="29"/>
      <c r="CKA16" s="73"/>
      <c r="CKB16" s="67"/>
      <c r="CKC16" s="67"/>
      <c r="CKD16" s="67"/>
      <c r="CKE16" s="67"/>
      <c r="CKF16" s="29"/>
      <c r="CKG16" s="136"/>
      <c r="CKH16" s="29"/>
      <c r="CKI16" s="29"/>
      <c r="CKJ16" s="29"/>
      <c r="CKK16" s="29"/>
      <c r="CKL16" s="29"/>
      <c r="CKM16" s="73"/>
      <c r="CKN16" s="29"/>
      <c r="CKO16" s="29"/>
      <c r="CKP16" s="29"/>
      <c r="CKQ16" s="29"/>
      <c r="CKR16" s="29"/>
      <c r="CKS16" s="136"/>
      <c r="CKT16" s="29"/>
      <c r="CKU16" s="29"/>
      <c r="CKV16" s="29"/>
      <c r="CKW16" s="29"/>
      <c r="CKX16" s="29"/>
      <c r="CKY16" s="73"/>
      <c r="CKZ16" s="29"/>
      <c r="CLA16" s="29"/>
      <c r="CLB16" s="29"/>
      <c r="CLC16" s="29"/>
      <c r="CLD16" s="29"/>
      <c r="CLE16" s="30"/>
      <c r="CLF16" s="28"/>
      <c r="CLG16" s="67"/>
      <c r="CLH16" s="67"/>
      <c r="CLI16" s="67"/>
      <c r="CLJ16" s="29"/>
      <c r="CLK16" s="131"/>
      <c r="CLL16" s="29"/>
      <c r="CLM16" s="29"/>
      <c r="CLN16" s="29"/>
      <c r="CLO16" s="29"/>
      <c r="CLP16" s="29"/>
      <c r="CLQ16" s="136"/>
      <c r="CLR16" s="29"/>
      <c r="CLS16" s="29"/>
      <c r="CLT16" s="29"/>
      <c r="CLU16" s="29"/>
      <c r="CLV16" s="29"/>
      <c r="CLW16" s="73"/>
      <c r="CLX16" s="29"/>
      <c r="CLY16" s="29"/>
      <c r="CLZ16" s="29"/>
      <c r="CMA16" s="29"/>
      <c r="CMB16" s="29"/>
      <c r="CMC16" s="136"/>
      <c r="CMD16" s="29"/>
      <c r="CME16" s="29"/>
      <c r="CMF16" s="29"/>
      <c r="CMG16" s="29"/>
      <c r="CMH16" s="29"/>
      <c r="CMI16" s="73"/>
      <c r="CMJ16" s="67"/>
      <c r="CMK16" s="67"/>
      <c r="CML16" s="67"/>
      <c r="CMM16" s="67"/>
      <c r="CMN16" s="29"/>
      <c r="CMO16" s="136"/>
      <c r="CMP16" s="29"/>
      <c r="CMQ16" s="29"/>
      <c r="CMR16" s="29"/>
      <c r="CMS16" s="29"/>
      <c r="CMT16" s="29"/>
      <c r="CMU16" s="73"/>
      <c r="CMV16" s="29"/>
      <c r="CMW16" s="29"/>
      <c r="CMX16" s="29"/>
      <c r="CMY16" s="29"/>
      <c r="CMZ16" s="29"/>
      <c r="CNA16" s="136"/>
      <c r="CNB16" s="29"/>
      <c r="CNC16" s="29"/>
      <c r="CND16" s="29"/>
      <c r="CNE16" s="29"/>
      <c r="CNF16" s="29"/>
      <c r="CNG16" s="73"/>
      <c r="CNH16" s="29"/>
      <c r="CNI16" s="29"/>
      <c r="CNJ16" s="29"/>
      <c r="CNK16" s="29"/>
      <c r="CNL16" s="29"/>
      <c r="CNM16" s="30"/>
      <c r="CNN16" s="28"/>
      <c r="CNO16" s="67"/>
      <c r="CNP16" s="67"/>
      <c r="CNQ16" s="67"/>
      <c r="CNR16" s="29"/>
      <c r="CNS16" s="131"/>
      <c r="CNT16" s="29"/>
      <c r="CNU16" s="29"/>
      <c r="CNV16" s="29"/>
      <c r="CNW16" s="29"/>
      <c r="CNX16" s="29"/>
      <c r="CNY16" s="136"/>
      <c r="CNZ16" s="29"/>
      <c r="COA16" s="29"/>
      <c r="COB16" s="29"/>
      <c r="COC16" s="29"/>
      <c r="COD16" s="29"/>
      <c r="COE16" s="73"/>
      <c r="COF16" s="29"/>
      <c r="COG16" s="29"/>
      <c r="COH16" s="29"/>
      <c r="COI16" s="29"/>
      <c r="COJ16" s="29"/>
      <c r="COK16" s="136"/>
      <c r="COL16" s="29"/>
      <c r="COM16" s="29"/>
      <c r="CON16" s="29"/>
      <c r="COO16" s="29"/>
      <c r="COP16" s="29"/>
      <c r="COQ16" s="73"/>
      <c r="COR16" s="67"/>
      <c r="COS16" s="67"/>
      <c r="COT16" s="67"/>
      <c r="COU16" s="67"/>
      <c r="COV16" s="29"/>
      <c r="COW16" s="136"/>
      <c r="COX16" s="29"/>
      <c r="COY16" s="29"/>
      <c r="COZ16" s="29"/>
      <c r="CPA16" s="29"/>
      <c r="CPB16" s="29"/>
      <c r="CPC16" s="73"/>
      <c r="CPD16" s="29"/>
      <c r="CPE16" s="29"/>
      <c r="CPF16" s="29"/>
      <c r="CPG16" s="29"/>
      <c r="CPH16" s="29"/>
      <c r="CPI16" s="136"/>
      <c r="CPJ16" s="29"/>
      <c r="CPK16" s="29"/>
      <c r="CPL16" s="29"/>
      <c r="CPM16" s="29"/>
      <c r="CPN16" s="29"/>
      <c r="CPO16" s="73"/>
      <c r="CPP16" s="29"/>
      <c r="CPQ16" s="29"/>
      <c r="CPR16" s="29"/>
      <c r="CPS16" s="29"/>
      <c r="CPT16" s="29"/>
      <c r="CPU16" s="30"/>
      <c r="CPV16" s="28"/>
      <c r="CPW16" s="67"/>
      <c r="CPX16" s="67"/>
      <c r="CPY16" s="67"/>
      <c r="CPZ16" s="29"/>
      <c r="CQA16" s="131"/>
      <c r="CQB16" s="29"/>
      <c r="CQC16" s="29"/>
      <c r="CQD16" s="29"/>
      <c r="CQE16" s="29"/>
      <c r="CQF16" s="29"/>
      <c r="CQG16" s="136"/>
      <c r="CQH16" s="29"/>
      <c r="CQI16" s="29"/>
      <c r="CQJ16" s="29"/>
      <c r="CQK16" s="29"/>
      <c r="CQL16" s="29"/>
      <c r="CQM16" s="73"/>
      <c r="CQN16" s="29"/>
      <c r="CQO16" s="29"/>
      <c r="CQP16" s="29"/>
      <c r="CQQ16" s="29"/>
      <c r="CQR16" s="29"/>
      <c r="CQS16" s="136"/>
      <c r="CQT16" s="29"/>
      <c r="CQU16" s="29"/>
      <c r="CQV16" s="29"/>
      <c r="CQW16" s="29"/>
      <c r="CQX16" s="29"/>
      <c r="CQY16" s="73"/>
      <c r="CQZ16" s="67"/>
      <c r="CRA16" s="67"/>
      <c r="CRB16" s="67"/>
      <c r="CRC16" s="67"/>
      <c r="CRD16" s="29"/>
      <c r="CRE16" s="136"/>
      <c r="CRF16" s="29"/>
      <c r="CRG16" s="29"/>
      <c r="CRH16" s="29"/>
      <c r="CRI16" s="29"/>
      <c r="CRJ16" s="29"/>
      <c r="CRK16" s="73"/>
      <c r="CRL16" s="29"/>
      <c r="CRM16" s="29"/>
      <c r="CRN16" s="29"/>
      <c r="CRO16" s="29"/>
      <c r="CRP16" s="29"/>
      <c r="CRQ16" s="136"/>
      <c r="CRR16" s="29"/>
      <c r="CRS16" s="29"/>
      <c r="CRT16" s="29"/>
      <c r="CRU16" s="29"/>
      <c r="CRV16" s="29"/>
      <c r="CRW16" s="73"/>
      <c r="CRX16" s="29"/>
      <c r="CRY16" s="29"/>
      <c r="CRZ16" s="29"/>
      <c r="CSA16" s="29"/>
      <c r="CSB16" s="29"/>
      <c r="CSC16" s="30"/>
      <c r="CSD16" s="90"/>
    </row>
    <row r="17" spans="1:2526" ht="20.100000000000001" customHeight="1" x14ac:dyDescent="0.25">
      <c r="A17" s="100" t="s">
        <v>18</v>
      </c>
      <c r="B17" s="63" t="str">
        <f>IF(LEN(C19)=0,"",C19)</f>
        <v>Informer - Check de ce qui fonctionne déjà</v>
      </c>
      <c r="C17" s="211" t="s">
        <v>41</v>
      </c>
      <c r="D17" s="146" t="str">
        <f t="shared" si="0"/>
        <v>1h30min</v>
      </c>
      <c r="E17" s="31">
        <v>18</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165"/>
      <c r="DW17" s="166"/>
      <c r="DX17" s="166"/>
      <c r="DY17" s="166"/>
      <c r="DZ17" s="167"/>
      <c r="EA17" s="168"/>
      <c r="EB17" s="167"/>
      <c r="EC17" s="167"/>
      <c r="ED17" s="167"/>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32"/>
      <c r="BLW17" s="64"/>
      <c r="BLX17" s="64"/>
      <c r="BLY17" s="64"/>
      <c r="BLZ17" s="33"/>
      <c r="BMA17" s="132"/>
      <c r="BMB17" s="33"/>
      <c r="BMC17" s="33"/>
      <c r="BMD17" s="33"/>
      <c r="BME17" s="33"/>
      <c r="BMF17" s="33"/>
      <c r="BMG17" s="137"/>
      <c r="BMH17" s="33"/>
      <c r="BMI17" s="33"/>
      <c r="BMJ17" s="33"/>
      <c r="BMK17" s="33"/>
      <c r="BML17" s="33"/>
      <c r="BMM17" s="74"/>
      <c r="BMN17" s="33"/>
      <c r="BMO17" s="33"/>
      <c r="BMP17" s="33"/>
      <c r="BMQ17" s="33"/>
      <c r="BMR17" s="33"/>
      <c r="BMS17" s="137"/>
      <c r="BMT17" s="33"/>
      <c r="BMU17" s="33"/>
      <c r="BMV17" s="33"/>
      <c r="BMW17" s="33"/>
      <c r="BMX17" s="33"/>
      <c r="BMY17" s="74"/>
      <c r="BMZ17" s="64"/>
      <c r="BNA17" s="64"/>
      <c r="BNB17" s="64"/>
      <c r="BNC17" s="64"/>
      <c r="BND17" s="33"/>
      <c r="BNE17" s="137"/>
      <c r="BNF17" s="33"/>
      <c r="BNG17" s="33"/>
      <c r="BNH17" s="33"/>
      <c r="BNI17" s="33"/>
      <c r="BNJ17" s="33"/>
      <c r="BNK17" s="74"/>
      <c r="BNL17" s="33"/>
      <c r="BNM17" s="33"/>
      <c r="BNN17" s="33"/>
      <c r="BNO17" s="33"/>
      <c r="BNP17" s="33"/>
      <c r="BNQ17" s="137"/>
      <c r="BNR17" s="33"/>
      <c r="BNS17" s="33"/>
      <c r="BNT17" s="33"/>
      <c r="BNU17" s="33"/>
      <c r="BNV17" s="33"/>
      <c r="BNW17" s="74"/>
      <c r="BNX17" s="33"/>
      <c r="BNY17" s="33"/>
      <c r="BNZ17" s="33"/>
      <c r="BOA17" s="33"/>
      <c r="BOB17" s="33"/>
      <c r="BOC17" s="34"/>
      <c r="BOD17" s="32"/>
      <c r="BOE17" s="64"/>
      <c r="BOF17" s="64"/>
      <c r="BOG17" s="64"/>
      <c r="BOH17" s="33"/>
      <c r="BOI17" s="132"/>
      <c r="BOJ17" s="33"/>
      <c r="BOK17" s="33"/>
      <c r="BOL17" s="33"/>
      <c r="BOM17" s="33"/>
      <c r="BON17" s="33"/>
      <c r="BOO17" s="137"/>
      <c r="BOP17" s="33"/>
      <c r="BOQ17" s="33"/>
      <c r="BOR17" s="33"/>
      <c r="BOS17" s="33"/>
      <c r="BOT17" s="33"/>
      <c r="BOU17" s="74"/>
      <c r="BOV17" s="33"/>
      <c r="BOW17" s="33"/>
      <c r="BOX17" s="33"/>
      <c r="BOY17" s="33"/>
      <c r="BOZ17" s="33"/>
      <c r="BPA17" s="137"/>
      <c r="BPB17" s="33"/>
      <c r="BPC17" s="33"/>
      <c r="BPD17" s="33"/>
      <c r="BPE17" s="33"/>
      <c r="BPF17" s="33"/>
      <c r="BPG17" s="74"/>
      <c r="BPH17" s="64"/>
      <c r="BPI17" s="64"/>
      <c r="BPJ17" s="64"/>
      <c r="BPK17" s="64"/>
      <c r="BPL17" s="33"/>
      <c r="BPM17" s="137"/>
      <c r="BPN17" s="33"/>
      <c r="BPO17" s="33"/>
      <c r="BPP17" s="33"/>
      <c r="BPQ17" s="33"/>
      <c r="BPR17" s="33"/>
      <c r="BPS17" s="74"/>
      <c r="BPT17" s="33"/>
      <c r="BPU17" s="33"/>
      <c r="BPV17" s="33"/>
      <c r="BPW17" s="33"/>
      <c r="BPX17" s="33"/>
      <c r="BPY17" s="137"/>
      <c r="BPZ17" s="33"/>
      <c r="BQA17" s="33"/>
      <c r="BQB17" s="33"/>
      <c r="BQC17" s="33"/>
      <c r="BQD17" s="33"/>
      <c r="BQE17" s="74"/>
      <c r="BQF17" s="33"/>
      <c r="BQG17" s="33"/>
      <c r="BQH17" s="33"/>
      <c r="BQI17" s="33"/>
      <c r="BQJ17" s="33"/>
      <c r="BQK17" s="34"/>
      <c r="BQL17" s="32"/>
      <c r="BQM17" s="64"/>
      <c r="BQN17" s="64"/>
      <c r="BQO17" s="64"/>
      <c r="BQP17" s="33"/>
      <c r="BQQ17" s="132"/>
      <c r="BQR17" s="33"/>
      <c r="BQS17" s="33"/>
      <c r="BQT17" s="33"/>
      <c r="BQU17" s="33"/>
      <c r="BQV17" s="33"/>
      <c r="BQW17" s="137"/>
      <c r="BQX17" s="33"/>
      <c r="BQY17" s="33"/>
      <c r="BQZ17" s="33"/>
      <c r="BRA17" s="33"/>
      <c r="BRB17" s="33"/>
      <c r="BRC17" s="74"/>
      <c r="BRD17" s="33"/>
      <c r="BRE17" s="33"/>
      <c r="BRF17" s="33"/>
      <c r="BRG17" s="33"/>
      <c r="BRH17" s="33"/>
      <c r="BRI17" s="137"/>
      <c r="BRJ17" s="33"/>
      <c r="BRK17" s="33"/>
      <c r="BRL17" s="33"/>
      <c r="BRM17" s="33"/>
      <c r="BRN17" s="33"/>
      <c r="BRO17" s="74"/>
      <c r="BRP17" s="64"/>
      <c r="BRQ17" s="64"/>
      <c r="BRR17" s="64"/>
      <c r="BRS17" s="64"/>
      <c r="BRT17" s="33"/>
      <c r="BRU17" s="137"/>
      <c r="BRV17" s="33"/>
      <c r="BRW17" s="33"/>
      <c r="BRX17" s="33"/>
      <c r="BRY17" s="33"/>
      <c r="BRZ17" s="33"/>
      <c r="BSA17" s="74"/>
      <c r="BSB17" s="33"/>
      <c r="BSC17" s="33"/>
      <c r="BSD17" s="33"/>
      <c r="BSE17" s="33"/>
      <c r="BSF17" s="33"/>
      <c r="BSG17" s="137"/>
      <c r="BSH17" s="33"/>
      <c r="BSI17" s="33"/>
      <c r="BSJ17" s="33"/>
      <c r="BSK17" s="33"/>
      <c r="BSL17" s="33"/>
      <c r="BSM17" s="74"/>
      <c r="BSN17" s="33"/>
      <c r="BSO17" s="33"/>
      <c r="BSP17" s="33"/>
      <c r="BSQ17" s="33"/>
      <c r="BSR17" s="33"/>
      <c r="BSS17" s="34"/>
      <c r="BST17" s="32"/>
      <c r="BSU17" s="64"/>
      <c r="BSV17" s="64"/>
      <c r="BSW17" s="64"/>
      <c r="BSX17" s="33"/>
      <c r="BSY17" s="132"/>
      <c r="BSZ17" s="33"/>
      <c r="BTA17" s="33"/>
      <c r="BTB17" s="33"/>
      <c r="BTC17" s="33"/>
      <c r="BTD17" s="33"/>
      <c r="BTE17" s="137"/>
      <c r="BTF17" s="33"/>
      <c r="BTG17" s="33"/>
      <c r="BTH17" s="33"/>
      <c r="BTI17" s="33"/>
      <c r="BTJ17" s="33"/>
      <c r="BTK17" s="74"/>
      <c r="BTL17" s="33"/>
      <c r="BTM17" s="33"/>
      <c r="BTN17" s="33"/>
      <c r="BTO17" s="33"/>
      <c r="BTP17" s="33"/>
      <c r="BTQ17" s="137"/>
      <c r="BTR17" s="33"/>
      <c r="BTS17" s="33"/>
      <c r="BTT17" s="33"/>
      <c r="BTU17" s="33"/>
      <c r="BTV17" s="33"/>
      <c r="BTW17" s="74"/>
      <c r="BTX17" s="64"/>
      <c r="BTY17" s="64"/>
      <c r="BTZ17" s="64"/>
      <c r="BUA17" s="64"/>
      <c r="BUB17" s="33"/>
      <c r="BUC17" s="137"/>
      <c r="BUD17" s="33"/>
      <c r="BUE17" s="33"/>
      <c r="BUF17" s="33"/>
      <c r="BUG17" s="33"/>
      <c r="BUH17" s="33"/>
      <c r="BUI17" s="74"/>
      <c r="BUJ17" s="33"/>
      <c r="BUK17" s="33"/>
      <c r="BUL17" s="33"/>
      <c r="BUM17" s="33"/>
      <c r="BUN17" s="33"/>
      <c r="BUO17" s="137"/>
      <c r="BUP17" s="33"/>
      <c r="BUQ17" s="33"/>
      <c r="BUR17" s="33"/>
      <c r="BUS17" s="33"/>
      <c r="BUT17" s="33"/>
      <c r="BUU17" s="74"/>
      <c r="BUV17" s="33"/>
      <c r="BUW17" s="33"/>
      <c r="BUX17" s="33"/>
      <c r="BUY17" s="33"/>
      <c r="BUZ17" s="33"/>
      <c r="BVA17" s="34"/>
      <c r="BVB17" s="32"/>
      <c r="BVC17" s="64"/>
      <c r="BVD17" s="64"/>
      <c r="BVE17" s="64"/>
      <c r="BVF17" s="33"/>
      <c r="BVG17" s="132"/>
      <c r="BVH17" s="33"/>
      <c r="BVI17" s="33"/>
      <c r="BVJ17" s="33"/>
      <c r="BVK17" s="33"/>
      <c r="BVL17" s="33"/>
      <c r="BVM17" s="137"/>
      <c r="BVN17" s="33"/>
      <c r="BVO17" s="33"/>
      <c r="BVP17" s="33"/>
      <c r="BVQ17" s="33"/>
      <c r="BVR17" s="33"/>
      <c r="BVS17" s="74"/>
      <c r="BVT17" s="33"/>
      <c r="BVU17" s="33"/>
      <c r="BVV17" s="33"/>
      <c r="BVW17" s="33"/>
      <c r="BVX17" s="33"/>
      <c r="BVY17" s="137"/>
      <c r="BVZ17" s="33"/>
      <c r="BWA17" s="33"/>
      <c r="BWB17" s="33"/>
      <c r="BWC17" s="33"/>
      <c r="BWD17" s="33"/>
      <c r="BWE17" s="74"/>
      <c r="BWF17" s="64"/>
      <c r="BWG17" s="64"/>
      <c r="BWH17" s="64"/>
      <c r="BWI17" s="64"/>
      <c r="BWJ17" s="33"/>
      <c r="BWK17" s="137"/>
      <c r="BWL17" s="33"/>
      <c r="BWM17" s="33"/>
      <c r="BWN17" s="33"/>
      <c r="BWO17" s="33"/>
      <c r="BWP17" s="33"/>
      <c r="BWQ17" s="74"/>
      <c r="BWR17" s="33"/>
      <c r="BWS17" s="33"/>
      <c r="BWT17" s="33"/>
      <c r="BWU17" s="33"/>
      <c r="BWV17" s="33"/>
      <c r="BWW17" s="137"/>
      <c r="BWX17" s="33"/>
      <c r="BWY17" s="33"/>
      <c r="BWZ17" s="33"/>
      <c r="BXA17" s="33"/>
      <c r="BXB17" s="33"/>
      <c r="BXC17" s="74"/>
      <c r="BXD17" s="33"/>
      <c r="BXE17" s="33"/>
      <c r="BXF17" s="33"/>
      <c r="BXG17" s="33"/>
      <c r="BXH17" s="33"/>
      <c r="BXI17" s="34"/>
      <c r="BXJ17" s="32"/>
      <c r="BXK17" s="64"/>
      <c r="BXL17" s="64"/>
      <c r="BXM17" s="64"/>
      <c r="BXN17" s="33"/>
      <c r="BXO17" s="132"/>
      <c r="BXP17" s="33"/>
      <c r="BXQ17" s="33"/>
      <c r="BXR17" s="33"/>
      <c r="BXS17" s="33"/>
      <c r="BXT17" s="33"/>
      <c r="BXU17" s="137"/>
      <c r="BXV17" s="33"/>
      <c r="BXW17" s="33"/>
      <c r="BXX17" s="33"/>
      <c r="BXY17" s="33"/>
      <c r="BXZ17" s="33"/>
      <c r="BYA17" s="74"/>
      <c r="BYB17" s="33"/>
      <c r="BYC17" s="33"/>
      <c r="BYD17" s="33"/>
      <c r="BYE17" s="33"/>
      <c r="BYF17" s="33"/>
      <c r="BYG17" s="137"/>
      <c r="BYH17" s="33"/>
      <c r="BYI17" s="33"/>
      <c r="BYJ17" s="33"/>
      <c r="BYK17" s="33"/>
      <c r="BYL17" s="33"/>
      <c r="BYM17" s="74"/>
      <c r="BYN17" s="64"/>
      <c r="BYO17" s="64"/>
      <c r="BYP17" s="64"/>
      <c r="BYQ17" s="64"/>
      <c r="BYR17" s="33"/>
      <c r="BYS17" s="137"/>
      <c r="BYT17" s="33"/>
      <c r="BYU17" s="33"/>
      <c r="BYV17" s="33"/>
      <c r="BYW17" s="33"/>
      <c r="BYX17" s="33"/>
      <c r="BYY17" s="74"/>
      <c r="BYZ17" s="33"/>
      <c r="BZA17" s="33"/>
      <c r="BZB17" s="33"/>
      <c r="BZC17" s="33"/>
      <c r="BZD17" s="33"/>
      <c r="BZE17" s="137"/>
      <c r="BZF17" s="33"/>
      <c r="BZG17" s="33"/>
      <c r="BZH17" s="33"/>
      <c r="BZI17" s="33"/>
      <c r="BZJ17" s="33"/>
      <c r="BZK17" s="74"/>
      <c r="BZL17" s="33"/>
      <c r="BZM17" s="33"/>
      <c r="BZN17" s="33"/>
      <c r="BZO17" s="33"/>
      <c r="BZP17" s="33"/>
      <c r="BZQ17" s="34"/>
      <c r="BZR17" s="32"/>
      <c r="BZS17" s="64"/>
      <c r="BZT17" s="64"/>
      <c r="BZU17" s="64"/>
      <c r="BZV17" s="33"/>
      <c r="BZW17" s="132"/>
      <c r="BZX17" s="33"/>
      <c r="BZY17" s="33"/>
      <c r="BZZ17" s="33"/>
      <c r="CAA17" s="33"/>
      <c r="CAB17" s="33"/>
      <c r="CAC17" s="137"/>
      <c r="CAD17" s="33"/>
      <c r="CAE17" s="33"/>
      <c r="CAF17" s="33"/>
      <c r="CAG17" s="33"/>
      <c r="CAH17" s="33"/>
      <c r="CAI17" s="74"/>
      <c r="CAJ17" s="33"/>
      <c r="CAK17" s="33"/>
      <c r="CAL17" s="33"/>
      <c r="CAM17" s="33"/>
      <c r="CAN17" s="33"/>
      <c r="CAO17" s="137"/>
      <c r="CAP17" s="33"/>
      <c r="CAQ17" s="33"/>
      <c r="CAR17" s="33"/>
      <c r="CAS17" s="33"/>
      <c r="CAT17" s="33"/>
      <c r="CAU17" s="74"/>
      <c r="CAV17" s="64"/>
      <c r="CAW17" s="64"/>
      <c r="CAX17" s="64"/>
      <c r="CAY17" s="64"/>
      <c r="CAZ17" s="33"/>
      <c r="CBA17" s="137"/>
      <c r="CBB17" s="33"/>
      <c r="CBC17" s="33"/>
      <c r="CBD17" s="33"/>
      <c r="CBE17" s="33"/>
      <c r="CBF17" s="33"/>
      <c r="CBG17" s="74"/>
      <c r="CBH17" s="33"/>
      <c r="CBI17" s="33"/>
      <c r="CBJ17" s="33"/>
      <c r="CBK17" s="33"/>
      <c r="CBL17" s="33"/>
      <c r="CBM17" s="137"/>
      <c r="CBN17" s="33"/>
      <c r="CBO17" s="33"/>
      <c r="CBP17" s="33"/>
      <c r="CBQ17" s="33"/>
      <c r="CBR17" s="33"/>
      <c r="CBS17" s="74"/>
      <c r="CBT17" s="33"/>
      <c r="CBU17" s="33"/>
      <c r="CBV17" s="33"/>
      <c r="CBW17" s="33"/>
      <c r="CBX17" s="33"/>
      <c r="CBY17" s="34"/>
      <c r="CBZ17" s="32"/>
      <c r="CCA17" s="64"/>
      <c r="CCB17" s="64"/>
      <c r="CCC17" s="64"/>
      <c r="CCD17" s="33"/>
      <c r="CCE17" s="132"/>
      <c r="CCF17" s="33"/>
      <c r="CCG17" s="33"/>
      <c r="CCH17" s="33"/>
      <c r="CCI17" s="33"/>
      <c r="CCJ17" s="33"/>
      <c r="CCK17" s="137"/>
      <c r="CCL17" s="33"/>
      <c r="CCM17" s="33"/>
      <c r="CCN17" s="33"/>
      <c r="CCO17" s="33"/>
      <c r="CCP17" s="33"/>
      <c r="CCQ17" s="74"/>
      <c r="CCR17" s="33"/>
      <c r="CCS17" s="33"/>
      <c r="CCT17" s="33"/>
      <c r="CCU17" s="33"/>
      <c r="CCV17" s="33"/>
      <c r="CCW17" s="137"/>
      <c r="CCX17" s="33"/>
      <c r="CCY17" s="33"/>
      <c r="CCZ17" s="33"/>
      <c r="CDA17" s="33"/>
      <c r="CDB17" s="33"/>
      <c r="CDC17" s="74"/>
      <c r="CDD17" s="64"/>
      <c r="CDE17" s="64"/>
      <c r="CDF17" s="64"/>
      <c r="CDG17" s="64"/>
      <c r="CDH17" s="33"/>
      <c r="CDI17" s="137"/>
      <c r="CDJ17" s="33"/>
      <c r="CDK17" s="33"/>
      <c r="CDL17" s="33"/>
      <c r="CDM17" s="33"/>
      <c r="CDN17" s="33"/>
      <c r="CDO17" s="74"/>
      <c r="CDP17" s="33"/>
      <c r="CDQ17" s="33"/>
      <c r="CDR17" s="33"/>
      <c r="CDS17" s="33"/>
      <c r="CDT17" s="33"/>
      <c r="CDU17" s="137"/>
      <c r="CDV17" s="33"/>
      <c r="CDW17" s="33"/>
      <c r="CDX17" s="33"/>
      <c r="CDY17" s="33"/>
      <c r="CDZ17" s="33"/>
      <c r="CEA17" s="74"/>
      <c r="CEB17" s="33"/>
      <c r="CEC17" s="33"/>
      <c r="CED17" s="33"/>
      <c r="CEE17" s="33"/>
      <c r="CEF17" s="33"/>
      <c r="CEG17" s="34"/>
      <c r="CEH17" s="32"/>
      <c r="CEI17" s="64"/>
      <c r="CEJ17" s="64"/>
      <c r="CEK17" s="64"/>
      <c r="CEL17" s="33"/>
      <c r="CEM17" s="132"/>
      <c r="CEN17" s="33"/>
      <c r="CEO17" s="33"/>
      <c r="CEP17" s="33"/>
      <c r="CEQ17" s="33"/>
      <c r="CER17" s="33"/>
      <c r="CES17" s="137"/>
      <c r="CET17" s="33"/>
      <c r="CEU17" s="33"/>
      <c r="CEV17" s="33"/>
      <c r="CEW17" s="33"/>
      <c r="CEX17" s="33"/>
      <c r="CEY17" s="74"/>
      <c r="CEZ17" s="33"/>
      <c r="CFA17" s="33"/>
      <c r="CFB17" s="33"/>
      <c r="CFC17" s="33"/>
      <c r="CFD17" s="33"/>
      <c r="CFE17" s="137"/>
      <c r="CFF17" s="33"/>
      <c r="CFG17" s="33"/>
      <c r="CFH17" s="33"/>
      <c r="CFI17" s="33"/>
      <c r="CFJ17" s="33"/>
      <c r="CFK17" s="74"/>
      <c r="CFL17" s="64"/>
      <c r="CFM17" s="64"/>
      <c r="CFN17" s="64"/>
      <c r="CFO17" s="64"/>
      <c r="CFP17" s="33"/>
      <c r="CFQ17" s="137"/>
      <c r="CFR17" s="33"/>
      <c r="CFS17" s="33"/>
      <c r="CFT17" s="33"/>
      <c r="CFU17" s="33"/>
      <c r="CFV17" s="33"/>
      <c r="CFW17" s="74"/>
      <c r="CFX17" s="33"/>
      <c r="CFY17" s="33"/>
      <c r="CFZ17" s="33"/>
      <c r="CGA17" s="33"/>
      <c r="CGB17" s="33"/>
      <c r="CGC17" s="137"/>
      <c r="CGD17" s="33"/>
      <c r="CGE17" s="33"/>
      <c r="CGF17" s="33"/>
      <c r="CGG17" s="33"/>
      <c r="CGH17" s="33"/>
      <c r="CGI17" s="74"/>
      <c r="CGJ17" s="33"/>
      <c r="CGK17" s="33"/>
      <c r="CGL17" s="33"/>
      <c r="CGM17" s="33"/>
      <c r="CGN17" s="33"/>
      <c r="CGO17" s="34"/>
      <c r="CGP17" s="32"/>
      <c r="CGQ17" s="64"/>
      <c r="CGR17" s="64"/>
      <c r="CGS17" s="64"/>
      <c r="CGT17" s="33"/>
      <c r="CGU17" s="132"/>
      <c r="CGV17" s="33"/>
      <c r="CGW17" s="33"/>
      <c r="CGX17" s="33"/>
      <c r="CGY17" s="33"/>
      <c r="CGZ17" s="33"/>
      <c r="CHA17" s="137"/>
      <c r="CHB17" s="33"/>
      <c r="CHC17" s="33"/>
      <c r="CHD17" s="33"/>
      <c r="CHE17" s="33"/>
      <c r="CHF17" s="33"/>
      <c r="CHG17" s="74"/>
      <c r="CHH17" s="33"/>
      <c r="CHI17" s="33"/>
      <c r="CHJ17" s="33"/>
      <c r="CHK17" s="33"/>
      <c r="CHL17" s="33"/>
      <c r="CHM17" s="137"/>
      <c r="CHN17" s="33"/>
      <c r="CHO17" s="33"/>
      <c r="CHP17" s="33"/>
      <c r="CHQ17" s="33"/>
      <c r="CHR17" s="33"/>
      <c r="CHS17" s="74"/>
      <c r="CHT17" s="64"/>
      <c r="CHU17" s="64"/>
      <c r="CHV17" s="64"/>
      <c r="CHW17" s="64"/>
      <c r="CHX17" s="33"/>
      <c r="CHY17" s="137"/>
      <c r="CHZ17" s="33"/>
      <c r="CIA17" s="33"/>
      <c r="CIB17" s="33"/>
      <c r="CIC17" s="33"/>
      <c r="CID17" s="33"/>
      <c r="CIE17" s="74"/>
      <c r="CIF17" s="33"/>
      <c r="CIG17" s="33"/>
      <c r="CIH17" s="33"/>
      <c r="CII17" s="33"/>
      <c r="CIJ17" s="33"/>
      <c r="CIK17" s="137"/>
      <c r="CIL17" s="33"/>
      <c r="CIM17" s="33"/>
      <c r="CIN17" s="33"/>
      <c r="CIO17" s="33"/>
      <c r="CIP17" s="33"/>
      <c r="CIQ17" s="74"/>
      <c r="CIR17" s="33"/>
      <c r="CIS17" s="33"/>
      <c r="CIT17" s="33"/>
      <c r="CIU17" s="33"/>
      <c r="CIV17" s="33"/>
      <c r="CIW17" s="34"/>
      <c r="CIX17" s="32"/>
      <c r="CIY17" s="64"/>
      <c r="CIZ17" s="64"/>
      <c r="CJA17" s="64"/>
      <c r="CJB17" s="33"/>
      <c r="CJC17" s="132"/>
      <c r="CJD17" s="33"/>
      <c r="CJE17" s="33"/>
      <c r="CJF17" s="33"/>
      <c r="CJG17" s="33"/>
      <c r="CJH17" s="33"/>
      <c r="CJI17" s="137"/>
      <c r="CJJ17" s="33"/>
      <c r="CJK17" s="33"/>
      <c r="CJL17" s="33"/>
      <c r="CJM17" s="33"/>
      <c r="CJN17" s="33"/>
      <c r="CJO17" s="74"/>
      <c r="CJP17" s="33"/>
      <c r="CJQ17" s="33"/>
      <c r="CJR17" s="33"/>
      <c r="CJS17" s="33"/>
      <c r="CJT17" s="33"/>
      <c r="CJU17" s="137"/>
      <c r="CJV17" s="33"/>
      <c r="CJW17" s="33"/>
      <c r="CJX17" s="33"/>
      <c r="CJY17" s="33"/>
      <c r="CJZ17" s="33"/>
      <c r="CKA17" s="74"/>
      <c r="CKB17" s="64"/>
      <c r="CKC17" s="64"/>
      <c r="CKD17" s="64"/>
      <c r="CKE17" s="64"/>
      <c r="CKF17" s="33"/>
      <c r="CKG17" s="137"/>
      <c r="CKH17" s="33"/>
      <c r="CKI17" s="33"/>
      <c r="CKJ17" s="33"/>
      <c r="CKK17" s="33"/>
      <c r="CKL17" s="33"/>
      <c r="CKM17" s="74"/>
      <c r="CKN17" s="33"/>
      <c r="CKO17" s="33"/>
      <c r="CKP17" s="33"/>
      <c r="CKQ17" s="33"/>
      <c r="CKR17" s="33"/>
      <c r="CKS17" s="137"/>
      <c r="CKT17" s="33"/>
      <c r="CKU17" s="33"/>
      <c r="CKV17" s="33"/>
      <c r="CKW17" s="33"/>
      <c r="CKX17" s="33"/>
      <c r="CKY17" s="74"/>
      <c r="CKZ17" s="33"/>
      <c r="CLA17" s="33"/>
      <c r="CLB17" s="33"/>
      <c r="CLC17" s="33"/>
      <c r="CLD17" s="33"/>
      <c r="CLE17" s="34"/>
      <c r="CLF17" s="32"/>
      <c r="CLG17" s="64"/>
      <c r="CLH17" s="64"/>
      <c r="CLI17" s="64"/>
      <c r="CLJ17" s="33"/>
      <c r="CLK17" s="132"/>
      <c r="CLL17" s="33"/>
      <c r="CLM17" s="33"/>
      <c r="CLN17" s="33"/>
      <c r="CLO17" s="33"/>
      <c r="CLP17" s="33"/>
      <c r="CLQ17" s="137"/>
      <c r="CLR17" s="33"/>
      <c r="CLS17" s="33"/>
      <c r="CLT17" s="33"/>
      <c r="CLU17" s="33"/>
      <c r="CLV17" s="33"/>
      <c r="CLW17" s="74"/>
      <c r="CLX17" s="33"/>
      <c r="CLY17" s="33"/>
      <c r="CLZ17" s="33"/>
      <c r="CMA17" s="33"/>
      <c r="CMB17" s="33"/>
      <c r="CMC17" s="137"/>
      <c r="CMD17" s="33"/>
      <c r="CME17" s="33"/>
      <c r="CMF17" s="33"/>
      <c r="CMG17" s="33"/>
      <c r="CMH17" s="33"/>
      <c r="CMI17" s="74"/>
      <c r="CMJ17" s="64"/>
      <c r="CMK17" s="64"/>
      <c r="CML17" s="64"/>
      <c r="CMM17" s="64"/>
      <c r="CMN17" s="33"/>
      <c r="CMO17" s="137"/>
      <c r="CMP17" s="33"/>
      <c r="CMQ17" s="33"/>
      <c r="CMR17" s="33"/>
      <c r="CMS17" s="33"/>
      <c r="CMT17" s="33"/>
      <c r="CMU17" s="74"/>
      <c r="CMV17" s="33"/>
      <c r="CMW17" s="33"/>
      <c r="CMX17" s="33"/>
      <c r="CMY17" s="33"/>
      <c r="CMZ17" s="33"/>
      <c r="CNA17" s="137"/>
      <c r="CNB17" s="33"/>
      <c r="CNC17" s="33"/>
      <c r="CND17" s="33"/>
      <c r="CNE17" s="33"/>
      <c r="CNF17" s="33"/>
      <c r="CNG17" s="74"/>
      <c r="CNH17" s="33"/>
      <c r="CNI17" s="33"/>
      <c r="CNJ17" s="33"/>
      <c r="CNK17" s="33"/>
      <c r="CNL17" s="33"/>
      <c r="CNM17" s="34"/>
      <c r="CNN17" s="32"/>
      <c r="CNO17" s="64"/>
      <c r="CNP17" s="64"/>
      <c r="CNQ17" s="64"/>
      <c r="CNR17" s="33"/>
      <c r="CNS17" s="132"/>
      <c r="CNT17" s="33"/>
      <c r="CNU17" s="33"/>
      <c r="CNV17" s="33"/>
      <c r="CNW17" s="33"/>
      <c r="CNX17" s="33"/>
      <c r="CNY17" s="137"/>
      <c r="CNZ17" s="33"/>
      <c r="COA17" s="33"/>
      <c r="COB17" s="33"/>
      <c r="COC17" s="33"/>
      <c r="COD17" s="33"/>
      <c r="COE17" s="74"/>
      <c r="COF17" s="33"/>
      <c r="COG17" s="33"/>
      <c r="COH17" s="33"/>
      <c r="COI17" s="33"/>
      <c r="COJ17" s="33"/>
      <c r="COK17" s="137"/>
      <c r="COL17" s="33"/>
      <c r="COM17" s="33"/>
      <c r="CON17" s="33"/>
      <c r="COO17" s="33"/>
      <c r="COP17" s="33"/>
      <c r="COQ17" s="74"/>
      <c r="COR17" s="64"/>
      <c r="COS17" s="64"/>
      <c r="COT17" s="64"/>
      <c r="COU17" s="64"/>
      <c r="COV17" s="33"/>
      <c r="COW17" s="137"/>
      <c r="COX17" s="33"/>
      <c r="COY17" s="33"/>
      <c r="COZ17" s="33"/>
      <c r="CPA17" s="33"/>
      <c r="CPB17" s="33"/>
      <c r="CPC17" s="74"/>
      <c r="CPD17" s="33"/>
      <c r="CPE17" s="33"/>
      <c r="CPF17" s="33"/>
      <c r="CPG17" s="33"/>
      <c r="CPH17" s="33"/>
      <c r="CPI17" s="137"/>
      <c r="CPJ17" s="33"/>
      <c r="CPK17" s="33"/>
      <c r="CPL17" s="33"/>
      <c r="CPM17" s="33"/>
      <c r="CPN17" s="33"/>
      <c r="CPO17" s="74"/>
      <c r="CPP17" s="33"/>
      <c r="CPQ17" s="33"/>
      <c r="CPR17" s="33"/>
      <c r="CPS17" s="33"/>
      <c r="CPT17" s="33"/>
      <c r="CPU17" s="34"/>
      <c r="CPV17" s="32"/>
      <c r="CPW17" s="64"/>
      <c r="CPX17" s="64"/>
      <c r="CPY17" s="64"/>
      <c r="CPZ17" s="33"/>
      <c r="CQA17" s="132"/>
      <c r="CQB17" s="33"/>
      <c r="CQC17" s="33"/>
      <c r="CQD17" s="33"/>
      <c r="CQE17" s="33"/>
      <c r="CQF17" s="33"/>
      <c r="CQG17" s="137"/>
      <c r="CQH17" s="33"/>
      <c r="CQI17" s="33"/>
      <c r="CQJ17" s="33"/>
      <c r="CQK17" s="33"/>
      <c r="CQL17" s="33"/>
      <c r="CQM17" s="74"/>
      <c r="CQN17" s="33"/>
      <c r="CQO17" s="33"/>
      <c r="CQP17" s="33"/>
      <c r="CQQ17" s="33"/>
      <c r="CQR17" s="33"/>
      <c r="CQS17" s="137"/>
      <c r="CQT17" s="33"/>
      <c r="CQU17" s="33"/>
      <c r="CQV17" s="33"/>
      <c r="CQW17" s="33"/>
      <c r="CQX17" s="33"/>
      <c r="CQY17" s="74"/>
      <c r="CQZ17" s="64"/>
      <c r="CRA17" s="64"/>
      <c r="CRB17" s="64"/>
      <c r="CRC17" s="64"/>
      <c r="CRD17" s="33"/>
      <c r="CRE17" s="137"/>
      <c r="CRF17" s="33"/>
      <c r="CRG17" s="33"/>
      <c r="CRH17" s="33"/>
      <c r="CRI17" s="33"/>
      <c r="CRJ17" s="33"/>
      <c r="CRK17" s="74"/>
      <c r="CRL17" s="33"/>
      <c r="CRM17" s="33"/>
      <c r="CRN17" s="33"/>
      <c r="CRO17" s="33"/>
      <c r="CRP17" s="33"/>
      <c r="CRQ17" s="137"/>
      <c r="CRR17" s="33"/>
      <c r="CRS17" s="33"/>
      <c r="CRT17" s="33"/>
      <c r="CRU17" s="33"/>
      <c r="CRV17" s="33"/>
      <c r="CRW17" s="74"/>
      <c r="CRX17" s="33"/>
      <c r="CRY17" s="33"/>
      <c r="CRZ17" s="33"/>
      <c r="CSA17" s="33"/>
      <c r="CSB17" s="33"/>
      <c r="CSC17" s="34"/>
      <c r="CSD17" s="90"/>
    </row>
    <row r="18" spans="1:2526" ht="20.100000000000001" customHeight="1" x14ac:dyDescent="0.3">
      <c r="A18" s="100" t="s">
        <v>19</v>
      </c>
      <c r="B18" s="63" t="str">
        <f>IF(LEN(C21)=0,"",C21)</f>
        <v>Informer - Préformation au VBA</v>
      </c>
      <c r="C18" s="213"/>
      <c r="D18" s="148" t="str">
        <f t="shared" si="0"/>
        <v>2h15min</v>
      </c>
      <c r="E18" s="35">
        <v>27</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84"/>
      <c r="BO18" s="185"/>
      <c r="BP18" s="185"/>
      <c r="BQ18" s="185"/>
      <c r="BR18" s="186"/>
      <c r="BS18" s="187"/>
      <c r="BT18" s="186"/>
      <c r="BU18" s="186"/>
      <c r="BV18" s="186"/>
      <c r="BW18" s="186"/>
      <c r="BX18" s="186"/>
      <c r="BY18" s="188"/>
      <c r="BZ18" s="186"/>
      <c r="CA18" s="186"/>
      <c r="CB18" s="186"/>
      <c r="CC18" s="186"/>
      <c r="CD18" s="186"/>
      <c r="CE18" s="189"/>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184"/>
      <c r="DW18" s="185"/>
      <c r="DX18" s="185"/>
      <c r="DY18" s="185"/>
      <c r="DZ18" s="186"/>
      <c r="EA18" s="187"/>
      <c r="EB18" s="186"/>
      <c r="EC18" s="186"/>
      <c r="ED18" s="186"/>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36"/>
      <c r="BLW18" s="65"/>
      <c r="BLX18" s="65"/>
      <c r="BLY18" s="65"/>
      <c r="BLZ18" s="37"/>
      <c r="BMA18" s="133"/>
      <c r="BMB18" s="37"/>
      <c r="BMC18" s="37"/>
      <c r="BMD18" s="37"/>
      <c r="BME18" s="37"/>
      <c r="BMF18" s="37"/>
      <c r="BMG18" s="138"/>
      <c r="BMH18" s="37"/>
      <c r="BMI18" s="37"/>
      <c r="BMJ18" s="37"/>
      <c r="BMK18" s="37"/>
      <c r="BML18" s="37"/>
      <c r="BMM18" s="75"/>
      <c r="BMN18" s="37"/>
      <c r="BMO18" s="37"/>
      <c r="BMP18" s="37"/>
      <c r="BMQ18" s="37"/>
      <c r="BMR18" s="37"/>
      <c r="BMS18" s="138"/>
      <c r="BMT18" s="37"/>
      <c r="BMU18" s="37"/>
      <c r="BMV18" s="37"/>
      <c r="BMW18" s="37"/>
      <c r="BMX18" s="37"/>
      <c r="BMY18" s="75"/>
      <c r="BMZ18" s="65"/>
      <c r="BNA18" s="65"/>
      <c r="BNB18" s="65"/>
      <c r="BNC18" s="65"/>
      <c r="BND18" s="37"/>
      <c r="BNE18" s="138"/>
      <c r="BNF18" s="37"/>
      <c r="BNG18" s="37"/>
      <c r="BNH18" s="37"/>
      <c r="BNI18" s="37"/>
      <c r="BNJ18" s="37"/>
      <c r="BNK18" s="75"/>
      <c r="BNL18" s="37"/>
      <c r="BNM18" s="37"/>
      <c r="BNN18" s="37"/>
      <c r="BNO18" s="37"/>
      <c r="BNP18" s="37"/>
      <c r="BNQ18" s="138"/>
      <c r="BNR18" s="37"/>
      <c r="BNS18" s="37"/>
      <c r="BNT18" s="37"/>
      <c r="BNU18" s="37"/>
      <c r="BNV18" s="37"/>
      <c r="BNW18" s="75"/>
      <c r="BNX18" s="37"/>
      <c r="BNY18" s="37"/>
      <c r="BNZ18" s="37"/>
      <c r="BOA18" s="37"/>
      <c r="BOB18" s="37"/>
      <c r="BOC18" s="38"/>
      <c r="BOD18" s="36"/>
      <c r="BOE18" s="65"/>
      <c r="BOF18" s="65"/>
      <c r="BOG18" s="65"/>
      <c r="BOH18" s="37"/>
      <c r="BOI18" s="133"/>
      <c r="BOJ18" s="37"/>
      <c r="BOK18" s="37"/>
      <c r="BOL18" s="37"/>
      <c r="BOM18" s="37"/>
      <c r="BON18" s="37"/>
      <c r="BOO18" s="138"/>
      <c r="BOP18" s="37"/>
      <c r="BOQ18" s="37"/>
      <c r="BOR18" s="37"/>
      <c r="BOS18" s="37"/>
      <c r="BOT18" s="37"/>
      <c r="BOU18" s="75"/>
      <c r="BOV18" s="37"/>
      <c r="BOW18" s="37"/>
      <c r="BOX18" s="37"/>
      <c r="BOY18" s="37"/>
      <c r="BOZ18" s="37"/>
      <c r="BPA18" s="138"/>
      <c r="BPB18" s="37"/>
      <c r="BPC18" s="37"/>
      <c r="BPD18" s="37"/>
      <c r="BPE18" s="37"/>
      <c r="BPF18" s="37"/>
      <c r="BPG18" s="75"/>
      <c r="BPH18" s="65"/>
      <c r="BPI18" s="65"/>
      <c r="BPJ18" s="65"/>
      <c r="BPK18" s="65"/>
      <c r="BPL18" s="37"/>
      <c r="BPM18" s="138"/>
      <c r="BPN18" s="37"/>
      <c r="BPO18" s="37"/>
      <c r="BPP18" s="37"/>
      <c r="BPQ18" s="37"/>
      <c r="BPR18" s="37"/>
      <c r="BPS18" s="75"/>
      <c r="BPT18" s="37"/>
      <c r="BPU18" s="37"/>
      <c r="BPV18" s="37"/>
      <c r="BPW18" s="37"/>
      <c r="BPX18" s="37"/>
      <c r="BPY18" s="138"/>
      <c r="BPZ18" s="37"/>
      <c r="BQA18" s="37"/>
      <c r="BQB18" s="37"/>
      <c r="BQC18" s="37"/>
      <c r="BQD18" s="37"/>
      <c r="BQE18" s="75"/>
      <c r="BQF18" s="37"/>
      <c r="BQG18" s="37"/>
      <c r="BQH18" s="37"/>
      <c r="BQI18" s="37"/>
      <c r="BQJ18" s="37"/>
      <c r="BQK18" s="38"/>
      <c r="BQL18" s="36"/>
      <c r="BQM18" s="65"/>
      <c r="BQN18" s="65"/>
      <c r="BQO18" s="65"/>
      <c r="BQP18" s="37"/>
      <c r="BQQ18" s="133"/>
      <c r="BQR18" s="37"/>
      <c r="BQS18" s="37"/>
      <c r="BQT18" s="37"/>
      <c r="BQU18" s="37"/>
      <c r="BQV18" s="37"/>
      <c r="BQW18" s="138"/>
      <c r="BQX18" s="37"/>
      <c r="BQY18" s="37"/>
      <c r="BQZ18" s="37"/>
      <c r="BRA18" s="37"/>
      <c r="BRB18" s="37"/>
      <c r="BRC18" s="75"/>
      <c r="BRD18" s="37"/>
      <c r="BRE18" s="37"/>
      <c r="BRF18" s="37"/>
      <c r="BRG18" s="37"/>
      <c r="BRH18" s="37"/>
      <c r="BRI18" s="138"/>
      <c r="BRJ18" s="37"/>
      <c r="BRK18" s="37"/>
      <c r="BRL18" s="37"/>
      <c r="BRM18" s="37"/>
      <c r="BRN18" s="37"/>
      <c r="BRO18" s="75"/>
      <c r="BRP18" s="65"/>
      <c r="BRQ18" s="65"/>
      <c r="BRR18" s="65"/>
      <c r="BRS18" s="65"/>
      <c r="BRT18" s="37"/>
      <c r="BRU18" s="138"/>
      <c r="BRV18" s="37"/>
      <c r="BRW18" s="37"/>
      <c r="BRX18" s="37"/>
      <c r="BRY18" s="37"/>
      <c r="BRZ18" s="37"/>
      <c r="BSA18" s="75"/>
      <c r="BSB18" s="37"/>
      <c r="BSC18" s="37"/>
      <c r="BSD18" s="37"/>
      <c r="BSE18" s="37"/>
      <c r="BSF18" s="37"/>
      <c r="BSG18" s="138"/>
      <c r="BSH18" s="37"/>
      <c r="BSI18" s="37"/>
      <c r="BSJ18" s="37"/>
      <c r="BSK18" s="37"/>
      <c r="BSL18" s="37"/>
      <c r="BSM18" s="75"/>
      <c r="BSN18" s="37"/>
      <c r="BSO18" s="37"/>
      <c r="BSP18" s="37"/>
      <c r="BSQ18" s="37"/>
      <c r="BSR18" s="37"/>
      <c r="BSS18" s="38"/>
      <c r="BST18" s="36"/>
      <c r="BSU18" s="65"/>
      <c r="BSV18" s="65"/>
      <c r="BSW18" s="65"/>
      <c r="BSX18" s="37"/>
      <c r="BSY18" s="133"/>
      <c r="BSZ18" s="37"/>
      <c r="BTA18" s="37"/>
      <c r="BTB18" s="37"/>
      <c r="BTC18" s="37"/>
      <c r="BTD18" s="37"/>
      <c r="BTE18" s="138"/>
      <c r="BTF18" s="37"/>
      <c r="BTG18" s="37"/>
      <c r="BTH18" s="37"/>
      <c r="BTI18" s="37"/>
      <c r="BTJ18" s="37"/>
      <c r="BTK18" s="75"/>
      <c r="BTL18" s="37"/>
      <c r="BTM18" s="37"/>
      <c r="BTN18" s="37"/>
      <c r="BTO18" s="37"/>
      <c r="BTP18" s="37"/>
      <c r="BTQ18" s="138"/>
      <c r="BTR18" s="37"/>
      <c r="BTS18" s="37"/>
      <c r="BTT18" s="37"/>
      <c r="BTU18" s="37"/>
      <c r="BTV18" s="37"/>
      <c r="BTW18" s="75"/>
      <c r="BTX18" s="65"/>
      <c r="BTY18" s="65"/>
      <c r="BTZ18" s="65"/>
      <c r="BUA18" s="65"/>
      <c r="BUB18" s="37"/>
      <c r="BUC18" s="138"/>
      <c r="BUD18" s="37"/>
      <c r="BUE18" s="37"/>
      <c r="BUF18" s="37"/>
      <c r="BUG18" s="37"/>
      <c r="BUH18" s="37"/>
      <c r="BUI18" s="75"/>
      <c r="BUJ18" s="37"/>
      <c r="BUK18" s="37"/>
      <c r="BUL18" s="37"/>
      <c r="BUM18" s="37"/>
      <c r="BUN18" s="37"/>
      <c r="BUO18" s="138"/>
      <c r="BUP18" s="37"/>
      <c r="BUQ18" s="37"/>
      <c r="BUR18" s="37"/>
      <c r="BUS18" s="37"/>
      <c r="BUT18" s="37"/>
      <c r="BUU18" s="75"/>
      <c r="BUV18" s="37"/>
      <c r="BUW18" s="37"/>
      <c r="BUX18" s="37"/>
      <c r="BUY18" s="37"/>
      <c r="BUZ18" s="37"/>
      <c r="BVA18" s="38"/>
      <c r="BVB18" s="36"/>
      <c r="BVC18" s="65"/>
      <c r="BVD18" s="65"/>
      <c r="BVE18" s="65"/>
      <c r="BVF18" s="37"/>
      <c r="BVG18" s="133"/>
      <c r="BVH18" s="37"/>
      <c r="BVI18" s="37"/>
      <c r="BVJ18" s="37"/>
      <c r="BVK18" s="37"/>
      <c r="BVL18" s="37"/>
      <c r="BVM18" s="138"/>
      <c r="BVN18" s="37"/>
      <c r="BVO18" s="37"/>
      <c r="BVP18" s="37"/>
      <c r="BVQ18" s="37"/>
      <c r="BVR18" s="37"/>
      <c r="BVS18" s="75"/>
      <c r="BVT18" s="37"/>
      <c r="BVU18" s="37"/>
      <c r="BVV18" s="37"/>
      <c r="BVW18" s="37"/>
      <c r="BVX18" s="37"/>
      <c r="BVY18" s="138"/>
      <c r="BVZ18" s="37"/>
      <c r="BWA18" s="37"/>
      <c r="BWB18" s="37"/>
      <c r="BWC18" s="37"/>
      <c r="BWD18" s="37"/>
      <c r="BWE18" s="75"/>
      <c r="BWF18" s="65"/>
      <c r="BWG18" s="65"/>
      <c r="BWH18" s="65"/>
      <c r="BWI18" s="65"/>
      <c r="BWJ18" s="37"/>
      <c r="BWK18" s="138"/>
      <c r="BWL18" s="37"/>
      <c r="BWM18" s="37"/>
      <c r="BWN18" s="37"/>
      <c r="BWO18" s="37"/>
      <c r="BWP18" s="37"/>
      <c r="BWQ18" s="75"/>
      <c r="BWR18" s="37"/>
      <c r="BWS18" s="37"/>
      <c r="BWT18" s="37"/>
      <c r="BWU18" s="37"/>
      <c r="BWV18" s="37"/>
      <c r="BWW18" s="138"/>
      <c r="BWX18" s="37"/>
      <c r="BWY18" s="37"/>
      <c r="BWZ18" s="37"/>
      <c r="BXA18" s="37"/>
      <c r="BXB18" s="37"/>
      <c r="BXC18" s="75"/>
      <c r="BXD18" s="37"/>
      <c r="BXE18" s="37"/>
      <c r="BXF18" s="37"/>
      <c r="BXG18" s="37"/>
      <c r="BXH18" s="37"/>
      <c r="BXI18" s="38"/>
      <c r="BXJ18" s="36"/>
      <c r="BXK18" s="65"/>
      <c r="BXL18" s="65"/>
      <c r="BXM18" s="65"/>
      <c r="BXN18" s="37"/>
      <c r="BXO18" s="133"/>
      <c r="BXP18" s="37"/>
      <c r="BXQ18" s="37"/>
      <c r="BXR18" s="37"/>
      <c r="BXS18" s="37"/>
      <c r="BXT18" s="37"/>
      <c r="BXU18" s="138"/>
      <c r="BXV18" s="37"/>
      <c r="BXW18" s="37"/>
      <c r="BXX18" s="37"/>
      <c r="BXY18" s="37"/>
      <c r="BXZ18" s="37"/>
      <c r="BYA18" s="75"/>
      <c r="BYB18" s="37"/>
      <c r="BYC18" s="37"/>
      <c r="BYD18" s="37"/>
      <c r="BYE18" s="37"/>
      <c r="BYF18" s="37"/>
      <c r="BYG18" s="138"/>
      <c r="BYH18" s="37"/>
      <c r="BYI18" s="37"/>
      <c r="BYJ18" s="37"/>
      <c r="BYK18" s="37"/>
      <c r="BYL18" s="37"/>
      <c r="BYM18" s="75"/>
      <c r="BYN18" s="65"/>
      <c r="BYO18" s="65"/>
      <c r="BYP18" s="65"/>
      <c r="BYQ18" s="65"/>
      <c r="BYR18" s="37"/>
      <c r="BYS18" s="138"/>
      <c r="BYT18" s="37"/>
      <c r="BYU18" s="37"/>
      <c r="BYV18" s="37"/>
      <c r="BYW18" s="37"/>
      <c r="BYX18" s="37"/>
      <c r="BYY18" s="75"/>
      <c r="BYZ18" s="37"/>
      <c r="BZA18" s="37"/>
      <c r="BZB18" s="37"/>
      <c r="BZC18" s="37"/>
      <c r="BZD18" s="37"/>
      <c r="BZE18" s="138"/>
      <c r="BZF18" s="37"/>
      <c r="BZG18" s="37"/>
      <c r="BZH18" s="37"/>
      <c r="BZI18" s="37"/>
      <c r="BZJ18" s="37"/>
      <c r="BZK18" s="75"/>
      <c r="BZL18" s="37"/>
      <c r="BZM18" s="37"/>
      <c r="BZN18" s="37"/>
      <c r="BZO18" s="37"/>
      <c r="BZP18" s="37"/>
      <c r="BZQ18" s="38"/>
      <c r="BZR18" s="36"/>
      <c r="BZS18" s="65"/>
      <c r="BZT18" s="65"/>
      <c r="BZU18" s="65"/>
      <c r="BZV18" s="37"/>
      <c r="BZW18" s="133"/>
      <c r="BZX18" s="37"/>
      <c r="BZY18" s="37"/>
      <c r="BZZ18" s="37"/>
      <c r="CAA18" s="37"/>
      <c r="CAB18" s="37"/>
      <c r="CAC18" s="138"/>
      <c r="CAD18" s="37"/>
      <c r="CAE18" s="37"/>
      <c r="CAF18" s="37"/>
      <c r="CAG18" s="37"/>
      <c r="CAH18" s="37"/>
      <c r="CAI18" s="75"/>
      <c r="CAJ18" s="37"/>
      <c r="CAK18" s="37"/>
      <c r="CAL18" s="37"/>
      <c r="CAM18" s="37"/>
      <c r="CAN18" s="37"/>
      <c r="CAO18" s="138"/>
      <c r="CAP18" s="37"/>
      <c r="CAQ18" s="37"/>
      <c r="CAR18" s="37"/>
      <c r="CAS18" s="37"/>
      <c r="CAT18" s="37"/>
      <c r="CAU18" s="75"/>
      <c r="CAV18" s="65"/>
      <c r="CAW18" s="65"/>
      <c r="CAX18" s="65"/>
      <c r="CAY18" s="65"/>
      <c r="CAZ18" s="37"/>
      <c r="CBA18" s="138"/>
      <c r="CBB18" s="37"/>
      <c r="CBC18" s="37"/>
      <c r="CBD18" s="37"/>
      <c r="CBE18" s="37"/>
      <c r="CBF18" s="37"/>
      <c r="CBG18" s="75"/>
      <c r="CBH18" s="37"/>
      <c r="CBI18" s="37"/>
      <c r="CBJ18" s="37"/>
      <c r="CBK18" s="37"/>
      <c r="CBL18" s="37"/>
      <c r="CBM18" s="138"/>
      <c r="CBN18" s="37"/>
      <c r="CBO18" s="37"/>
      <c r="CBP18" s="37"/>
      <c r="CBQ18" s="37"/>
      <c r="CBR18" s="37"/>
      <c r="CBS18" s="75"/>
      <c r="CBT18" s="37"/>
      <c r="CBU18" s="37"/>
      <c r="CBV18" s="37"/>
      <c r="CBW18" s="37"/>
      <c r="CBX18" s="37"/>
      <c r="CBY18" s="38"/>
      <c r="CBZ18" s="36"/>
      <c r="CCA18" s="65"/>
      <c r="CCB18" s="65"/>
      <c r="CCC18" s="65"/>
      <c r="CCD18" s="37"/>
      <c r="CCE18" s="133"/>
      <c r="CCF18" s="37"/>
      <c r="CCG18" s="37"/>
      <c r="CCH18" s="37"/>
      <c r="CCI18" s="37"/>
      <c r="CCJ18" s="37"/>
      <c r="CCK18" s="138"/>
      <c r="CCL18" s="37"/>
      <c r="CCM18" s="37"/>
      <c r="CCN18" s="37"/>
      <c r="CCO18" s="37"/>
      <c r="CCP18" s="37"/>
      <c r="CCQ18" s="75"/>
      <c r="CCR18" s="37"/>
      <c r="CCS18" s="37"/>
      <c r="CCT18" s="37"/>
      <c r="CCU18" s="37"/>
      <c r="CCV18" s="37"/>
      <c r="CCW18" s="138"/>
      <c r="CCX18" s="37"/>
      <c r="CCY18" s="37"/>
      <c r="CCZ18" s="37"/>
      <c r="CDA18" s="37"/>
      <c r="CDB18" s="37"/>
      <c r="CDC18" s="75"/>
      <c r="CDD18" s="65"/>
      <c r="CDE18" s="65"/>
      <c r="CDF18" s="65"/>
      <c r="CDG18" s="65"/>
      <c r="CDH18" s="37"/>
      <c r="CDI18" s="138"/>
      <c r="CDJ18" s="37"/>
      <c r="CDK18" s="37"/>
      <c r="CDL18" s="37"/>
      <c r="CDM18" s="37"/>
      <c r="CDN18" s="37"/>
      <c r="CDO18" s="75"/>
      <c r="CDP18" s="37"/>
      <c r="CDQ18" s="37"/>
      <c r="CDR18" s="37"/>
      <c r="CDS18" s="37"/>
      <c r="CDT18" s="37"/>
      <c r="CDU18" s="138"/>
      <c r="CDV18" s="37"/>
      <c r="CDW18" s="37"/>
      <c r="CDX18" s="37"/>
      <c r="CDY18" s="37"/>
      <c r="CDZ18" s="37"/>
      <c r="CEA18" s="75"/>
      <c r="CEB18" s="37"/>
      <c r="CEC18" s="37"/>
      <c r="CED18" s="37"/>
      <c r="CEE18" s="37"/>
      <c r="CEF18" s="37"/>
      <c r="CEG18" s="38"/>
      <c r="CEH18" s="36"/>
      <c r="CEI18" s="65"/>
      <c r="CEJ18" s="65"/>
      <c r="CEK18" s="65"/>
      <c r="CEL18" s="37"/>
      <c r="CEM18" s="133"/>
      <c r="CEN18" s="37"/>
      <c r="CEO18" s="37"/>
      <c r="CEP18" s="37"/>
      <c r="CEQ18" s="37"/>
      <c r="CER18" s="37"/>
      <c r="CES18" s="138"/>
      <c r="CET18" s="37"/>
      <c r="CEU18" s="37"/>
      <c r="CEV18" s="37"/>
      <c r="CEW18" s="37"/>
      <c r="CEX18" s="37"/>
      <c r="CEY18" s="75"/>
      <c r="CEZ18" s="37"/>
      <c r="CFA18" s="37"/>
      <c r="CFB18" s="37"/>
      <c r="CFC18" s="37"/>
      <c r="CFD18" s="37"/>
      <c r="CFE18" s="138"/>
      <c r="CFF18" s="37"/>
      <c r="CFG18" s="37"/>
      <c r="CFH18" s="37"/>
      <c r="CFI18" s="37"/>
      <c r="CFJ18" s="37"/>
      <c r="CFK18" s="75"/>
      <c r="CFL18" s="65"/>
      <c r="CFM18" s="65"/>
      <c r="CFN18" s="65"/>
      <c r="CFO18" s="65"/>
      <c r="CFP18" s="37"/>
      <c r="CFQ18" s="138"/>
      <c r="CFR18" s="37"/>
      <c r="CFS18" s="37"/>
      <c r="CFT18" s="37"/>
      <c r="CFU18" s="37"/>
      <c r="CFV18" s="37"/>
      <c r="CFW18" s="75"/>
      <c r="CFX18" s="37"/>
      <c r="CFY18" s="37"/>
      <c r="CFZ18" s="37"/>
      <c r="CGA18" s="37"/>
      <c r="CGB18" s="37"/>
      <c r="CGC18" s="138"/>
      <c r="CGD18" s="37"/>
      <c r="CGE18" s="37"/>
      <c r="CGF18" s="37"/>
      <c r="CGG18" s="37"/>
      <c r="CGH18" s="37"/>
      <c r="CGI18" s="75"/>
      <c r="CGJ18" s="37"/>
      <c r="CGK18" s="37"/>
      <c r="CGL18" s="37"/>
      <c r="CGM18" s="37"/>
      <c r="CGN18" s="37"/>
      <c r="CGO18" s="38"/>
      <c r="CGP18" s="36"/>
      <c r="CGQ18" s="65"/>
      <c r="CGR18" s="65"/>
      <c r="CGS18" s="65"/>
      <c r="CGT18" s="37"/>
      <c r="CGU18" s="133"/>
      <c r="CGV18" s="37"/>
      <c r="CGW18" s="37"/>
      <c r="CGX18" s="37"/>
      <c r="CGY18" s="37"/>
      <c r="CGZ18" s="37"/>
      <c r="CHA18" s="138"/>
      <c r="CHB18" s="37"/>
      <c r="CHC18" s="37"/>
      <c r="CHD18" s="37"/>
      <c r="CHE18" s="37"/>
      <c r="CHF18" s="37"/>
      <c r="CHG18" s="75"/>
      <c r="CHH18" s="37"/>
      <c r="CHI18" s="37"/>
      <c r="CHJ18" s="37"/>
      <c r="CHK18" s="37"/>
      <c r="CHL18" s="37"/>
      <c r="CHM18" s="138"/>
      <c r="CHN18" s="37"/>
      <c r="CHO18" s="37"/>
      <c r="CHP18" s="37"/>
      <c r="CHQ18" s="37"/>
      <c r="CHR18" s="37"/>
      <c r="CHS18" s="75"/>
      <c r="CHT18" s="65"/>
      <c r="CHU18" s="65"/>
      <c r="CHV18" s="65"/>
      <c r="CHW18" s="65"/>
      <c r="CHX18" s="37"/>
      <c r="CHY18" s="138"/>
      <c r="CHZ18" s="37"/>
      <c r="CIA18" s="37"/>
      <c r="CIB18" s="37"/>
      <c r="CIC18" s="37"/>
      <c r="CID18" s="37"/>
      <c r="CIE18" s="75"/>
      <c r="CIF18" s="37"/>
      <c r="CIG18" s="37"/>
      <c r="CIH18" s="37"/>
      <c r="CII18" s="37"/>
      <c r="CIJ18" s="37"/>
      <c r="CIK18" s="138"/>
      <c r="CIL18" s="37"/>
      <c r="CIM18" s="37"/>
      <c r="CIN18" s="37"/>
      <c r="CIO18" s="37"/>
      <c r="CIP18" s="37"/>
      <c r="CIQ18" s="75"/>
      <c r="CIR18" s="37"/>
      <c r="CIS18" s="37"/>
      <c r="CIT18" s="37"/>
      <c r="CIU18" s="37"/>
      <c r="CIV18" s="37"/>
      <c r="CIW18" s="38"/>
      <c r="CIX18" s="36"/>
      <c r="CIY18" s="65"/>
      <c r="CIZ18" s="65"/>
      <c r="CJA18" s="65"/>
      <c r="CJB18" s="37"/>
      <c r="CJC18" s="133"/>
      <c r="CJD18" s="37"/>
      <c r="CJE18" s="37"/>
      <c r="CJF18" s="37"/>
      <c r="CJG18" s="37"/>
      <c r="CJH18" s="37"/>
      <c r="CJI18" s="138"/>
      <c r="CJJ18" s="37"/>
      <c r="CJK18" s="37"/>
      <c r="CJL18" s="37"/>
      <c r="CJM18" s="37"/>
      <c r="CJN18" s="37"/>
      <c r="CJO18" s="75"/>
      <c r="CJP18" s="37"/>
      <c r="CJQ18" s="37"/>
      <c r="CJR18" s="37"/>
      <c r="CJS18" s="37"/>
      <c r="CJT18" s="37"/>
      <c r="CJU18" s="138"/>
      <c r="CJV18" s="37"/>
      <c r="CJW18" s="37"/>
      <c r="CJX18" s="37"/>
      <c r="CJY18" s="37"/>
      <c r="CJZ18" s="37"/>
      <c r="CKA18" s="75"/>
      <c r="CKB18" s="65"/>
      <c r="CKC18" s="65"/>
      <c r="CKD18" s="65"/>
      <c r="CKE18" s="65"/>
      <c r="CKF18" s="37"/>
      <c r="CKG18" s="138"/>
      <c r="CKH18" s="37"/>
      <c r="CKI18" s="37"/>
      <c r="CKJ18" s="37"/>
      <c r="CKK18" s="37"/>
      <c r="CKL18" s="37"/>
      <c r="CKM18" s="75"/>
      <c r="CKN18" s="37"/>
      <c r="CKO18" s="37"/>
      <c r="CKP18" s="37"/>
      <c r="CKQ18" s="37"/>
      <c r="CKR18" s="37"/>
      <c r="CKS18" s="138"/>
      <c r="CKT18" s="37"/>
      <c r="CKU18" s="37"/>
      <c r="CKV18" s="37"/>
      <c r="CKW18" s="37"/>
      <c r="CKX18" s="37"/>
      <c r="CKY18" s="75"/>
      <c r="CKZ18" s="37"/>
      <c r="CLA18" s="37"/>
      <c r="CLB18" s="37"/>
      <c r="CLC18" s="37"/>
      <c r="CLD18" s="37"/>
      <c r="CLE18" s="38"/>
      <c r="CLF18" s="36"/>
      <c r="CLG18" s="65"/>
      <c r="CLH18" s="65"/>
      <c r="CLI18" s="65"/>
      <c r="CLJ18" s="37"/>
      <c r="CLK18" s="133"/>
      <c r="CLL18" s="37"/>
      <c r="CLM18" s="37"/>
      <c r="CLN18" s="37"/>
      <c r="CLO18" s="37"/>
      <c r="CLP18" s="37"/>
      <c r="CLQ18" s="138"/>
      <c r="CLR18" s="37"/>
      <c r="CLS18" s="37"/>
      <c r="CLT18" s="37"/>
      <c r="CLU18" s="37"/>
      <c r="CLV18" s="37"/>
      <c r="CLW18" s="75"/>
      <c r="CLX18" s="37"/>
      <c r="CLY18" s="37"/>
      <c r="CLZ18" s="37"/>
      <c r="CMA18" s="37"/>
      <c r="CMB18" s="37"/>
      <c r="CMC18" s="138"/>
      <c r="CMD18" s="37"/>
      <c r="CME18" s="37"/>
      <c r="CMF18" s="37"/>
      <c r="CMG18" s="37"/>
      <c r="CMH18" s="37"/>
      <c r="CMI18" s="75"/>
      <c r="CMJ18" s="65"/>
      <c r="CMK18" s="65"/>
      <c r="CML18" s="65"/>
      <c r="CMM18" s="65"/>
      <c r="CMN18" s="37"/>
      <c r="CMO18" s="138"/>
      <c r="CMP18" s="37"/>
      <c r="CMQ18" s="37"/>
      <c r="CMR18" s="37"/>
      <c r="CMS18" s="37"/>
      <c r="CMT18" s="37"/>
      <c r="CMU18" s="75"/>
      <c r="CMV18" s="37"/>
      <c r="CMW18" s="37"/>
      <c r="CMX18" s="37"/>
      <c r="CMY18" s="37"/>
      <c r="CMZ18" s="37"/>
      <c r="CNA18" s="138"/>
      <c r="CNB18" s="37"/>
      <c r="CNC18" s="37"/>
      <c r="CND18" s="37"/>
      <c r="CNE18" s="37"/>
      <c r="CNF18" s="37"/>
      <c r="CNG18" s="75"/>
      <c r="CNH18" s="37"/>
      <c r="CNI18" s="37"/>
      <c r="CNJ18" s="37"/>
      <c r="CNK18" s="37"/>
      <c r="CNL18" s="37"/>
      <c r="CNM18" s="38"/>
      <c r="CNN18" s="36"/>
      <c r="CNO18" s="65"/>
      <c r="CNP18" s="65"/>
      <c r="CNQ18" s="65"/>
      <c r="CNR18" s="37"/>
      <c r="CNS18" s="133"/>
      <c r="CNT18" s="37"/>
      <c r="CNU18" s="37"/>
      <c r="CNV18" s="37"/>
      <c r="CNW18" s="37"/>
      <c r="CNX18" s="37"/>
      <c r="CNY18" s="138"/>
      <c r="CNZ18" s="37"/>
      <c r="COA18" s="37"/>
      <c r="COB18" s="37"/>
      <c r="COC18" s="37"/>
      <c r="COD18" s="37"/>
      <c r="COE18" s="75"/>
      <c r="COF18" s="37"/>
      <c r="COG18" s="37"/>
      <c r="COH18" s="37"/>
      <c r="COI18" s="37"/>
      <c r="COJ18" s="37"/>
      <c r="COK18" s="138"/>
      <c r="COL18" s="37"/>
      <c r="COM18" s="37"/>
      <c r="CON18" s="37"/>
      <c r="COO18" s="37"/>
      <c r="COP18" s="37"/>
      <c r="COQ18" s="75"/>
      <c r="COR18" s="65"/>
      <c r="COS18" s="65"/>
      <c r="COT18" s="65"/>
      <c r="COU18" s="65"/>
      <c r="COV18" s="37"/>
      <c r="COW18" s="138"/>
      <c r="COX18" s="37"/>
      <c r="COY18" s="37"/>
      <c r="COZ18" s="37"/>
      <c r="CPA18" s="37"/>
      <c r="CPB18" s="37"/>
      <c r="CPC18" s="75"/>
      <c r="CPD18" s="37"/>
      <c r="CPE18" s="37"/>
      <c r="CPF18" s="37"/>
      <c r="CPG18" s="37"/>
      <c r="CPH18" s="37"/>
      <c r="CPI18" s="138"/>
      <c r="CPJ18" s="37"/>
      <c r="CPK18" s="37"/>
      <c r="CPL18" s="37"/>
      <c r="CPM18" s="37"/>
      <c r="CPN18" s="37"/>
      <c r="CPO18" s="75"/>
      <c r="CPP18" s="37"/>
      <c r="CPQ18" s="37"/>
      <c r="CPR18" s="37"/>
      <c r="CPS18" s="37"/>
      <c r="CPT18" s="37"/>
      <c r="CPU18" s="38"/>
      <c r="CPV18" s="36"/>
      <c r="CPW18" s="65"/>
      <c r="CPX18" s="65"/>
      <c r="CPY18" s="65"/>
      <c r="CPZ18" s="37"/>
      <c r="CQA18" s="133"/>
      <c r="CQB18" s="37"/>
      <c r="CQC18" s="37"/>
      <c r="CQD18" s="37"/>
      <c r="CQE18" s="37"/>
      <c r="CQF18" s="37"/>
      <c r="CQG18" s="138"/>
      <c r="CQH18" s="37"/>
      <c r="CQI18" s="37"/>
      <c r="CQJ18" s="37"/>
      <c r="CQK18" s="37"/>
      <c r="CQL18" s="37"/>
      <c r="CQM18" s="75"/>
      <c r="CQN18" s="37"/>
      <c r="CQO18" s="37"/>
      <c r="CQP18" s="37"/>
      <c r="CQQ18" s="37"/>
      <c r="CQR18" s="37"/>
      <c r="CQS18" s="138"/>
      <c r="CQT18" s="37"/>
      <c r="CQU18" s="37"/>
      <c r="CQV18" s="37"/>
      <c r="CQW18" s="37"/>
      <c r="CQX18" s="37"/>
      <c r="CQY18" s="75"/>
      <c r="CQZ18" s="65"/>
      <c r="CRA18" s="65"/>
      <c r="CRB18" s="65"/>
      <c r="CRC18" s="65"/>
      <c r="CRD18" s="37"/>
      <c r="CRE18" s="138"/>
      <c r="CRF18" s="37"/>
      <c r="CRG18" s="37"/>
      <c r="CRH18" s="37"/>
      <c r="CRI18" s="37"/>
      <c r="CRJ18" s="37"/>
      <c r="CRK18" s="75"/>
      <c r="CRL18" s="37"/>
      <c r="CRM18" s="37"/>
      <c r="CRN18" s="37"/>
      <c r="CRO18" s="37"/>
      <c r="CRP18" s="37"/>
      <c r="CRQ18" s="138"/>
      <c r="CRR18" s="37"/>
      <c r="CRS18" s="37"/>
      <c r="CRT18" s="37"/>
      <c r="CRU18" s="37"/>
      <c r="CRV18" s="37"/>
      <c r="CRW18" s="75"/>
      <c r="CRX18" s="37"/>
      <c r="CRY18" s="37"/>
      <c r="CRZ18" s="37"/>
      <c r="CSA18" s="37"/>
      <c r="CSB18" s="37"/>
      <c r="CSC18" s="38"/>
      <c r="CSD18" s="90"/>
    </row>
    <row r="19" spans="1:2526" ht="20.100000000000001" customHeight="1" x14ac:dyDescent="0.25">
      <c r="A19" s="100" t="s">
        <v>18</v>
      </c>
      <c r="B19" s="63" t="str">
        <f>IF(LEN(C23)=0,"",C23)</f>
        <v xml:space="preserve">Analyse - Découpage du travail en plusieurs tâches </v>
      </c>
      <c r="C19" s="211" t="s">
        <v>42</v>
      </c>
      <c r="D19" s="146" t="str">
        <f t="shared" si="0"/>
        <v>0h45min</v>
      </c>
      <c r="E19" s="39">
        <v>9</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171"/>
      <c r="EF19" s="171"/>
      <c r="EG19" s="172"/>
      <c r="EH19" s="171"/>
      <c r="EI19" s="171"/>
      <c r="EJ19" s="171"/>
      <c r="EK19" s="171"/>
      <c r="EL19" s="171"/>
      <c r="EM19" s="173"/>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40"/>
      <c r="BLW19" s="66"/>
      <c r="BLX19" s="66"/>
      <c r="BLY19" s="66"/>
      <c r="BLZ19" s="41"/>
      <c r="BMA19" s="134"/>
      <c r="BMB19" s="41"/>
      <c r="BMC19" s="41"/>
      <c r="BMD19" s="41"/>
      <c r="BME19" s="41"/>
      <c r="BMF19" s="41"/>
      <c r="BMG19" s="139"/>
      <c r="BMH19" s="41"/>
      <c r="BMI19" s="41"/>
      <c r="BMJ19" s="41"/>
      <c r="BMK19" s="41"/>
      <c r="BML19" s="41"/>
      <c r="BMM19" s="76"/>
      <c r="BMN19" s="41"/>
      <c r="BMO19" s="41"/>
      <c r="BMP19" s="41"/>
      <c r="BMQ19" s="41"/>
      <c r="BMR19" s="41"/>
      <c r="BMS19" s="139"/>
      <c r="BMT19" s="41"/>
      <c r="BMU19" s="41"/>
      <c r="BMV19" s="41"/>
      <c r="BMW19" s="41"/>
      <c r="BMX19" s="41"/>
      <c r="BMY19" s="76"/>
      <c r="BMZ19" s="66"/>
      <c r="BNA19" s="66"/>
      <c r="BNB19" s="66"/>
      <c r="BNC19" s="66"/>
      <c r="BND19" s="41"/>
      <c r="BNE19" s="139"/>
      <c r="BNF19" s="41"/>
      <c r="BNG19" s="41"/>
      <c r="BNH19" s="41"/>
      <c r="BNI19" s="41"/>
      <c r="BNJ19" s="41"/>
      <c r="BNK19" s="76"/>
      <c r="BNL19" s="41"/>
      <c r="BNM19" s="41"/>
      <c r="BNN19" s="41"/>
      <c r="BNO19" s="41"/>
      <c r="BNP19" s="41"/>
      <c r="BNQ19" s="139"/>
      <c r="BNR19" s="41"/>
      <c r="BNS19" s="41"/>
      <c r="BNT19" s="41"/>
      <c r="BNU19" s="41"/>
      <c r="BNV19" s="41"/>
      <c r="BNW19" s="76"/>
      <c r="BNX19" s="41"/>
      <c r="BNY19" s="41"/>
      <c r="BNZ19" s="41"/>
      <c r="BOA19" s="41"/>
      <c r="BOB19" s="41"/>
      <c r="BOC19" s="42"/>
      <c r="BOD19" s="40"/>
      <c r="BOE19" s="66"/>
      <c r="BOF19" s="66"/>
      <c r="BOG19" s="66"/>
      <c r="BOH19" s="41"/>
      <c r="BOI19" s="134"/>
      <c r="BOJ19" s="41"/>
      <c r="BOK19" s="41"/>
      <c r="BOL19" s="41"/>
      <c r="BOM19" s="41"/>
      <c r="BON19" s="41"/>
      <c r="BOO19" s="139"/>
      <c r="BOP19" s="41"/>
      <c r="BOQ19" s="41"/>
      <c r="BOR19" s="41"/>
      <c r="BOS19" s="41"/>
      <c r="BOT19" s="41"/>
      <c r="BOU19" s="76"/>
      <c r="BOV19" s="41"/>
      <c r="BOW19" s="41"/>
      <c r="BOX19" s="41"/>
      <c r="BOY19" s="41"/>
      <c r="BOZ19" s="41"/>
      <c r="BPA19" s="139"/>
      <c r="BPB19" s="41"/>
      <c r="BPC19" s="41"/>
      <c r="BPD19" s="41"/>
      <c r="BPE19" s="41"/>
      <c r="BPF19" s="41"/>
      <c r="BPG19" s="76"/>
      <c r="BPH19" s="66"/>
      <c r="BPI19" s="66"/>
      <c r="BPJ19" s="66"/>
      <c r="BPK19" s="66"/>
      <c r="BPL19" s="41"/>
      <c r="BPM19" s="139"/>
      <c r="BPN19" s="41"/>
      <c r="BPO19" s="41"/>
      <c r="BPP19" s="41"/>
      <c r="BPQ19" s="41"/>
      <c r="BPR19" s="41"/>
      <c r="BPS19" s="76"/>
      <c r="BPT19" s="41"/>
      <c r="BPU19" s="41"/>
      <c r="BPV19" s="41"/>
      <c r="BPW19" s="41"/>
      <c r="BPX19" s="41"/>
      <c r="BPY19" s="139"/>
      <c r="BPZ19" s="41"/>
      <c r="BQA19" s="41"/>
      <c r="BQB19" s="41"/>
      <c r="BQC19" s="41"/>
      <c r="BQD19" s="41"/>
      <c r="BQE19" s="76"/>
      <c r="BQF19" s="41"/>
      <c r="BQG19" s="41"/>
      <c r="BQH19" s="41"/>
      <c r="BQI19" s="41"/>
      <c r="BQJ19" s="41"/>
      <c r="BQK19" s="42"/>
      <c r="BQL19" s="40"/>
      <c r="BQM19" s="66"/>
      <c r="BQN19" s="66"/>
      <c r="BQO19" s="66"/>
      <c r="BQP19" s="41"/>
      <c r="BQQ19" s="134"/>
      <c r="BQR19" s="41"/>
      <c r="BQS19" s="41"/>
      <c r="BQT19" s="41"/>
      <c r="BQU19" s="41"/>
      <c r="BQV19" s="41"/>
      <c r="BQW19" s="139"/>
      <c r="BQX19" s="41"/>
      <c r="BQY19" s="41"/>
      <c r="BQZ19" s="41"/>
      <c r="BRA19" s="41"/>
      <c r="BRB19" s="41"/>
      <c r="BRC19" s="76"/>
      <c r="BRD19" s="41"/>
      <c r="BRE19" s="41"/>
      <c r="BRF19" s="41"/>
      <c r="BRG19" s="41"/>
      <c r="BRH19" s="41"/>
      <c r="BRI19" s="139"/>
      <c r="BRJ19" s="41"/>
      <c r="BRK19" s="41"/>
      <c r="BRL19" s="41"/>
      <c r="BRM19" s="41"/>
      <c r="BRN19" s="41"/>
      <c r="BRO19" s="76"/>
      <c r="BRP19" s="66"/>
      <c r="BRQ19" s="66"/>
      <c r="BRR19" s="66"/>
      <c r="BRS19" s="66"/>
      <c r="BRT19" s="41"/>
      <c r="BRU19" s="139"/>
      <c r="BRV19" s="41"/>
      <c r="BRW19" s="41"/>
      <c r="BRX19" s="41"/>
      <c r="BRY19" s="41"/>
      <c r="BRZ19" s="41"/>
      <c r="BSA19" s="76"/>
      <c r="BSB19" s="41"/>
      <c r="BSC19" s="41"/>
      <c r="BSD19" s="41"/>
      <c r="BSE19" s="41"/>
      <c r="BSF19" s="41"/>
      <c r="BSG19" s="139"/>
      <c r="BSH19" s="41"/>
      <c r="BSI19" s="41"/>
      <c r="BSJ19" s="41"/>
      <c r="BSK19" s="41"/>
      <c r="BSL19" s="41"/>
      <c r="BSM19" s="76"/>
      <c r="BSN19" s="41"/>
      <c r="BSO19" s="41"/>
      <c r="BSP19" s="41"/>
      <c r="BSQ19" s="41"/>
      <c r="BSR19" s="41"/>
      <c r="BSS19" s="42"/>
      <c r="BST19" s="40"/>
      <c r="BSU19" s="66"/>
      <c r="BSV19" s="66"/>
      <c r="BSW19" s="66"/>
      <c r="BSX19" s="41"/>
      <c r="BSY19" s="134"/>
      <c r="BSZ19" s="41"/>
      <c r="BTA19" s="41"/>
      <c r="BTB19" s="41"/>
      <c r="BTC19" s="41"/>
      <c r="BTD19" s="41"/>
      <c r="BTE19" s="139"/>
      <c r="BTF19" s="41"/>
      <c r="BTG19" s="41"/>
      <c r="BTH19" s="41"/>
      <c r="BTI19" s="41"/>
      <c r="BTJ19" s="41"/>
      <c r="BTK19" s="76"/>
      <c r="BTL19" s="41"/>
      <c r="BTM19" s="41"/>
      <c r="BTN19" s="41"/>
      <c r="BTO19" s="41"/>
      <c r="BTP19" s="41"/>
      <c r="BTQ19" s="139"/>
      <c r="BTR19" s="41"/>
      <c r="BTS19" s="41"/>
      <c r="BTT19" s="41"/>
      <c r="BTU19" s="41"/>
      <c r="BTV19" s="41"/>
      <c r="BTW19" s="76"/>
      <c r="BTX19" s="66"/>
      <c r="BTY19" s="66"/>
      <c r="BTZ19" s="66"/>
      <c r="BUA19" s="66"/>
      <c r="BUB19" s="41"/>
      <c r="BUC19" s="139"/>
      <c r="BUD19" s="41"/>
      <c r="BUE19" s="41"/>
      <c r="BUF19" s="41"/>
      <c r="BUG19" s="41"/>
      <c r="BUH19" s="41"/>
      <c r="BUI19" s="76"/>
      <c r="BUJ19" s="41"/>
      <c r="BUK19" s="41"/>
      <c r="BUL19" s="41"/>
      <c r="BUM19" s="41"/>
      <c r="BUN19" s="41"/>
      <c r="BUO19" s="139"/>
      <c r="BUP19" s="41"/>
      <c r="BUQ19" s="41"/>
      <c r="BUR19" s="41"/>
      <c r="BUS19" s="41"/>
      <c r="BUT19" s="41"/>
      <c r="BUU19" s="76"/>
      <c r="BUV19" s="41"/>
      <c r="BUW19" s="41"/>
      <c r="BUX19" s="41"/>
      <c r="BUY19" s="41"/>
      <c r="BUZ19" s="41"/>
      <c r="BVA19" s="42"/>
      <c r="BVB19" s="40"/>
      <c r="BVC19" s="66"/>
      <c r="BVD19" s="66"/>
      <c r="BVE19" s="66"/>
      <c r="BVF19" s="41"/>
      <c r="BVG19" s="134"/>
      <c r="BVH19" s="41"/>
      <c r="BVI19" s="41"/>
      <c r="BVJ19" s="41"/>
      <c r="BVK19" s="41"/>
      <c r="BVL19" s="41"/>
      <c r="BVM19" s="139"/>
      <c r="BVN19" s="41"/>
      <c r="BVO19" s="41"/>
      <c r="BVP19" s="41"/>
      <c r="BVQ19" s="41"/>
      <c r="BVR19" s="41"/>
      <c r="BVS19" s="76"/>
      <c r="BVT19" s="41"/>
      <c r="BVU19" s="41"/>
      <c r="BVV19" s="41"/>
      <c r="BVW19" s="41"/>
      <c r="BVX19" s="41"/>
      <c r="BVY19" s="139"/>
      <c r="BVZ19" s="41"/>
      <c r="BWA19" s="41"/>
      <c r="BWB19" s="41"/>
      <c r="BWC19" s="41"/>
      <c r="BWD19" s="41"/>
      <c r="BWE19" s="76"/>
      <c r="BWF19" s="66"/>
      <c r="BWG19" s="66"/>
      <c r="BWH19" s="66"/>
      <c r="BWI19" s="66"/>
      <c r="BWJ19" s="41"/>
      <c r="BWK19" s="139"/>
      <c r="BWL19" s="41"/>
      <c r="BWM19" s="41"/>
      <c r="BWN19" s="41"/>
      <c r="BWO19" s="41"/>
      <c r="BWP19" s="41"/>
      <c r="BWQ19" s="76"/>
      <c r="BWR19" s="41"/>
      <c r="BWS19" s="41"/>
      <c r="BWT19" s="41"/>
      <c r="BWU19" s="41"/>
      <c r="BWV19" s="41"/>
      <c r="BWW19" s="139"/>
      <c r="BWX19" s="41"/>
      <c r="BWY19" s="41"/>
      <c r="BWZ19" s="41"/>
      <c r="BXA19" s="41"/>
      <c r="BXB19" s="41"/>
      <c r="BXC19" s="76"/>
      <c r="BXD19" s="41"/>
      <c r="BXE19" s="41"/>
      <c r="BXF19" s="41"/>
      <c r="BXG19" s="41"/>
      <c r="BXH19" s="41"/>
      <c r="BXI19" s="42"/>
      <c r="BXJ19" s="40"/>
      <c r="BXK19" s="66"/>
      <c r="BXL19" s="66"/>
      <c r="BXM19" s="66"/>
      <c r="BXN19" s="41"/>
      <c r="BXO19" s="134"/>
      <c r="BXP19" s="41"/>
      <c r="BXQ19" s="41"/>
      <c r="BXR19" s="41"/>
      <c r="BXS19" s="41"/>
      <c r="BXT19" s="41"/>
      <c r="BXU19" s="139"/>
      <c r="BXV19" s="41"/>
      <c r="BXW19" s="41"/>
      <c r="BXX19" s="41"/>
      <c r="BXY19" s="41"/>
      <c r="BXZ19" s="41"/>
      <c r="BYA19" s="76"/>
      <c r="BYB19" s="41"/>
      <c r="BYC19" s="41"/>
      <c r="BYD19" s="41"/>
      <c r="BYE19" s="41"/>
      <c r="BYF19" s="41"/>
      <c r="BYG19" s="139"/>
      <c r="BYH19" s="41"/>
      <c r="BYI19" s="41"/>
      <c r="BYJ19" s="41"/>
      <c r="BYK19" s="41"/>
      <c r="BYL19" s="41"/>
      <c r="BYM19" s="76"/>
      <c r="BYN19" s="66"/>
      <c r="BYO19" s="66"/>
      <c r="BYP19" s="66"/>
      <c r="BYQ19" s="66"/>
      <c r="BYR19" s="41"/>
      <c r="BYS19" s="139"/>
      <c r="BYT19" s="41"/>
      <c r="BYU19" s="41"/>
      <c r="BYV19" s="41"/>
      <c r="BYW19" s="41"/>
      <c r="BYX19" s="41"/>
      <c r="BYY19" s="76"/>
      <c r="BYZ19" s="41"/>
      <c r="BZA19" s="41"/>
      <c r="BZB19" s="41"/>
      <c r="BZC19" s="41"/>
      <c r="BZD19" s="41"/>
      <c r="BZE19" s="139"/>
      <c r="BZF19" s="41"/>
      <c r="BZG19" s="41"/>
      <c r="BZH19" s="41"/>
      <c r="BZI19" s="41"/>
      <c r="BZJ19" s="41"/>
      <c r="BZK19" s="76"/>
      <c r="BZL19" s="41"/>
      <c r="BZM19" s="41"/>
      <c r="BZN19" s="41"/>
      <c r="BZO19" s="41"/>
      <c r="BZP19" s="41"/>
      <c r="BZQ19" s="42"/>
      <c r="BZR19" s="40"/>
      <c r="BZS19" s="66"/>
      <c r="BZT19" s="66"/>
      <c r="BZU19" s="66"/>
      <c r="BZV19" s="41"/>
      <c r="BZW19" s="134"/>
      <c r="BZX19" s="41"/>
      <c r="BZY19" s="41"/>
      <c r="BZZ19" s="41"/>
      <c r="CAA19" s="41"/>
      <c r="CAB19" s="41"/>
      <c r="CAC19" s="139"/>
      <c r="CAD19" s="41"/>
      <c r="CAE19" s="41"/>
      <c r="CAF19" s="41"/>
      <c r="CAG19" s="41"/>
      <c r="CAH19" s="41"/>
      <c r="CAI19" s="76"/>
      <c r="CAJ19" s="41"/>
      <c r="CAK19" s="41"/>
      <c r="CAL19" s="41"/>
      <c r="CAM19" s="41"/>
      <c r="CAN19" s="41"/>
      <c r="CAO19" s="139"/>
      <c r="CAP19" s="41"/>
      <c r="CAQ19" s="41"/>
      <c r="CAR19" s="41"/>
      <c r="CAS19" s="41"/>
      <c r="CAT19" s="41"/>
      <c r="CAU19" s="76"/>
      <c r="CAV19" s="66"/>
      <c r="CAW19" s="66"/>
      <c r="CAX19" s="66"/>
      <c r="CAY19" s="66"/>
      <c r="CAZ19" s="41"/>
      <c r="CBA19" s="139"/>
      <c r="CBB19" s="41"/>
      <c r="CBC19" s="41"/>
      <c r="CBD19" s="41"/>
      <c r="CBE19" s="41"/>
      <c r="CBF19" s="41"/>
      <c r="CBG19" s="76"/>
      <c r="CBH19" s="41"/>
      <c r="CBI19" s="41"/>
      <c r="CBJ19" s="41"/>
      <c r="CBK19" s="41"/>
      <c r="CBL19" s="41"/>
      <c r="CBM19" s="139"/>
      <c r="CBN19" s="41"/>
      <c r="CBO19" s="41"/>
      <c r="CBP19" s="41"/>
      <c r="CBQ19" s="41"/>
      <c r="CBR19" s="41"/>
      <c r="CBS19" s="76"/>
      <c r="CBT19" s="41"/>
      <c r="CBU19" s="41"/>
      <c r="CBV19" s="41"/>
      <c r="CBW19" s="41"/>
      <c r="CBX19" s="41"/>
      <c r="CBY19" s="42"/>
      <c r="CBZ19" s="40"/>
      <c r="CCA19" s="66"/>
      <c r="CCB19" s="66"/>
      <c r="CCC19" s="66"/>
      <c r="CCD19" s="41"/>
      <c r="CCE19" s="134"/>
      <c r="CCF19" s="41"/>
      <c r="CCG19" s="41"/>
      <c r="CCH19" s="41"/>
      <c r="CCI19" s="41"/>
      <c r="CCJ19" s="41"/>
      <c r="CCK19" s="139"/>
      <c r="CCL19" s="41"/>
      <c r="CCM19" s="41"/>
      <c r="CCN19" s="41"/>
      <c r="CCO19" s="41"/>
      <c r="CCP19" s="41"/>
      <c r="CCQ19" s="76"/>
      <c r="CCR19" s="41"/>
      <c r="CCS19" s="41"/>
      <c r="CCT19" s="41"/>
      <c r="CCU19" s="41"/>
      <c r="CCV19" s="41"/>
      <c r="CCW19" s="139"/>
      <c r="CCX19" s="41"/>
      <c r="CCY19" s="41"/>
      <c r="CCZ19" s="41"/>
      <c r="CDA19" s="41"/>
      <c r="CDB19" s="41"/>
      <c r="CDC19" s="76"/>
      <c r="CDD19" s="66"/>
      <c r="CDE19" s="66"/>
      <c r="CDF19" s="66"/>
      <c r="CDG19" s="66"/>
      <c r="CDH19" s="41"/>
      <c r="CDI19" s="139"/>
      <c r="CDJ19" s="41"/>
      <c r="CDK19" s="41"/>
      <c r="CDL19" s="41"/>
      <c r="CDM19" s="41"/>
      <c r="CDN19" s="41"/>
      <c r="CDO19" s="76"/>
      <c r="CDP19" s="41"/>
      <c r="CDQ19" s="41"/>
      <c r="CDR19" s="41"/>
      <c r="CDS19" s="41"/>
      <c r="CDT19" s="41"/>
      <c r="CDU19" s="139"/>
      <c r="CDV19" s="41"/>
      <c r="CDW19" s="41"/>
      <c r="CDX19" s="41"/>
      <c r="CDY19" s="41"/>
      <c r="CDZ19" s="41"/>
      <c r="CEA19" s="76"/>
      <c r="CEB19" s="41"/>
      <c r="CEC19" s="41"/>
      <c r="CED19" s="41"/>
      <c r="CEE19" s="41"/>
      <c r="CEF19" s="41"/>
      <c r="CEG19" s="42"/>
      <c r="CEH19" s="40"/>
      <c r="CEI19" s="66"/>
      <c r="CEJ19" s="66"/>
      <c r="CEK19" s="66"/>
      <c r="CEL19" s="41"/>
      <c r="CEM19" s="134"/>
      <c r="CEN19" s="41"/>
      <c r="CEO19" s="41"/>
      <c r="CEP19" s="41"/>
      <c r="CEQ19" s="41"/>
      <c r="CER19" s="41"/>
      <c r="CES19" s="139"/>
      <c r="CET19" s="41"/>
      <c r="CEU19" s="41"/>
      <c r="CEV19" s="41"/>
      <c r="CEW19" s="41"/>
      <c r="CEX19" s="41"/>
      <c r="CEY19" s="76"/>
      <c r="CEZ19" s="41"/>
      <c r="CFA19" s="41"/>
      <c r="CFB19" s="41"/>
      <c r="CFC19" s="41"/>
      <c r="CFD19" s="41"/>
      <c r="CFE19" s="139"/>
      <c r="CFF19" s="41"/>
      <c r="CFG19" s="41"/>
      <c r="CFH19" s="41"/>
      <c r="CFI19" s="41"/>
      <c r="CFJ19" s="41"/>
      <c r="CFK19" s="76"/>
      <c r="CFL19" s="66"/>
      <c r="CFM19" s="66"/>
      <c r="CFN19" s="66"/>
      <c r="CFO19" s="66"/>
      <c r="CFP19" s="41"/>
      <c r="CFQ19" s="139"/>
      <c r="CFR19" s="41"/>
      <c r="CFS19" s="41"/>
      <c r="CFT19" s="41"/>
      <c r="CFU19" s="41"/>
      <c r="CFV19" s="41"/>
      <c r="CFW19" s="76"/>
      <c r="CFX19" s="41"/>
      <c r="CFY19" s="41"/>
      <c r="CFZ19" s="41"/>
      <c r="CGA19" s="41"/>
      <c r="CGB19" s="41"/>
      <c r="CGC19" s="139"/>
      <c r="CGD19" s="41"/>
      <c r="CGE19" s="41"/>
      <c r="CGF19" s="41"/>
      <c r="CGG19" s="41"/>
      <c r="CGH19" s="41"/>
      <c r="CGI19" s="76"/>
      <c r="CGJ19" s="41"/>
      <c r="CGK19" s="41"/>
      <c r="CGL19" s="41"/>
      <c r="CGM19" s="41"/>
      <c r="CGN19" s="41"/>
      <c r="CGO19" s="42"/>
      <c r="CGP19" s="40"/>
      <c r="CGQ19" s="66"/>
      <c r="CGR19" s="66"/>
      <c r="CGS19" s="66"/>
      <c r="CGT19" s="41"/>
      <c r="CGU19" s="134"/>
      <c r="CGV19" s="41"/>
      <c r="CGW19" s="41"/>
      <c r="CGX19" s="41"/>
      <c r="CGY19" s="41"/>
      <c r="CGZ19" s="41"/>
      <c r="CHA19" s="139"/>
      <c r="CHB19" s="41"/>
      <c r="CHC19" s="41"/>
      <c r="CHD19" s="41"/>
      <c r="CHE19" s="41"/>
      <c r="CHF19" s="41"/>
      <c r="CHG19" s="76"/>
      <c r="CHH19" s="41"/>
      <c r="CHI19" s="41"/>
      <c r="CHJ19" s="41"/>
      <c r="CHK19" s="41"/>
      <c r="CHL19" s="41"/>
      <c r="CHM19" s="139"/>
      <c r="CHN19" s="41"/>
      <c r="CHO19" s="41"/>
      <c r="CHP19" s="41"/>
      <c r="CHQ19" s="41"/>
      <c r="CHR19" s="41"/>
      <c r="CHS19" s="76"/>
      <c r="CHT19" s="66"/>
      <c r="CHU19" s="66"/>
      <c r="CHV19" s="66"/>
      <c r="CHW19" s="66"/>
      <c r="CHX19" s="41"/>
      <c r="CHY19" s="139"/>
      <c r="CHZ19" s="41"/>
      <c r="CIA19" s="41"/>
      <c r="CIB19" s="41"/>
      <c r="CIC19" s="41"/>
      <c r="CID19" s="41"/>
      <c r="CIE19" s="76"/>
      <c r="CIF19" s="41"/>
      <c r="CIG19" s="41"/>
      <c r="CIH19" s="41"/>
      <c r="CII19" s="41"/>
      <c r="CIJ19" s="41"/>
      <c r="CIK19" s="139"/>
      <c r="CIL19" s="41"/>
      <c r="CIM19" s="41"/>
      <c r="CIN19" s="41"/>
      <c r="CIO19" s="41"/>
      <c r="CIP19" s="41"/>
      <c r="CIQ19" s="76"/>
      <c r="CIR19" s="41"/>
      <c r="CIS19" s="41"/>
      <c r="CIT19" s="41"/>
      <c r="CIU19" s="41"/>
      <c r="CIV19" s="41"/>
      <c r="CIW19" s="42"/>
      <c r="CIX19" s="40"/>
      <c r="CIY19" s="66"/>
      <c r="CIZ19" s="66"/>
      <c r="CJA19" s="66"/>
      <c r="CJB19" s="41"/>
      <c r="CJC19" s="134"/>
      <c r="CJD19" s="41"/>
      <c r="CJE19" s="41"/>
      <c r="CJF19" s="41"/>
      <c r="CJG19" s="41"/>
      <c r="CJH19" s="41"/>
      <c r="CJI19" s="139"/>
      <c r="CJJ19" s="41"/>
      <c r="CJK19" s="41"/>
      <c r="CJL19" s="41"/>
      <c r="CJM19" s="41"/>
      <c r="CJN19" s="41"/>
      <c r="CJO19" s="76"/>
      <c r="CJP19" s="41"/>
      <c r="CJQ19" s="41"/>
      <c r="CJR19" s="41"/>
      <c r="CJS19" s="41"/>
      <c r="CJT19" s="41"/>
      <c r="CJU19" s="139"/>
      <c r="CJV19" s="41"/>
      <c r="CJW19" s="41"/>
      <c r="CJX19" s="41"/>
      <c r="CJY19" s="41"/>
      <c r="CJZ19" s="41"/>
      <c r="CKA19" s="76"/>
      <c r="CKB19" s="66"/>
      <c r="CKC19" s="66"/>
      <c r="CKD19" s="66"/>
      <c r="CKE19" s="66"/>
      <c r="CKF19" s="41"/>
      <c r="CKG19" s="139"/>
      <c r="CKH19" s="41"/>
      <c r="CKI19" s="41"/>
      <c r="CKJ19" s="41"/>
      <c r="CKK19" s="41"/>
      <c r="CKL19" s="41"/>
      <c r="CKM19" s="76"/>
      <c r="CKN19" s="41"/>
      <c r="CKO19" s="41"/>
      <c r="CKP19" s="41"/>
      <c r="CKQ19" s="41"/>
      <c r="CKR19" s="41"/>
      <c r="CKS19" s="139"/>
      <c r="CKT19" s="41"/>
      <c r="CKU19" s="41"/>
      <c r="CKV19" s="41"/>
      <c r="CKW19" s="41"/>
      <c r="CKX19" s="41"/>
      <c r="CKY19" s="76"/>
      <c r="CKZ19" s="41"/>
      <c r="CLA19" s="41"/>
      <c r="CLB19" s="41"/>
      <c r="CLC19" s="41"/>
      <c r="CLD19" s="41"/>
      <c r="CLE19" s="42"/>
      <c r="CLF19" s="40"/>
      <c r="CLG19" s="66"/>
      <c r="CLH19" s="66"/>
      <c r="CLI19" s="66"/>
      <c r="CLJ19" s="41"/>
      <c r="CLK19" s="134"/>
      <c r="CLL19" s="41"/>
      <c r="CLM19" s="41"/>
      <c r="CLN19" s="41"/>
      <c r="CLO19" s="41"/>
      <c r="CLP19" s="41"/>
      <c r="CLQ19" s="139"/>
      <c r="CLR19" s="41"/>
      <c r="CLS19" s="41"/>
      <c r="CLT19" s="41"/>
      <c r="CLU19" s="41"/>
      <c r="CLV19" s="41"/>
      <c r="CLW19" s="76"/>
      <c r="CLX19" s="41"/>
      <c r="CLY19" s="41"/>
      <c r="CLZ19" s="41"/>
      <c r="CMA19" s="41"/>
      <c r="CMB19" s="41"/>
      <c r="CMC19" s="139"/>
      <c r="CMD19" s="41"/>
      <c r="CME19" s="41"/>
      <c r="CMF19" s="41"/>
      <c r="CMG19" s="41"/>
      <c r="CMH19" s="41"/>
      <c r="CMI19" s="76"/>
      <c r="CMJ19" s="66"/>
      <c r="CMK19" s="66"/>
      <c r="CML19" s="66"/>
      <c r="CMM19" s="66"/>
      <c r="CMN19" s="41"/>
      <c r="CMO19" s="139"/>
      <c r="CMP19" s="41"/>
      <c r="CMQ19" s="41"/>
      <c r="CMR19" s="41"/>
      <c r="CMS19" s="41"/>
      <c r="CMT19" s="41"/>
      <c r="CMU19" s="76"/>
      <c r="CMV19" s="41"/>
      <c r="CMW19" s="41"/>
      <c r="CMX19" s="41"/>
      <c r="CMY19" s="41"/>
      <c r="CMZ19" s="41"/>
      <c r="CNA19" s="139"/>
      <c r="CNB19" s="41"/>
      <c r="CNC19" s="41"/>
      <c r="CND19" s="41"/>
      <c r="CNE19" s="41"/>
      <c r="CNF19" s="41"/>
      <c r="CNG19" s="76"/>
      <c r="CNH19" s="41"/>
      <c r="CNI19" s="41"/>
      <c r="CNJ19" s="41"/>
      <c r="CNK19" s="41"/>
      <c r="CNL19" s="41"/>
      <c r="CNM19" s="42"/>
      <c r="CNN19" s="40"/>
      <c r="CNO19" s="66"/>
      <c r="CNP19" s="66"/>
      <c r="CNQ19" s="66"/>
      <c r="CNR19" s="41"/>
      <c r="CNS19" s="134"/>
      <c r="CNT19" s="41"/>
      <c r="CNU19" s="41"/>
      <c r="CNV19" s="41"/>
      <c r="CNW19" s="41"/>
      <c r="CNX19" s="41"/>
      <c r="CNY19" s="139"/>
      <c r="CNZ19" s="41"/>
      <c r="COA19" s="41"/>
      <c r="COB19" s="41"/>
      <c r="COC19" s="41"/>
      <c r="COD19" s="41"/>
      <c r="COE19" s="76"/>
      <c r="COF19" s="41"/>
      <c r="COG19" s="41"/>
      <c r="COH19" s="41"/>
      <c r="COI19" s="41"/>
      <c r="COJ19" s="41"/>
      <c r="COK19" s="139"/>
      <c r="COL19" s="41"/>
      <c r="COM19" s="41"/>
      <c r="CON19" s="41"/>
      <c r="COO19" s="41"/>
      <c r="COP19" s="41"/>
      <c r="COQ19" s="76"/>
      <c r="COR19" s="66"/>
      <c r="COS19" s="66"/>
      <c r="COT19" s="66"/>
      <c r="COU19" s="66"/>
      <c r="COV19" s="41"/>
      <c r="COW19" s="139"/>
      <c r="COX19" s="41"/>
      <c r="COY19" s="41"/>
      <c r="COZ19" s="41"/>
      <c r="CPA19" s="41"/>
      <c r="CPB19" s="41"/>
      <c r="CPC19" s="76"/>
      <c r="CPD19" s="41"/>
      <c r="CPE19" s="41"/>
      <c r="CPF19" s="41"/>
      <c r="CPG19" s="41"/>
      <c r="CPH19" s="41"/>
      <c r="CPI19" s="139"/>
      <c r="CPJ19" s="41"/>
      <c r="CPK19" s="41"/>
      <c r="CPL19" s="41"/>
      <c r="CPM19" s="41"/>
      <c r="CPN19" s="41"/>
      <c r="CPO19" s="76"/>
      <c r="CPP19" s="41"/>
      <c r="CPQ19" s="41"/>
      <c r="CPR19" s="41"/>
      <c r="CPS19" s="41"/>
      <c r="CPT19" s="41"/>
      <c r="CPU19" s="42"/>
      <c r="CPV19" s="40"/>
      <c r="CPW19" s="66"/>
      <c r="CPX19" s="66"/>
      <c r="CPY19" s="66"/>
      <c r="CPZ19" s="41"/>
      <c r="CQA19" s="134"/>
      <c r="CQB19" s="41"/>
      <c r="CQC19" s="41"/>
      <c r="CQD19" s="41"/>
      <c r="CQE19" s="41"/>
      <c r="CQF19" s="41"/>
      <c r="CQG19" s="139"/>
      <c r="CQH19" s="41"/>
      <c r="CQI19" s="41"/>
      <c r="CQJ19" s="41"/>
      <c r="CQK19" s="41"/>
      <c r="CQL19" s="41"/>
      <c r="CQM19" s="76"/>
      <c r="CQN19" s="41"/>
      <c r="CQO19" s="41"/>
      <c r="CQP19" s="41"/>
      <c r="CQQ19" s="41"/>
      <c r="CQR19" s="41"/>
      <c r="CQS19" s="139"/>
      <c r="CQT19" s="41"/>
      <c r="CQU19" s="41"/>
      <c r="CQV19" s="41"/>
      <c r="CQW19" s="41"/>
      <c r="CQX19" s="41"/>
      <c r="CQY19" s="76"/>
      <c r="CQZ19" s="66"/>
      <c r="CRA19" s="66"/>
      <c r="CRB19" s="66"/>
      <c r="CRC19" s="66"/>
      <c r="CRD19" s="41"/>
      <c r="CRE19" s="139"/>
      <c r="CRF19" s="41"/>
      <c r="CRG19" s="41"/>
      <c r="CRH19" s="41"/>
      <c r="CRI19" s="41"/>
      <c r="CRJ19" s="41"/>
      <c r="CRK19" s="76"/>
      <c r="CRL19" s="41"/>
      <c r="CRM19" s="41"/>
      <c r="CRN19" s="41"/>
      <c r="CRO19" s="41"/>
      <c r="CRP19" s="41"/>
      <c r="CRQ19" s="139"/>
      <c r="CRR19" s="41"/>
      <c r="CRS19" s="41"/>
      <c r="CRT19" s="41"/>
      <c r="CRU19" s="41"/>
      <c r="CRV19" s="41"/>
      <c r="CRW19" s="76"/>
      <c r="CRX19" s="41"/>
      <c r="CRY19" s="41"/>
      <c r="CRZ19" s="41"/>
      <c r="CSA19" s="41"/>
      <c r="CSB19" s="41"/>
      <c r="CSC19" s="42"/>
      <c r="CSD19" s="90"/>
    </row>
    <row r="20" spans="1:2526" ht="20.100000000000001" customHeight="1" x14ac:dyDescent="0.25">
      <c r="A20" s="100" t="s">
        <v>19</v>
      </c>
      <c r="B20" s="63" t="str">
        <f>IF(LEN(C25)=0,"",C25)</f>
        <v>Analyse - Planification</v>
      </c>
      <c r="C20" s="212"/>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190"/>
      <c r="EF20" s="190"/>
      <c r="EG20" s="191"/>
      <c r="EH20" s="190"/>
      <c r="EI20" s="190"/>
      <c r="EJ20" s="190"/>
      <c r="EK20" s="190"/>
      <c r="EL20" s="190"/>
      <c r="EM20" s="189"/>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28"/>
      <c r="BLW20" s="67"/>
      <c r="BLX20" s="67"/>
      <c r="BLY20" s="67"/>
      <c r="BLZ20" s="29"/>
      <c r="BMA20" s="131"/>
      <c r="BMB20" s="29"/>
      <c r="BMC20" s="29"/>
      <c r="BMD20" s="29"/>
      <c r="BME20" s="29"/>
      <c r="BMF20" s="29"/>
      <c r="BMG20" s="136"/>
      <c r="BMH20" s="29"/>
      <c r="BMI20" s="29"/>
      <c r="BMJ20" s="29"/>
      <c r="BMK20" s="29"/>
      <c r="BML20" s="29"/>
      <c r="BMM20" s="75"/>
      <c r="BMN20" s="29"/>
      <c r="BMO20" s="29"/>
      <c r="BMP20" s="29"/>
      <c r="BMQ20" s="29"/>
      <c r="BMR20" s="29"/>
      <c r="BMS20" s="136"/>
      <c r="BMT20" s="29"/>
      <c r="BMU20" s="29"/>
      <c r="BMV20" s="29"/>
      <c r="BMW20" s="29"/>
      <c r="BMX20" s="29"/>
      <c r="BMY20" s="75"/>
      <c r="BMZ20" s="67"/>
      <c r="BNA20" s="67"/>
      <c r="BNB20" s="67"/>
      <c r="BNC20" s="67"/>
      <c r="BND20" s="29"/>
      <c r="BNE20" s="136"/>
      <c r="BNF20" s="29"/>
      <c r="BNG20" s="29"/>
      <c r="BNH20" s="29"/>
      <c r="BNI20" s="29"/>
      <c r="BNJ20" s="37"/>
      <c r="BNK20" s="75"/>
      <c r="BNL20" s="29"/>
      <c r="BNM20" s="29"/>
      <c r="BNN20" s="29"/>
      <c r="BNO20" s="29"/>
      <c r="BNP20" s="29"/>
      <c r="BNQ20" s="136"/>
      <c r="BNR20" s="29"/>
      <c r="BNS20" s="29"/>
      <c r="BNT20" s="29"/>
      <c r="BNU20" s="29"/>
      <c r="BNV20" s="29"/>
      <c r="BNW20" s="75"/>
      <c r="BNX20" s="29"/>
      <c r="BNY20" s="29"/>
      <c r="BNZ20" s="29"/>
      <c r="BOA20" s="29"/>
      <c r="BOB20" s="29"/>
      <c r="BOC20" s="30"/>
      <c r="BOD20" s="28"/>
      <c r="BOE20" s="67"/>
      <c r="BOF20" s="67"/>
      <c r="BOG20" s="67"/>
      <c r="BOH20" s="29"/>
      <c r="BOI20" s="131"/>
      <c r="BOJ20" s="29"/>
      <c r="BOK20" s="29"/>
      <c r="BOL20" s="29"/>
      <c r="BOM20" s="29"/>
      <c r="BON20" s="29"/>
      <c r="BOO20" s="136"/>
      <c r="BOP20" s="29"/>
      <c r="BOQ20" s="29"/>
      <c r="BOR20" s="29"/>
      <c r="BOS20" s="29"/>
      <c r="BOT20" s="29"/>
      <c r="BOU20" s="75"/>
      <c r="BOV20" s="29"/>
      <c r="BOW20" s="29"/>
      <c r="BOX20" s="29"/>
      <c r="BOY20" s="29"/>
      <c r="BOZ20" s="29"/>
      <c r="BPA20" s="136"/>
      <c r="BPB20" s="29"/>
      <c r="BPC20" s="29"/>
      <c r="BPD20" s="29"/>
      <c r="BPE20" s="29"/>
      <c r="BPF20" s="29"/>
      <c r="BPG20" s="75"/>
      <c r="BPH20" s="67"/>
      <c r="BPI20" s="67"/>
      <c r="BPJ20" s="67"/>
      <c r="BPK20" s="67"/>
      <c r="BPL20" s="29"/>
      <c r="BPM20" s="136"/>
      <c r="BPN20" s="29"/>
      <c r="BPO20" s="29"/>
      <c r="BPP20" s="29"/>
      <c r="BPQ20" s="29"/>
      <c r="BPR20" s="37"/>
      <c r="BPS20" s="75"/>
      <c r="BPT20" s="29"/>
      <c r="BPU20" s="29"/>
      <c r="BPV20" s="29"/>
      <c r="BPW20" s="29"/>
      <c r="BPX20" s="29"/>
      <c r="BPY20" s="136"/>
      <c r="BPZ20" s="29"/>
      <c r="BQA20" s="29"/>
      <c r="BQB20" s="29"/>
      <c r="BQC20" s="29"/>
      <c r="BQD20" s="29"/>
      <c r="BQE20" s="75"/>
      <c r="BQF20" s="29"/>
      <c r="BQG20" s="29"/>
      <c r="BQH20" s="29"/>
      <c r="BQI20" s="29"/>
      <c r="BQJ20" s="29"/>
      <c r="BQK20" s="30"/>
      <c r="BQL20" s="28"/>
      <c r="BQM20" s="67"/>
      <c r="BQN20" s="67"/>
      <c r="BQO20" s="67"/>
      <c r="BQP20" s="29"/>
      <c r="BQQ20" s="131"/>
      <c r="BQR20" s="29"/>
      <c r="BQS20" s="29"/>
      <c r="BQT20" s="29"/>
      <c r="BQU20" s="29"/>
      <c r="BQV20" s="29"/>
      <c r="BQW20" s="136"/>
      <c r="BQX20" s="29"/>
      <c r="BQY20" s="29"/>
      <c r="BQZ20" s="29"/>
      <c r="BRA20" s="29"/>
      <c r="BRB20" s="29"/>
      <c r="BRC20" s="75"/>
      <c r="BRD20" s="29"/>
      <c r="BRE20" s="29"/>
      <c r="BRF20" s="29"/>
      <c r="BRG20" s="29"/>
      <c r="BRH20" s="29"/>
      <c r="BRI20" s="136"/>
      <c r="BRJ20" s="29"/>
      <c r="BRK20" s="29"/>
      <c r="BRL20" s="29"/>
      <c r="BRM20" s="29"/>
      <c r="BRN20" s="29"/>
      <c r="BRO20" s="75"/>
      <c r="BRP20" s="67"/>
      <c r="BRQ20" s="67"/>
      <c r="BRR20" s="67"/>
      <c r="BRS20" s="67"/>
      <c r="BRT20" s="29"/>
      <c r="BRU20" s="136"/>
      <c r="BRV20" s="29"/>
      <c r="BRW20" s="29"/>
      <c r="BRX20" s="29"/>
      <c r="BRY20" s="29"/>
      <c r="BRZ20" s="37"/>
      <c r="BSA20" s="75"/>
      <c r="BSB20" s="29"/>
      <c r="BSC20" s="29"/>
      <c r="BSD20" s="29"/>
      <c r="BSE20" s="29"/>
      <c r="BSF20" s="29"/>
      <c r="BSG20" s="136"/>
      <c r="BSH20" s="29"/>
      <c r="BSI20" s="29"/>
      <c r="BSJ20" s="29"/>
      <c r="BSK20" s="29"/>
      <c r="BSL20" s="29"/>
      <c r="BSM20" s="75"/>
      <c r="BSN20" s="29"/>
      <c r="BSO20" s="29"/>
      <c r="BSP20" s="29"/>
      <c r="BSQ20" s="29"/>
      <c r="BSR20" s="29"/>
      <c r="BSS20" s="30"/>
      <c r="BST20" s="28"/>
      <c r="BSU20" s="67"/>
      <c r="BSV20" s="67"/>
      <c r="BSW20" s="67"/>
      <c r="BSX20" s="29"/>
      <c r="BSY20" s="131"/>
      <c r="BSZ20" s="29"/>
      <c r="BTA20" s="29"/>
      <c r="BTB20" s="29"/>
      <c r="BTC20" s="29"/>
      <c r="BTD20" s="29"/>
      <c r="BTE20" s="136"/>
      <c r="BTF20" s="29"/>
      <c r="BTG20" s="29"/>
      <c r="BTH20" s="29"/>
      <c r="BTI20" s="29"/>
      <c r="BTJ20" s="29"/>
      <c r="BTK20" s="75"/>
      <c r="BTL20" s="29"/>
      <c r="BTM20" s="29"/>
      <c r="BTN20" s="29"/>
      <c r="BTO20" s="29"/>
      <c r="BTP20" s="29"/>
      <c r="BTQ20" s="136"/>
      <c r="BTR20" s="29"/>
      <c r="BTS20" s="29"/>
      <c r="BTT20" s="29"/>
      <c r="BTU20" s="29"/>
      <c r="BTV20" s="29"/>
      <c r="BTW20" s="75"/>
      <c r="BTX20" s="67"/>
      <c r="BTY20" s="67"/>
      <c r="BTZ20" s="67"/>
      <c r="BUA20" s="67"/>
      <c r="BUB20" s="29"/>
      <c r="BUC20" s="136"/>
      <c r="BUD20" s="29"/>
      <c r="BUE20" s="29"/>
      <c r="BUF20" s="29"/>
      <c r="BUG20" s="29"/>
      <c r="BUH20" s="37"/>
      <c r="BUI20" s="75"/>
      <c r="BUJ20" s="29"/>
      <c r="BUK20" s="29"/>
      <c r="BUL20" s="29"/>
      <c r="BUM20" s="29"/>
      <c r="BUN20" s="29"/>
      <c r="BUO20" s="136"/>
      <c r="BUP20" s="29"/>
      <c r="BUQ20" s="29"/>
      <c r="BUR20" s="29"/>
      <c r="BUS20" s="29"/>
      <c r="BUT20" s="29"/>
      <c r="BUU20" s="75"/>
      <c r="BUV20" s="29"/>
      <c r="BUW20" s="29"/>
      <c r="BUX20" s="29"/>
      <c r="BUY20" s="29"/>
      <c r="BUZ20" s="29"/>
      <c r="BVA20" s="30"/>
      <c r="BVB20" s="28"/>
      <c r="BVC20" s="67"/>
      <c r="BVD20" s="67"/>
      <c r="BVE20" s="67"/>
      <c r="BVF20" s="29"/>
      <c r="BVG20" s="131"/>
      <c r="BVH20" s="29"/>
      <c r="BVI20" s="29"/>
      <c r="BVJ20" s="29"/>
      <c r="BVK20" s="29"/>
      <c r="BVL20" s="29"/>
      <c r="BVM20" s="136"/>
      <c r="BVN20" s="29"/>
      <c r="BVO20" s="29"/>
      <c r="BVP20" s="29"/>
      <c r="BVQ20" s="29"/>
      <c r="BVR20" s="29"/>
      <c r="BVS20" s="75"/>
      <c r="BVT20" s="29"/>
      <c r="BVU20" s="29"/>
      <c r="BVV20" s="29"/>
      <c r="BVW20" s="29"/>
      <c r="BVX20" s="29"/>
      <c r="BVY20" s="136"/>
      <c r="BVZ20" s="29"/>
      <c r="BWA20" s="29"/>
      <c r="BWB20" s="29"/>
      <c r="BWC20" s="29"/>
      <c r="BWD20" s="29"/>
      <c r="BWE20" s="75"/>
      <c r="BWF20" s="67"/>
      <c r="BWG20" s="67"/>
      <c r="BWH20" s="67"/>
      <c r="BWI20" s="67"/>
      <c r="BWJ20" s="29"/>
      <c r="BWK20" s="136"/>
      <c r="BWL20" s="29"/>
      <c r="BWM20" s="29"/>
      <c r="BWN20" s="29"/>
      <c r="BWO20" s="29"/>
      <c r="BWP20" s="37"/>
      <c r="BWQ20" s="75"/>
      <c r="BWR20" s="29"/>
      <c r="BWS20" s="29"/>
      <c r="BWT20" s="29"/>
      <c r="BWU20" s="29"/>
      <c r="BWV20" s="29"/>
      <c r="BWW20" s="136"/>
      <c r="BWX20" s="29"/>
      <c r="BWY20" s="29"/>
      <c r="BWZ20" s="29"/>
      <c r="BXA20" s="29"/>
      <c r="BXB20" s="29"/>
      <c r="BXC20" s="75"/>
      <c r="BXD20" s="29"/>
      <c r="BXE20" s="29"/>
      <c r="BXF20" s="29"/>
      <c r="BXG20" s="29"/>
      <c r="BXH20" s="29"/>
      <c r="BXI20" s="30"/>
      <c r="BXJ20" s="28"/>
      <c r="BXK20" s="67"/>
      <c r="BXL20" s="67"/>
      <c r="BXM20" s="67"/>
      <c r="BXN20" s="29"/>
      <c r="BXO20" s="131"/>
      <c r="BXP20" s="29"/>
      <c r="BXQ20" s="29"/>
      <c r="BXR20" s="29"/>
      <c r="BXS20" s="29"/>
      <c r="BXT20" s="29"/>
      <c r="BXU20" s="136"/>
      <c r="BXV20" s="29"/>
      <c r="BXW20" s="29"/>
      <c r="BXX20" s="29"/>
      <c r="BXY20" s="29"/>
      <c r="BXZ20" s="29"/>
      <c r="BYA20" s="75"/>
      <c r="BYB20" s="29"/>
      <c r="BYC20" s="29"/>
      <c r="BYD20" s="29"/>
      <c r="BYE20" s="29"/>
      <c r="BYF20" s="29"/>
      <c r="BYG20" s="136"/>
      <c r="BYH20" s="29"/>
      <c r="BYI20" s="29"/>
      <c r="BYJ20" s="29"/>
      <c r="BYK20" s="29"/>
      <c r="BYL20" s="29"/>
      <c r="BYM20" s="75"/>
      <c r="BYN20" s="67"/>
      <c r="BYO20" s="67"/>
      <c r="BYP20" s="67"/>
      <c r="BYQ20" s="67"/>
      <c r="BYR20" s="29"/>
      <c r="BYS20" s="136"/>
      <c r="BYT20" s="29"/>
      <c r="BYU20" s="29"/>
      <c r="BYV20" s="29"/>
      <c r="BYW20" s="29"/>
      <c r="BYX20" s="37"/>
      <c r="BYY20" s="75"/>
      <c r="BYZ20" s="29"/>
      <c r="BZA20" s="29"/>
      <c r="BZB20" s="29"/>
      <c r="BZC20" s="29"/>
      <c r="BZD20" s="29"/>
      <c r="BZE20" s="136"/>
      <c r="BZF20" s="29"/>
      <c r="BZG20" s="29"/>
      <c r="BZH20" s="29"/>
      <c r="BZI20" s="29"/>
      <c r="BZJ20" s="29"/>
      <c r="BZK20" s="75"/>
      <c r="BZL20" s="29"/>
      <c r="BZM20" s="29"/>
      <c r="BZN20" s="29"/>
      <c r="BZO20" s="29"/>
      <c r="BZP20" s="29"/>
      <c r="BZQ20" s="30"/>
      <c r="BZR20" s="28"/>
      <c r="BZS20" s="67"/>
      <c r="BZT20" s="67"/>
      <c r="BZU20" s="67"/>
      <c r="BZV20" s="29"/>
      <c r="BZW20" s="131"/>
      <c r="BZX20" s="29"/>
      <c r="BZY20" s="29"/>
      <c r="BZZ20" s="29"/>
      <c r="CAA20" s="29"/>
      <c r="CAB20" s="29"/>
      <c r="CAC20" s="136"/>
      <c r="CAD20" s="29"/>
      <c r="CAE20" s="29"/>
      <c r="CAF20" s="29"/>
      <c r="CAG20" s="29"/>
      <c r="CAH20" s="29"/>
      <c r="CAI20" s="75"/>
      <c r="CAJ20" s="29"/>
      <c r="CAK20" s="29"/>
      <c r="CAL20" s="29"/>
      <c r="CAM20" s="29"/>
      <c r="CAN20" s="29"/>
      <c r="CAO20" s="136"/>
      <c r="CAP20" s="29"/>
      <c r="CAQ20" s="29"/>
      <c r="CAR20" s="29"/>
      <c r="CAS20" s="29"/>
      <c r="CAT20" s="29"/>
      <c r="CAU20" s="75"/>
      <c r="CAV20" s="67"/>
      <c r="CAW20" s="67"/>
      <c r="CAX20" s="67"/>
      <c r="CAY20" s="67"/>
      <c r="CAZ20" s="29"/>
      <c r="CBA20" s="136"/>
      <c r="CBB20" s="29"/>
      <c r="CBC20" s="29"/>
      <c r="CBD20" s="29"/>
      <c r="CBE20" s="29"/>
      <c r="CBF20" s="37"/>
      <c r="CBG20" s="75"/>
      <c r="CBH20" s="29"/>
      <c r="CBI20" s="29"/>
      <c r="CBJ20" s="29"/>
      <c r="CBK20" s="29"/>
      <c r="CBL20" s="29"/>
      <c r="CBM20" s="136"/>
      <c r="CBN20" s="29"/>
      <c r="CBO20" s="29"/>
      <c r="CBP20" s="29"/>
      <c r="CBQ20" s="29"/>
      <c r="CBR20" s="29"/>
      <c r="CBS20" s="75"/>
      <c r="CBT20" s="29"/>
      <c r="CBU20" s="29"/>
      <c r="CBV20" s="29"/>
      <c r="CBW20" s="29"/>
      <c r="CBX20" s="29"/>
      <c r="CBY20" s="30"/>
      <c r="CBZ20" s="28"/>
      <c r="CCA20" s="67"/>
      <c r="CCB20" s="67"/>
      <c r="CCC20" s="67"/>
      <c r="CCD20" s="29"/>
      <c r="CCE20" s="131"/>
      <c r="CCF20" s="29"/>
      <c r="CCG20" s="29"/>
      <c r="CCH20" s="29"/>
      <c r="CCI20" s="29"/>
      <c r="CCJ20" s="29"/>
      <c r="CCK20" s="136"/>
      <c r="CCL20" s="29"/>
      <c r="CCM20" s="29"/>
      <c r="CCN20" s="29"/>
      <c r="CCO20" s="29"/>
      <c r="CCP20" s="29"/>
      <c r="CCQ20" s="75"/>
      <c r="CCR20" s="29"/>
      <c r="CCS20" s="29"/>
      <c r="CCT20" s="29"/>
      <c r="CCU20" s="29"/>
      <c r="CCV20" s="29"/>
      <c r="CCW20" s="136"/>
      <c r="CCX20" s="29"/>
      <c r="CCY20" s="29"/>
      <c r="CCZ20" s="29"/>
      <c r="CDA20" s="29"/>
      <c r="CDB20" s="29"/>
      <c r="CDC20" s="75"/>
      <c r="CDD20" s="67"/>
      <c r="CDE20" s="67"/>
      <c r="CDF20" s="67"/>
      <c r="CDG20" s="67"/>
      <c r="CDH20" s="29"/>
      <c r="CDI20" s="136"/>
      <c r="CDJ20" s="29"/>
      <c r="CDK20" s="29"/>
      <c r="CDL20" s="29"/>
      <c r="CDM20" s="29"/>
      <c r="CDN20" s="37"/>
      <c r="CDO20" s="75"/>
      <c r="CDP20" s="29"/>
      <c r="CDQ20" s="29"/>
      <c r="CDR20" s="29"/>
      <c r="CDS20" s="29"/>
      <c r="CDT20" s="29"/>
      <c r="CDU20" s="136"/>
      <c r="CDV20" s="29"/>
      <c r="CDW20" s="29"/>
      <c r="CDX20" s="29"/>
      <c r="CDY20" s="29"/>
      <c r="CDZ20" s="29"/>
      <c r="CEA20" s="75"/>
      <c r="CEB20" s="29"/>
      <c r="CEC20" s="29"/>
      <c r="CED20" s="29"/>
      <c r="CEE20" s="29"/>
      <c r="CEF20" s="29"/>
      <c r="CEG20" s="30"/>
      <c r="CEH20" s="28"/>
      <c r="CEI20" s="67"/>
      <c r="CEJ20" s="67"/>
      <c r="CEK20" s="67"/>
      <c r="CEL20" s="29"/>
      <c r="CEM20" s="131"/>
      <c r="CEN20" s="29"/>
      <c r="CEO20" s="29"/>
      <c r="CEP20" s="29"/>
      <c r="CEQ20" s="29"/>
      <c r="CER20" s="29"/>
      <c r="CES20" s="136"/>
      <c r="CET20" s="29"/>
      <c r="CEU20" s="29"/>
      <c r="CEV20" s="29"/>
      <c r="CEW20" s="29"/>
      <c r="CEX20" s="29"/>
      <c r="CEY20" s="75"/>
      <c r="CEZ20" s="29"/>
      <c r="CFA20" s="29"/>
      <c r="CFB20" s="29"/>
      <c r="CFC20" s="29"/>
      <c r="CFD20" s="29"/>
      <c r="CFE20" s="136"/>
      <c r="CFF20" s="29"/>
      <c r="CFG20" s="29"/>
      <c r="CFH20" s="29"/>
      <c r="CFI20" s="29"/>
      <c r="CFJ20" s="29"/>
      <c r="CFK20" s="75"/>
      <c r="CFL20" s="67"/>
      <c r="CFM20" s="67"/>
      <c r="CFN20" s="67"/>
      <c r="CFO20" s="67"/>
      <c r="CFP20" s="29"/>
      <c r="CFQ20" s="136"/>
      <c r="CFR20" s="29"/>
      <c r="CFS20" s="29"/>
      <c r="CFT20" s="29"/>
      <c r="CFU20" s="29"/>
      <c r="CFV20" s="37"/>
      <c r="CFW20" s="75"/>
      <c r="CFX20" s="29"/>
      <c r="CFY20" s="29"/>
      <c r="CFZ20" s="29"/>
      <c r="CGA20" s="29"/>
      <c r="CGB20" s="29"/>
      <c r="CGC20" s="136"/>
      <c r="CGD20" s="29"/>
      <c r="CGE20" s="29"/>
      <c r="CGF20" s="29"/>
      <c r="CGG20" s="29"/>
      <c r="CGH20" s="29"/>
      <c r="CGI20" s="75"/>
      <c r="CGJ20" s="29"/>
      <c r="CGK20" s="29"/>
      <c r="CGL20" s="29"/>
      <c r="CGM20" s="29"/>
      <c r="CGN20" s="29"/>
      <c r="CGO20" s="30"/>
      <c r="CGP20" s="28"/>
      <c r="CGQ20" s="67"/>
      <c r="CGR20" s="67"/>
      <c r="CGS20" s="67"/>
      <c r="CGT20" s="29"/>
      <c r="CGU20" s="131"/>
      <c r="CGV20" s="29"/>
      <c r="CGW20" s="29"/>
      <c r="CGX20" s="29"/>
      <c r="CGY20" s="29"/>
      <c r="CGZ20" s="29"/>
      <c r="CHA20" s="136"/>
      <c r="CHB20" s="29"/>
      <c r="CHC20" s="29"/>
      <c r="CHD20" s="29"/>
      <c r="CHE20" s="29"/>
      <c r="CHF20" s="29"/>
      <c r="CHG20" s="75"/>
      <c r="CHH20" s="29"/>
      <c r="CHI20" s="29"/>
      <c r="CHJ20" s="29"/>
      <c r="CHK20" s="29"/>
      <c r="CHL20" s="29"/>
      <c r="CHM20" s="136"/>
      <c r="CHN20" s="29"/>
      <c r="CHO20" s="29"/>
      <c r="CHP20" s="29"/>
      <c r="CHQ20" s="29"/>
      <c r="CHR20" s="29"/>
      <c r="CHS20" s="75"/>
      <c r="CHT20" s="67"/>
      <c r="CHU20" s="67"/>
      <c r="CHV20" s="67"/>
      <c r="CHW20" s="67"/>
      <c r="CHX20" s="29"/>
      <c r="CHY20" s="136"/>
      <c r="CHZ20" s="29"/>
      <c r="CIA20" s="29"/>
      <c r="CIB20" s="29"/>
      <c r="CIC20" s="29"/>
      <c r="CID20" s="37"/>
      <c r="CIE20" s="75"/>
      <c r="CIF20" s="29"/>
      <c r="CIG20" s="29"/>
      <c r="CIH20" s="29"/>
      <c r="CII20" s="29"/>
      <c r="CIJ20" s="29"/>
      <c r="CIK20" s="136"/>
      <c r="CIL20" s="29"/>
      <c r="CIM20" s="29"/>
      <c r="CIN20" s="29"/>
      <c r="CIO20" s="29"/>
      <c r="CIP20" s="29"/>
      <c r="CIQ20" s="75"/>
      <c r="CIR20" s="29"/>
      <c r="CIS20" s="29"/>
      <c r="CIT20" s="29"/>
      <c r="CIU20" s="29"/>
      <c r="CIV20" s="29"/>
      <c r="CIW20" s="30"/>
      <c r="CIX20" s="28"/>
      <c r="CIY20" s="67"/>
      <c r="CIZ20" s="67"/>
      <c r="CJA20" s="67"/>
      <c r="CJB20" s="29"/>
      <c r="CJC20" s="131"/>
      <c r="CJD20" s="29"/>
      <c r="CJE20" s="29"/>
      <c r="CJF20" s="29"/>
      <c r="CJG20" s="29"/>
      <c r="CJH20" s="29"/>
      <c r="CJI20" s="136"/>
      <c r="CJJ20" s="29"/>
      <c r="CJK20" s="29"/>
      <c r="CJL20" s="29"/>
      <c r="CJM20" s="29"/>
      <c r="CJN20" s="29"/>
      <c r="CJO20" s="75"/>
      <c r="CJP20" s="29"/>
      <c r="CJQ20" s="29"/>
      <c r="CJR20" s="29"/>
      <c r="CJS20" s="29"/>
      <c r="CJT20" s="29"/>
      <c r="CJU20" s="136"/>
      <c r="CJV20" s="29"/>
      <c r="CJW20" s="29"/>
      <c r="CJX20" s="29"/>
      <c r="CJY20" s="29"/>
      <c r="CJZ20" s="29"/>
      <c r="CKA20" s="75"/>
      <c r="CKB20" s="67"/>
      <c r="CKC20" s="67"/>
      <c r="CKD20" s="67"/>
      <c r="CKE20" s="67"/>
      <c r="CKF20" s="29"/>
      <c r="CKG20" s="136"/>
      <c r="CKH20" s="29"/>
      <c r="CKI20" s="29"/>
      <c r="CKJ20" s="29"/>
      <c r="CKK20" s="29"/>
      <c r="CKL20" s="37"/>
      <c r="CKM20" s="75"/>
      <c r="CKN20" s="29"/>
      <c r="CKO20" s="29"/>
      <c r="CKP20" s="29"/>
      <c r="CKQ20" s="29"/>
      <c r="CKR20" s="29"/>
      <c r="CKS20" s="136"/>
      <c r="CKT20" s="29"/>
      <c r="CKU20" s="29"/>
      <c r="CKV20" s="29"/>
      <c r="CKW20" s="29"/>
      <c r="CKX20" s="29"/>
      <c r="CKY20" s="75"/>
      <c r="CKZ20" s="29"/>
      <c r="CLA20" s="29"/>
      <c r="CLB20" s="29"/>
      <c r="CLC20" s="29"/>
      <c r="CLD20" s="29"/>
      <c r="CLE20" s="30"/>
      <c r="CLF20" s="28"/>
      <c r="CLG20" s="67"/>
      <c r="CLH20" s="67"/>
      <c r="CLI20" s="67"/>
      <c r="CLJ20" s="29"/>
      <c r="CLK20" s="131"/>
      <c r="CLL20" s="29"/>
      <c r="CLM20" s="29"/>
      <c r="CLN20" s="29"/>
      <c r="CLO20" s="29"/>
      <c r="CLP20" s="29"/>
      <c r="CLQ20" s="136"/>
      <c r="CLR20" s="29"/>
      <c r="CLS20" s="29"/>
      <c r="CLT20" s="29"/>
      <c r="CLU20" s="29"/>
      <c r="CLV20" s="29"/>
      <c r="CLW20" s="75"/>
      <c r="CLX20" s="29"/>
      <c r="CLY20" s="29"/>
      <c r="CLZ20" s="29"/>
      <c r="CMA20" s="29"/>
      <c r="CMB20" s="29"/>
      <c r="CMC20" s="136"/>
      <c r="CMD20" s="29"/>
      <c r="CME20" s="29"/>
      <c r="CMF20" s="29"/>
      <c r="CMG20" s="29"/>
      <c r="CMH20" s="29"/>
      <c r="CMI20" s="75"/>
      <c r="CMJ20" s="67"/>
      <c r="CMK20" s="67"/>
      <c r="CML20" s="67"/>
      <c r="CMM20" s="67"/>
      <c r="CMN20" s="29"/>
      <c r="CMO20" s="136"/>
      <c r="CMP20" s="29"/>
      <c r="CMQ20" s="29"/>
      <c r="CMR20" s="29"/>
      <c r="CMS20" s="29"/>
      <c r="CMT20" s="37"/>
      <c r="CMU20" s="75"/>
      <c r="CMV20" s="29"/>
      <c r="CMW20" s="29"/>
      <c r="CMX20" s="29"/>
      <c r="CMY20" s="29"/>
      <c r="CMZ20" s="29"/>
      <c r="CNA20" s="136"/>
      <c r="CNB20" s="29"/>
      <c r="CNC20" s="29"/>
      <c r="CND20" s="29"/>
      <c r="CNE20" s="29"/>
      <c r="CNF20" s="29"/>
      <c r="CNG20" s="75"/>
      <c r="CNH20" s="29"/>
      <c r="CNI20" s="29"/>
      <c r="CNJ20" s="29"/>
      <c r="CNK20" s="29"/>
      <c r="CNL20" s="29"/>
      <c r="CNM20" s="30"/>
      <c r="CNN20" s="28"/>
      <c r="CNO20" s="67"/>
      <c r="CNP20" s="67"/>
      <c r="CNQ20" s="67"/>
      <c r="CNR20" s="29"/>
      <c r="CNS20" s="131"/>
      <c r="CNT20" s="29"/>
      <c r="CNU20" s="29"/>
      <c r="CNV20" s="29"/>
      <c r="CNW20" s="29"/>
      <c r="CNX20" s="29"/>
      <c r="CNY20" s="136"/>
      <c r="CNZ20" s="29"/>
      <c r="COA20" s="29"/>
      <c r="COB20" s="29"/>
      <c r="COC20" s="29"/>
      <c r="COD20" s="29"/>
      <c r="COE20" s="75"/>
      <c r="COF20" s="29"/>
      <c r="COG20" s="29"/>
      <c r="COH20" s="29"/>
      <c r="COI20" s="29"/>
      <c r="COJ20" s="29"/>
      <c r="COK20" s="136"/>
      <c r="COL20" s="29"/>
      <c r="COM20" s="29"/>
      <c r="CON20" s="29"/>
      <c r="COO20" s="29"/>
      <c r="COP20" s="29"/>
      <c r="COQ20" s="75"/>
      <c r="COR20" s="67"/>
      <c r="COS20" s="67"/>
      <c r="COT20" s="67"/>
      <c r="COU20" s="67"/>
      <c r="COV20" s="29"/>
      <c r="COW20" s="136"/>
      <c r="COX20" s="29"/>
      <c r="COY20" s="29"/>
      <c r="COZ20" s="29"/>
      <c r="CPA20" s="29"/>
      <c r="CPB20" s="37"/>
      <c r="CPC20" s="75"/>
      <c r="CPD20" s="29"/>
      <c r="CPE20" s="29"/>
      <c r="CPF20" s="29"/>
      <c r="CPG20" s="29"/>
      <c r="CPH20" s="29"/>
      <c r="CPI20" s="136"/>
      <c r="CPJ20" s="29"/>
      <c r="CPK20" s="29"/>
      <c r="CPL20" s="29"/>
      <c r="CPM20" s="29"/>
      <c r="CPN20" s="29"/>
      <c r="CPO20" s="75"/>
      <c r="CPP20" s="29"/>
      <c r="CPQ20" s="29"/>
      <c r="CPR20" s="29"/>
      <c r="CPS20" s="29"/>
      <c r="CPT20" s="29"/>
      <c r="CPU20" s="30"/>
      <c r="CPV20" s="28"/>
      <c r="CPW20" s="67"/>
      <c r="CPX20" s="67"/>
      <c r="CPY20" s="67"/>
      <c r="CPZ20" s="29"/>
      <c r="CQA20" s="131"/>
      <c r="CQB20" s="29"/>
      <c r="CQC20" s="29"/>
      <c r="CQD20" s="29"/>
      <c r="CQE20" s="29"/>
      <c r="CQF20" s="29"/>
      <c r="CQG20" s="136"/>
      <c r="CQH20" s="29"/>
      <c r="CQI20" s="29"/>
      <c r="CQJ20" s="29"/>
      <c r="CQK20" s="29"/>
      <c r="CQL20" s="29"/>
      <c r="CQM20" s="75"/>
      <c r="CQN20" s="29"/>
      <c r="CQO20" s="29"/>
      <c r="CQP20" s="29"/>
      <c r="CQQ20" s="29"/>
      <c r="CQR20" s="29"/>
      <c r="CQS20" s="136"/>
      <c r="CQT20" s="29"/>
      <c r="CQU20" s="29"/>
      <c r="CQV20" s="29"/>
      <c r="CQW20" s="29"/>
      <c r="CQX20" s="29"/>
      <c r="CQY20" s="75"/>
      <c r="CQZ20" s="67"/>
      <c r="CRA20" s="67"/>
      <c r="CRB20" s="67"/>
      <c r="CRC20" s="67"/>
      <c r="CRD20" s="29"/>
      <c r="CRE20" s="136"/>
      <c r="CRF20" s="29"/>
      <c r="CRG20" s="29"/>
      <c r="CRH20" s="29"/>
      <c r="CRI20" s="29"/>
      <c r="CRJ20" s="37"/>
      <c r="CRK20" s="75"/>
      <c r="CRL20" s="29"/>
      <c r="CRM20" s="29"/>
      <c r="CRN20" s="29"/>
      <c r="CRO20" s="29"/>
      <c r="CRP20" s="29"/>
      <c r="CRQ20" s="136"/>
      <c r="CRR20" s="29"/>
      <c r="CRS20" s="29"/>
      <c r="CRT20" s="29"/>
      <c r="CRU20" s="29"/>
      <c r="CRV20" s="29"/>
      <c r="CRW20" s="75"/>
      <c r="CRX20" s="29"/>
      <c r="CRY20" s="29"/>
      <c r="CRZ20" s="29"/>
      <c r="CSA20" s="29"/>
      <c r="CSB20" s="29"/>
      <c r="CSC20" s="30"/>
      <c r="CSD20" s="90"/>
    </row>
    <row r="21" spans="1:2526" ht="20.100000000000001" customHeight="1" x14ac:dyDescent="0.25">
      <c r="A21" s="100" t="s">
        <v>18</v>
      </c>
      <c r="B21" s="63" t="str">
        <f>IF(LEN(C27)=0,"",C27)</f>
        <v>Analyse - Analyse SWOT</v>
      </c>
      <c r="C21" s="211" t="s">
        <v>45</v>
      </c>
      <c r="D21" s="146" t="str">
        <f t="shared" si="0"/>
        <v>15h45min</v>
      </c>
      <c r="E21" s="31">
        <v>189</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165"/>
      <c r="NC21" s="166"/>
      <c r="ND21" s="166"/>
      <c r="NE21" s="166"/>
      <c r="NF21" s="167"/>
      <c r="NG21" s="168"/>
      <c r="NH21" s="167"/>
      <c r="NI21" s="167"/>
      <c r="NJ21" s="167"/>
      <c r="NK21" s="167"/>
      <c r="NL21" s="167"/>
      <c r="NM21" s="169"/>
      <c r="NN21" s="167"/>
      <c r="NO21" s="167"/>
      <c r="NP21" s="167"/>
      <c r="NQ21" s="167"/>
      <c r="NR21" s="167"/>
      <c r="NS21" s="170"/>
      <c r="NT21" s="167"/>
      <c r="NU21" s="167"/>
      <c r="NV21" s="167"/>
      <c r="NW21" s="167"/>
      <c r="NX21" s="167"/>
      <c r="NY21" s="169"/>
      <c r="NZ21" s="167"/>
      <c r="OA21" s="167"/>
      <c r="OB21" s="167"/>
      <c r="OC21" s="167"/>
      <c r="OD21" s="167"/>
      <c r="OE21" s="170"/>
      <c r="OF21" s="166"/>
      <c r="OG21" s="166"/>
      <c r="OH21" s="166"/>
      <c r="OI21" s="166"/>
      <c r="OJ21" s="167"/>
      <c r="OK21" s="169"/>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165"/>
      <c r="PK21" s="166"/>
      <c r="PL21" s="166"/>
      <c r="PM21" s="166"/>
      <c r="PN21" s="167"/>
      <c r="PO21" s="168"/>
      <c r="PP21" s="167"/>
      <c r="PQ21" s="167"/>
      <c r="PR21" s="167"/>
      <c r="PS21" s="167"/>
      <c r="PT21" s="167"/>
      <c r="PU21" s="169"/>
      <c r="PV21" s="167"/>
      <c r="PW21" s="167"/>
      <c r="PX21" s="167"/>
      <c r="PY21" s="167"/>
      <c r="PZ21" s="167"/>
      <c r="QA21" s="170"/>
      <c r="QB21" s="167"/>
      <c r="QC21" s="167"/>
      <c r="QD21" s="167"/>
      <c r="QE21" s="167"/>
      <c r="QF21" s="167"/>
      <c r="QG21" s="169"/>
      <c r="QH21" s="167"/>
      <c r="QI21" s="167"/>
      <c r="QJ21" s="167"/>
      <c r="QK21" s="167"/>
      <c r="QL21" s="167"/>
      <c r="QM21" s="170"/>
      <c r="QN21" s="166"/>
      <c r="QO21" s="166"/>
      <c r="QP21" s="166"/>
      <c r="QQ21" s="166"/>
      <c r="QR21" s="167"/>
      <c r="QS21" s="169"/>
      <c r="QT21" s="167"/>
      <c r="QU21" s="167"/>
      <c r="QV21" s="167"/>
      <c r="QW21" s="167"/>
      <c r="QX21" s="167"/>
      <c r="QY21" s="170"/>
      <c r="QZ21" s="167"/>
      <c r="RA21" s="167"/>
      <c r="RB21" s="167"/>
      <c r="RC21" s="33"/>
      <c r="RD21" s="33"/>
      <c r="RE21" s="137"/>
      <c r="RF21" s="33"/>
      <c r="RG21" s="33"/>
      <c r="RH21" s="33"/>
      <c r="RI21" s="33"/>
      <c r="RJ21" s="33"/>
      <c r="RK21" s="74"/>
      <c r="RL21" s="33"/>
      <c r="RM21" s="33"/>
      <c r="RN21" s="33"/>
      <c r="RO21" s="33"/>
      <c r="RP21" s="33"/>
      <c r="RQ21" s="34"/>
      <c r="RR21" s="165"/>
      <c r="RS21" s="166"/>
      <c r="RT21" s="166"/>
      <c r="RU21" s="166"/>
      <c r="RV21" s="167"/>
      <c r="RW21" s="168"/>
      <c r="RX21" s="167"/>
      <c r="RY21" s="167"/>
      <c r="RZ21" s="167"/>
      <c r="SA21" s="167"/>
      <c r="SB21" s="167"/>
      <c r="SC21" s="169"/>
      <c r="SD21" s="167"/>
      <c r="SE21" s="167"/>
      <c r="SF21" s="167"/>
      <c r="SG21" s="167"/>
      <c r="SH21" s="167"/>
      <c r="SI21" s="170"/>
      <c r="SJ21" s="167"/>
      <c r="SK21" s="167"/>
      <c r="SL21" s="167"/>
      <c r="SM21" s="167"/>
      <c r="SN21" s="167"/>
      <c r="SO21" s="169"/>
      <c r="SP21" s="167"/>
      <c r="SQ21" s="167"/>
      <c r="SR21" s="167"/>
      <c r="SS21" s="167"/>
      <c r="ST21" s="167"/>
      <c r="SU21" s="170"/>
      <c r="SV21" s="166"/>
      <c r="SW21" s="166"/>
      <c r="SX21" s="166"/>
      <c r="SY21" s="166"/>
      <c r="SZ21" s="167"/>
      <c r="TA21" s="169"/>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165"/>
      <c r="UA21" s="166"/>
      <c r="UB21" s="166"/>
      <c r="UC21" s="166"/>
      <c r="UD21" s="167"/>
      <c r="UE21" s="168"/>
      <c r="UF21" s="167"/>
      <c r="UG21" s="167"/>
      <c r="UH21" s="167"/>
      <c r="UI21" s="167"/>
      <c r="UJ21" s="167"/>
      <c r="UK21" s="169"/>
      <c r="UL21" s="167"/>
      <c r="UM21" s="167"/>
      <c r="UN21" s="167"/>
      <c r="UO21" s="167"/>
      <c r="UP21" s="167"/>
      <c r="UQ21" s="170"/>
      <c r="UR21" s="167"/>
      <c r="US21" s="167"/>
      <c r="UT21" s="167"/>
      <c r="UU21" s="167"/>
      <c r="UV21" s="167"/>
      <c r="UW21" s="169"/>
      <c r="UX21" s="167"/>
      <c r="UY21" s="167"/>
      <c r="UZ21" s="167"/>
      <c r="VA21" s="167"/>
      <c r="VB21" s="167"/>
      <c r="VC21" s="170"/>
      <c r="VD21" s="166"/>
      <c r="VE21" s="166"/>
      <c r="VF21" s="166"/>
      <c r="VG21" s="166"/>
      <c r="VH21" s="167"/>
      <c r="VI21" s="169"/>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165"/>
      <c r="WI21" s="166"/>
      <c r="WJ21" s="166"/>
      <c r="WK21" s="166"/>
      <c r="WL21" s="167"/>
      <c r="WM21" s="168"/>
      <c r="WN21" s="167"/>
      <c r="WO21" s="167"/>
      <c r="WP21" s="167"/>
      <c r="WQ21" s="167"/>
      <c r="WR21" s="167"/>
      <c r="WS21" s="169"/>
      <c r="WT21" s="167"/>
      <c r="WU21" s="167"/>
      <c r="WV21" s="167"/>
      <c r="WW21" s="167"/>
      <c r="WX21" s="167"/>
      <c r="WY21" s="170"/>
      <c r="WZ21" s="167"/>
      <c r="XA21" s="167"/>
      <c r="XB21" s="167"/>
      <c r="XC21" s="167"/>
      <c r="XD21" s="167"/>
      <c r="XE21" s="169"/>
      <c r="XF21" s="167"/>
      <c r="XG21" s="167"/>
      <c r="XH21" s="167"/>
      <c r="XI21" s="167"/>
      <c r="XJ21" s="167"/>
      <c r="XK21" s="170"/>
      <c r="XL21" s="166"/>
      <c r="XM21" s="166"/>
      <c r="XN21" s="166"/>
      <c r="XO21" s="166"/>
      <c r="XP21" s="167"/>
      <c r="XQ21" s="169"/>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32"/>
      <c r="BLW21" s="64"/>
      <c r="BLX21" s="64"/>
      <c r="BLY21" s="64"/>
      <c r="BLZ21" s="33"/>
      <c r="BMA21" s="132"/>
      <c r="BMB21" s="33"/>
      <c r="BMC21" s="33"/>
      <c r="BMD21" s="33"/>
      <c r="BME21" s="33"/>
      <c r="BMF21" s="33"/>
      <c r="BMG21" s="137"/>
      <c r="BMH21" s="33"/>
      <c r="BMI21" s="33"/>
      <c r="BMJ21" s="33"/>
      <c r="BMK21" s="33"/>
      <c r="BML21" s="33"/>
      <c r="BMM21" s="74"/>
      <c r="BMN21" s="33"/>
      <c r="BMO21" s="33"/>
      <c r="BMP21" s="33"/>
      <c r="BMQ21" s="33"/>
      <c r="BMR21" s="33"/>
      <c r="BMS21" s="137"/>
      <c r="BMT21" s="33"/>
      <c r="BMU21" s="33"/>
      <c r="BMV21" s="33"/>
      <c r="BMW21" s="33"/>
      <c r="BMX21" s="33"/>
      <c r="BMY21" s="74"/>
      <c r="BMZ21" s="64"/>
      <c r="BNA21" s="64"/>
      <c r="BNB21" s="64"/>
      <c r="BNC21" s="64"/>
      <c r="BND21" s="33"/>
      <c r="BNE21" s="137"/>
      <c r="BNF21" s="33"/>
      <c r="BNG21" s="33"/>
      <c r="BNH21" s="33"/>
      <c r="BNI21" s="33"/>
      <c r="BNJ21" s="33"/>
      <c r="BNK21" s="74"/>
      <c r="BNL21" s="33"/>
      <c r="BNM21" s="33"/>
      <c r="BNN21" s="33"/>
      <c r="BNO21" s="33"/>
      <c r="BNP21" s="33"/>
      <c r="BNQ21" s="137"/>
      <c r="BNR21" s="33"/>
      <c r="BNS21" s="33"/>
      <c r="BNT21" s="33"/>
      <c r="BNU21" s="33"/>
      <c r="BNV21" s="33"/>
      <c r="BNW21" s="74"/>
      <c r="BNX21" s="33"/>
      <c r="BNY21" s="33"/>
      <c r="BNZ21" s="33"/>
      <c r="BOA21" s="33"/>
      <c r="BOB21" s="33"/>
      <c r="BOC21" s="34"/>
      <c r="BOD21" s="32"/>
      <c r="BOE21" s="64"/>
      <c r="BOF21" s="64"/>
      <c r="BOG21" s="64"/>
      <c r="BOH21" s="33"/>
      <c r="BOI21" s="132"/>
      <c r="BOJ21" s="33"/>
      <c r="BOK21" s="33"/>
      <c r="BOL21" s="33"/>
      <c r="BOM21" s="33"/>
      <c r="BON21" s="33"/>
      <c r="BOO21" s="137"/>
      <c r="BOP21" s="33"/>
      <c r="BOQ21" s="33"/>
      <c r="BOR21" s="33"/>
      <c r="BOS21" s="33"/>
      <c r="BOT21" s="33"/>
      <c r="BOU21" s="74"/>
      <c r="BOV21" s="33"/>
      <c r="BOW21" s="33"/>
      <c r="BOX21" s="33"/>
      <c r="BOY21" s="33"/>
      <c r="BOZ21" s="33"/>
      <c r="BPA21" s="137"/>
      <c r="BPB21" s="33"/>
      <c r="BPC21" s="33"/>
      <c r="BPD21" s="33"/>
      <c r="BPE21" s="33"/>
      <c r="BPF21" s="33"/>
      <c r="BPG21" s="74"/>
      <c r="BPH21" s="64"/>
      <c r="BPI21" s="64"/>
      <c r="BPJ21" s="64"/>
      <c r="BPK21" s="64"/>
      <c r="BPL21" s="33"/>
      <c r="BPM21" s="137"/>
      <c r="BPN21" s="33"/>
      <c r="BPO21" s="33"/>
      <c r="BPP21" s="33"/>
      <c r="BPQ21" s="33"/>
      <c r="BPR21" s="33"/>
      <c r="BPS21" s="74"/>
      <c r="BPT21" s="33"/>
      <c r="BPU21" s="33"/>
      <c r="BPV21" s="33"/>
      <c r="BPW21" s="33"/>
      <c r="BPX21" s="33"/>
      <c r="BPY21" s="137"/>
      <c r="BPZ21" s="33"/>
      <c r="BQA21" s="33"/>
      <c r="BQB21" s="33"/>
      <c r="BQC21" s="33"/>
      <c r="BQD21" s="33"/>
      <c r="BQE21" s="74"/>
      <c r="BQF21" s="33"/>
      <c r="BQG21" s="33"/>
      <c r="BQH21" s="33"/>
      <c r="BQI21" s="33"/>
      <c r="BQJ21" s="33"/>
      <c r="BQK21" s="34"/>
      <c r="BQL21" s="32"/>
      <c r="BQM21" s="64"/>
      <c r="BQN21" s="64"/>
      <c r="BQO21" s="64"/>
      <c r="BQP21" s="33"/>
      <c r="BQQ21" s="132"/>
      <c r="BQR21" s="33"/>
      <c r="BQS21" s="33"/>
      <c r="BQT21" s="33"/>
      <c r="BQU21" s="33"/>
      <c r="BQV21" s="33"/>
      <c r="BQW21" s="137"/>
      <c r="BQX21" s="33"/>
      <c r="BQY21" s="33"/>
      <c r="BQZ21" s="33"/>
      <c r="BRA21" s="33"/>
      <c r="BRB21" s="33"/>
      <c r="BRC21" s="74"/>
      <c r="BRD21" s="33"/>
      <c r="BRE21" s="33"/>
      <c r="BRF21" s="33"/>
      <c r="BRG21" s="33"/>
      <c r="BRH21" s="33"/>
      <c r="BRI21" s="137"/>
      <c r="BRJ21" s="33"/>
      <c r="BRK21" s="33"/>
      <c r="BRL21" s="33"/>
      <c r="BRM21" s="33"/>
      <c r="BRN21" s="33"/>
      <c r="BRO21" s="74"/>
      <c r="BRP21" s="64"/>
      <c r="BRQ21" s="64"/>
      <c r="BRR21" s="64"/>
      <c r="BRS21" s="64"/>
      <c r="BRT21" s="33"/>
      <c r="BRU21" s="137"/>
      <c r="BRV21" s="33"/>
      <c r="BRW21" s="33"/>
      <c r="BRX21" s="33"/>
      <c r="BRY21" s="33"/>
      <c r="BRZ21" s="33"/>
      <c r="BSA21" s="74"/>
      <c r="BSB21" s="33"/>
      <c r="BSC21" s="33"/>
      <c r="BSD21" s="33"/>
      <c r="BSE21" s="33"/>
      <c r="BSF21" s="33"/>
      <c r="BSG21" s="137"/>
      <c r="BSH21" s="33"/>
      <c r="BSI21" s="33"/>
      <c r="BSJ21" s="33"/>
      <c r="BSK21" s="33"/>
      <c r="BSL21" s="33"/>
      <c r="BSM21" s="74"/>
      <c r="BSN21" s="33"/>
      <c r="BSO21" s="33"/>
      <c r="BSP21" s="33"/>
      <c r="BSQ21" s="33"/>
      <c r="BSR21" s="33"/>
      <c r="BSS21" s="34"/>
      <c r="BST21" s="32"/>
      <c r="BSU21" s="64"/>
      <c r="BSV21" s="64"/>
      <c r="BSW21" s="64"/>
      <c r="BSX21" s="33"/>
      <c r="BSY21" s="132"/>
      <c r="BSZ21" s="33"/>
      <c r="BTA21" s="33"/>
      <c r="BTB21" s="33"/>
      <c r="BTC21" s="33"/>
      <c r="BTD21" s="33"/>
      <c r="BTE21" s="137"/>
      <c r="BTF21" s="33"/>
      <c r="BTG21" s="33"/>
      <c r="BTH21" s="33"/>
      <c r="BTI21" s="33"/>
      <c r="BTJ21" s="33"/>
      <c r="BTK21" s="74"/>
      <c r="BTL21" s="33"/>
      <c r="BTM21" s="33"/>
      <c r="BTN21" s="33"/>
      <c r="BTO21" s="33"/>
      <c r="BTP21" s="33"/>
      <c r="BTQ21" s="137"/>
      <c r="BTR21" s="33"/>
      <c r="BTS21" s="33"/>
      <c r="BTT21" s="33"/>
      <c r="BTU21" s="33"/>
      <c r="BTV21" s="33"/>
      <c r="BTW21" s="74"/>
      <c r="BTX21" s="64"/>
      <c r="BTY21" s="64"/>
      <c r="BTZ21" s="64"/>
      <c r="BUA21" s="64"/>
      <c r="BUB21" s="33"/>
      <c r="BUC21" s="137"/>
      <c r="BUD21" s="33"/>
      <c r="BUE21" s="33"/>
      <c r="BUF21" s="33"/>
      <c r="BUG21" s="33"/>
      <c r="BUH21" s="33"/>
      <c r="BUI21" s="74"/>
      <c r="BUJ21" s="33"/>
      <c r="BUK21" s="33"/>
      <c r="BUL21" s="33"/>
      <c r="BUM21" s="33"/>
      <c r="BUN21" s="33"/>
      <c r="BUO21" s="137"/>
      <c r="BUP21" s="33"/>
      <c r="BUQ21" s="33"/>
      <c r="BUR21" s="33"/>
      <c r="BUS21" s="33"/>
      <c r="BUT21" s="33"/>
      <c r="BUU21" s="74"/>
      <c r="BUV21" s="33"/>
      <c r="BUW21" s="33"/>
      <c r="BUX21" s="33"/>
      <c r="BUY21" s="33"/>
      <c r="BUZ21" s="33"/>
      <c r="BVA21" s="34"/>
      <c r="BVB21" s="32"/>
      <c r="BVC21" s="64"/>
      <c r="BVD21" s="64"/>
      <c r="BVE21" s="64"/>
      <c r="BVF21" s="33"/>
      <c r="BVG21" s="132"/>
      <c r="BVH21" s="33"/>
      <c r="BVI21" s="33"/>
      <c r="BVJ21" s="33"/>
      <c r="BVK21" s="33"/>
      <c r="BVL21" s="33"/>
      <c r="BVM21" s="137"/>
      <c r="BVN21" s="33"/>
      <c r="BVO21" s="33"/>
      <c r="BVP21" s="33"/>
      <c r="BVQ21" s="33"/>
      <c r="BVR21" s="33"/>
      <c r="BVS21" s="74"/>
      <c r="BVT21" s="33"/>
      <c r="BVU21" s="33"/>
      <c r="BVV21" s="33"/>
      <c r="BVW21" s="33"/>
      <c r="BVX21" s="33"/>
      <c r="BVY21" s="137"/>
      <c r="BVZ21" s="33"/>
      <c r="BWA21" s="33"/>
      <c r="BWB21" s="33"/>
      <c r="BWC21" s="33"/>
      <c r="BWD21" s="33"/>
      <c r="BWE21" s="74"/>
      <c r="BWF21" s="64"/>
      <c r="BWG21" s="64"/>
      <c r="BWH21" s="64"/>
      <c r="BWI21" s="64"/>
      <c r="BWJ21" s="33"/>
      <c r="BWK21" s="137"/>
      <c r="BWL21" s="33"/>
      <c r="BWM21" s="33"/>
      <c r="BWN21" s="33"/>
      <c r="BWO21" s="33"/>
      <c r="BWP21" s="33"/>
      <c r="BWQ21" s="74"/>
      <c r="BWR21" s="33"/>
      <c r="BWS21" s="33"/>
      <c r="BWT21" s="33"/>
      <c r="BWU21" s="33"/>
      <c r="BWV21" s="33"/>
      <c r="BWW21" s="137"/>
      <c r="BWX21" s="33"/>
      <c r="BWY21" s="33"/>
      <c r="BWZ21" s="33"/>
      <c r="BXA21" s="33"/>
      <c r="BXB21" s="33"/>
      <c r="BXC21" s="74"/>
      <c r="BXD21" s="33"/>
      <c r="BXE21" s="33"/>
      <c r="BXF21" s="33"/>
      <c r="BXG21" s="33"/>
      <c r="BXH21" s="33"/>
      <c r="BXI21" s="34"/>
      <c r="BXJ21" s="32"/>
      <c r="BXK21" s="64"/>
      <c r="BXL21" s="64"/>
      <c r="BXM21" s="64"/>
      <c r="BXN21" s="33"/>
      <c r="BXO21" s="132"/>
      <c r="BXP21" s="33"/>
      <c r="BXQ21" s="33"/>
      <c r="BXR21" s="33"/>
      <c r="BXS21" s="33"/>
      <c r="BXT21" s="33"/>
      <c r="BXU21" s="137"/>
      <c r="BXV21" s="33"/>
      <c r="BXW21" s="33"/>
      <c r="BXX21" s="33"/>
      <c r="BXY21" s="33"/>
      <c r="BXZ21" s="33"/>
      <c r="BYA21" s="74"/>
      <c r="BYB21" s="33"/>
      <c r="BYC21" s="33"/>
      <c r="BYD21" s="33"/>
      <c r="BYE21" s="33"/>
      <c r="BYF21" s="33"/>
      <c r="BYG21" s="137"/>
      <c r="BYH21" s="33"/>
      <c r="BYI21" s="33"/>
      <c r="BYJ21" s="33"/>
      <c r="BYK21" s="33"/>
      <c r="BYL21" s="33"/>
      <c r="BYM21" s="74"/>
      <c r="BYN21" s="64"/>
      <c r="BYO21" s="64"/>
      <c r="BYP21" s="64"/>
      <c r="BYQ21" s="64"/>
      <c r="BYR21" s="33"/>
      <c r="BYS21" s="137"/>
      <c r="BYT21" s="33"/>
      <c r="BYU21" s="33"/>
      <c r="BYV21" s="33"/>
      <c r="BYW21" s="33"/>
      <c r="BYX21" s="33"/>
      <c r="BYY21" s="74"/>
      <c r="BYZ21" s="33"/>
      <c r="BZA21" s="33"/>
      <c r="BZB21" s="33"/>
      <c r="BZC21" s="33"/>
      <c r="BZD21" s="33"/>
      <c r="BZE21" s="137"/>
      <c r="BZF21" s="33"/>
      <c r="BZG21" s="33"/>
      <c r="BZH21" s="33"/>
      <c r="BZI21" s="33"/>
      <c r="BZJ21" s="33"/>
      <c r="BZK21" s="74"/>
      <c r="BZL21" s="33"/>
      <c r="BZM21" s="33"/>
      <c r="BZN21" s="33"/>
      <c r="BZO21" s="33"/>
      <c r="BZP21" s="33"/>
      <c r="BZQ21" s="34"/>
      <c r="BZR21" s="32"/>
      <c r="BZS21" s="64"/>
      <c r="BZT21" s="64"/>
      <c r="BZU21" s="64"/>
      <c r="BZV21" s="33"/>
      <c r="BZW21" s="132"/>
      <c r="BZX21" s="33"/>
      <c r="BZY21" s="33"/>
      <c r="BZZ21" s="33"/>
      <c r="CAA21" s="33"/>
      <c r="CAB21" s="33"/>
      <c r="CAC21" s="137"/>
      <c r="CAD21" s="33"/>
      <c r="CAE21" s="33"/>
      <c r="CAF21" s="33"/>
      <c r="CAG21" s="33"/>
      <c r="CAH21" s="33"/>
      <c r="CAI21" s="74"/>
      <c r="CAJ21" s="33"/>
      <c r="CAK21" s="33"/>
      <c r="CAL21" s="33"/>
      <c r="CAM21" s="33"/>
      <c r="CAN21" s="33"/>
      <c r="CAO21" s="137"/>
      <c r="CAP21" s="33"/>
      <c r="CAQ21" s="33"/>
      <c r="CAR21" s="33"/>
      <c r="CAS21" s="33"/>
      <c r="CAT21" s="33"/>
      <c r="CAU21" s="74"/>
      <c r="CAV21" s="64"/>
      <c r="CAW21" s="64"/>
      <c r="CAX21" s="64"/>
      <c r="CAY21" s="64"/>
      <c r="CAZ21" s="33"/>
      <c r="CBA21" s="137"/>
      <c r="CBB21" s="33"/>
      <c r="CBC21" s="33"/>
      <c r="CBD21" s="33"/>
      <c r="CBE21" s="33"/>
      <c r="CBF21" s="33"/>
      <c r="CBG21" s="74"/>
      <c r="CBH21" s="33"/>
      <c r="CBI21" s="33"/>
      <c r="CBJ21" s="33"/>
      <c r="CBK21" s="33"/>
      <c r="CBL21" s="33"/>
      <c r="CBM21" s="137"/>
      <c r="CBN21" s="33"/>
      <c r="CBO21" s="33"/>
      <c r="CBP21" s="33"/>
      <c r="CBQ21" s="33"/>
      <c r="CBR21" s="33"/>
      <c r="CBS21" s="74"/>
      <c r="CBT21" s="33"/>
      <c r="CBU21" s="33"/>
      <c r="CBV21" s="33"/>
      <c r="CBW21" s="33"/>
      <c r="CBX21" s="33"/>
      <c r="CBY21" s="34"/>
      <c r="CBZ21" s="32"/>
      <c r="CCA21" s="64"/>
      <c r="CCB21" s="64"/>
      <c r="CCC21" s="64"/>
      <c r="CCD21" s="33"/>
      <c r="CCE21" s="132"/>
      <c r="CCF21" s="33"/>
      <c r="CCG21" s="33"/>
      <c r="CCH21" s="33"/>
      <c r="CCI21" s="33"/>
      <c r="CCJ21" s="33"/>
      <c r="CCK21" s="137"/>
      <c r="CCL21" s="33"/>
      <c r="CCM21" s="33"/>
      <c r="CCN21" s="33"/>
      <c r="CCO21" s="33"/>
      <c r="CCP21" s="33"/>
      <c r="CCQ21" s="74"/>
      <c r="CCR21" s="33"/>
      <c r="CCS21" s="33"/>
      <c r="CCT21" s="33"/>
      <c r="CCU21" s="33"/>
      <c r="CCV21" s="33"/>
      <c r="CCW21" s="137"/>
      <c r="CCX21" s="33"/>
      <c r="CCY21" s="33"/>
      <c r="CCZ21" s="33"/>
      <c r="CDA21" s="33"/>
      <c r="CDB21" s="33"/>
      <c r="CDC21" s="74"/>
      <c r="CDD21" s="64"/>
      <c r="CDE21" s="64"/>
      <c r="CDF21" s="64"/>
      <c r="CDG21" s="64"/>
      <c r="CDH21" s="33"/>
      <c r="CDI21" s="137"/>
      <c r="CDJ21" s="33"/>
      <c r="CDK21" s="33"/>
      <c r="CDL21" s="33"/>
      <c r="CDM21" s="33"/>
      <c r="CDN21" s="33"/>
      <c r="CDO21" s="74"/>
      <c r="CDP21" s="33"/>
      <c r="CDQ21" s="33"/>
      <c r="CDR21" s="33"/>
      <c r="CDS21" s="33"/>
      <c r="CDT21" s="33"/>
      <c r="CDU21" s="137"/>
      <c r="CDV21" s="33"/>
      <c r="CDW21" s="33"/>
      <c r="CDX21" s="33"/>
      <c r="CDY21" s="33"/>
      <c r="CDZ21" s="33"/>
      <c r="CEA21" s="74"/>
      <c r="CEB21" s="33"/>
      <c r="CEC21" s="33"/>
      <c r="CED21" s="33"/>
      <c r="CEE21" s="33"/>
      <c r="CEF21" s="33"/>
      <c r="CEG21" s="34"/>
      <c r="CEH21" s="32"/>
      <c r="CEI21" s="64"/>
      <c r="CEJ21" s="64"/>
      <c r="CEK21" s="64"/>
      <c r="CEL21" s="33"/>
      <c r="CEM21" s="132"/>
      <c r="CEN21" s="33"/>
      <c r="CEO21" s="33"/>
      <c r="CEP21" s="33"/>
      <c r="CEQ21" s="33"/>
      <c r="CER21" s="33"/>
      <c r="CES21" s="137"/>
      <c r="CET21" s="33"/>
      <c r="CEU21" s="33"/>
      <c r="CEV21" s="33"/>
      <c r="CEW21" s="33"/>
      <c r="CEX21" s="33"/>
      <c r="CEY21" s="74"/>
      <c r="CEZ21" s="33"/>
      <c r="CFA21" s="33"/>
      <c r="CFB21" s="33"/>
      <c r="CFC21" s="33"/>
      <c r="CFD21" s="33"/>
      <c r="CFE21" s="137"/>
      <c r="CFF21" s="33"/>
      <c r="CFG21" s="33"/>
      <c r="CFH21" s="33"/>
      <c r="CFI21" s="33"/>
      <c r="CFJ21" s="33"/>
      <c r="CFK21" s="74"/>
      <c r="CFL21" s="64"/>
      <c r="CFM21" s="64"/>
      <c r="CFN21" s="64"/>
      <c r="CFO21" s="64"/>
      <c r="CFP21" s="33"/>
      <c r="CFQ21" s="137"/>
      <c r="CFR21" s="33"/>
      <c r="CFS21" s="33"/>
      <c r="CFT21" s="33"/>
      <c r="CFU21" s="33"/>
      <c r="CFV21" s="33"/>
      <c r="CFW21" s="74"/>
      <c r="CFX21" s="33"/>
      <c r="CFY21" s="33"/>
      <c r="CFZ21" s="33"/>
      <c r="CGA21" s="33"/>
      <c r="CGB21" s="33"/>
      <c r="CGC21" s="137"/>
      <c r="CGD21" s="33"/>
      <c r="CGE21" s="33"/>
      <c r="CGF21" s="33"/>
      <c r="CGG21" s="33"/>
      <c r="CGH21" s="33"/>
      <c r="CGI21" s="74"/>
      <c r="CGJ21" s="33"/>
      <c r="CGK21" s="33"/>
      <c r="CGL21" s="33"/>
      <c r="CGM21" s="33"/>
      <c r="CGN21" s="33"/>
      <c r="CGO21" s="34"/>
      <c r="CGP21" s="32"/>
      <c r="CGQ21" s="64"/>
      <c r="CGR21" s="64"/>
      <c r="CGS21" s="64"/>
      <c r="CGT21" s="33"/>
      <c r="CGU21" s="132"/>
      <c r="CGV21" s="33"/>
      <c r="CGW21" s="33"/>
      <c r="CGX21" s="33"/>
      <c r="CGY21" s="33"/>
      <c r="CGZ21" s="33"/>
      <c r="CHA21" s="137"/>
      <c r="CHB21" s="33"/>
      <c r="CHC21" s="33"/>
      <c r="CHD21" s="33"/>
      <c r="CHE21" s="33"/>
      <c r="CHF21" s="33"/>
      <c r="CHG21" s="74"/>
      <c r="CHH21" s="33"/>
      <c r="CHI21" s="33"/>
      <c r="CHJ21" s="33"/>
      <c r="CHK21" s="33"/>
      <c r="CHL21" s="33"/>
      <c r="CHM21" s="137"/>
      <c r="CHN21" s="33"/>
      <c r="CHO21" s="33"/>
      <c r="CHP21" s="33"/>
      <c r="CHQ21" s="33"/>
      <c r="CHR21" s="33"/>
      <c r="CHS21" s="74"/>
      <c r="CHT21" s="64"/>
      <c r="CHU21" s="64"/>
      <c r="CHV21" s="64"/>
      <c r="CHW21" s="64"/>
      <c r="CHX21" s="33"/>
      <c r="CHY21" s="137"/>
      <c r="CHZ21" s="33"/>
      <c r="CIA21" s="33"/>
      <c r="CIB21" s="33"/>
      <c r="CIC21" s="33"/>
      <c r="CID21" s="33"/>
      <c r="CIE21" s="74"/>
      <c r="CIF21" s="33"/>
      <c r="CIG21" s="33"/>
      <c r="CIH21" s="33"/>
      <c r="CII21" s="33"/>
      <c r="CIJ21" s="33"/>
      <c r="CIK21" s="137"/>
      <c r="CIL21" s="33"/>
      <c r="CIM21" s="33"/>
      <c r="CIN21" s="33"/>
      <c r="CIO21" s="33"/>
      <c r="CIP21" s="33"/>
      <c r="CIQ21" s="74"/>
      <c r="CIR21" s="33"/>
      <c r="CIS21" s="33"/>
      <c r="CIT21" s="33"/>
      <c r="CIU21" s="33"/>
      <c r="CIV21" s="33"/>
      <c r="CIW21" s="34"/>
      <c r="CIX21" s="32"/>
      <c r="CIY21" s="64"/>
      <c r="CIZ21" s="64"/>
      <c r="CJA21" s="64"/>
      <c r="CJB21" s="33"/>
      <c r="CJC21" s="132"/>
      <c r="CJD21" s="33"/>
      <c r="CJE21" s="33"/>
      <c r="CJF21" s="33"/>
      <c r="CJG21" s="33"/>
      <c r="CJH21" s="33"/>
      <c r="CJI21" s="137"/>
      <c r="CJJ21" s="33"/>
      <c r="CJK21" s="33"/>
      <c r="CJL21" s="33"/>
      <c r="CJM21" s="33"/>
      <c r="CJN21" s="33"/>
      <c r="CJO21" s="74"/>
      <c r="CJP21" s="33"/>
      <c r="CJQ21" s="33"/>
      <c r="CJR21" s="33"/>
      <c r="CJS21" s="33"/>
      <c r="CJT21" s="33"/>
      <c r="CJU21" s="137"/>
      <c r="CJV21" s="33"/>
      <c r="CJW21" s="33"/>
      <c r="CJX21" s="33"/>
      <c r="CJY21" s="33"/>
      <c r="CJZ21" s="33"/>
      <c r="CKA21" s="74"/>
      <c r="CKB21" s="64"/>
      <c r="CKC21" s="64"/>
      <c r="CKD21" s="64"/>
      <c r="CKE21" s="64"/>
      <c r="CKF21" s="33"/>
      <c r="CKG21" s="137"/>
      <c r="CKH21" s="33"/>
      <c r="CKI21" s="33"/>
      <c r="CKJ21" s="33"/>
      <c r="CKK21" s="33"/>
      <c r="CKL21" s="33"/>
      <c r="CKM21" s="74"/>
      <c r="CKN21" s="33"/>
      <c r="CKO21" s="33"/>
      <c r="CKP21" s="33"/>
      <c r="CKQ21" s="33"/>
      <c r="CKR21" s="33"/>
      <c r="CKS21" s="137"/>
      <c r="CKT21" s="33"/>
      <c r="CKU21" s="33"/>
      <c r="CKV21" s="33"/>
      <c r="CKW21" s="33"/>
      <c r="CKX21" s="33"/>
      <c r="CKY21" s="74"/>
      <c r="CKZ21" s="33"/>
      <c r="CLA21" s="33"/>
      <c r="CLB21" s="33"/>
      <c r="CLC21" s="33"/>
      <c r="CLD21" s="33"/>
      <c r="CLE21" s="34"/>
      <c r="CLF21" s="32"/>
      <c r="CLG21" s="64"/>
      <c r="CLH21" s="64"/>
      <c r="CLI21" s="64"/>
      <c r="CLJ21" s="33"/>
      <c r="CLK21" s="132"/>
      <c r="CLL21" s="33"/>
      <c r="CLM21" s="33"/>
      <c r="CLN21" s="33"/>
      <c r="CLO21" s="33"/>
      <c r="CLP21" s="33"/>
      <c r="CLQ21" s="137"/>
      <c r="CLR21" s="33"/>
      <c r="CLS21" s="33"/>
      <c r="CLT21" s="33"/>
      <c r="CLU21" s="33"/>
      <c r="CLV21" s="33"/>
      <c r="CLW21" s="74"/>
      <c r="CLX21" s="33"/>
      <c r="CLY21" s="33"/>
      <c r="CLZ21" s="33"/>
      <c r="CMA21" s="33"/>
      <c r="CMB21" s="33"/>
      <c r="CMC21" s="137"/>
      <c r="CMD21" s="33"/>
      <c r="CME21" s="33"/>
      <c r="CMF21" s="33"/>
      <c r="CMG21" s="33"/>
      <c r="CMH21" s="33"/>
      <c r="CMI21" s="74"/>
      <c r="CMJ21" s="64"/>
      <c r="CMK21" s="64"/>
      <c r="CML21" s="64"/>
      <c r="CMM21" s="64"/>
      <c r="CMN21" s="33"/>
      <c r="CMO21" s="137"/>
      <c r="CMP21" s="33"/>
      <c r="CMQ21" s="33"/>
      <c r="CMR21" s="33"/>
      <c r="CMS21" s="33"/>
      <c r="CMT21" s="33"/>
      <c r="CMU21" s="74"/>
      <c r="CMV21" s="33"/>
      <c r="CMW21" s="33"/>
      <c r="CMX21" s="33"/>
      <c r="CMY21" s="33"/>
      <c r="CMZ21" s="33"/>
      <c r="CNA21" s="137"/>
      <c r="CNB21" s="33"/>
      <c r="CNC21" s="33"/>
      <c r="CND21" s="33"/>
      <c r="CNE21" s="33"/>
      <c r="CNF21" s="33"/>
      <c r="CNG21" s="74"/>
      <c r="CNH21" s="33"/>
      <c r="CNI21" s="33"/>
      <c r="CNJ21" s="33"/>
      <c r="CNK21" s="33"/>
      <c r="CNL21" s="33"/>
      <c r="CNM21" s="34"/>
      <c r="CNN21" s="32"/>
      <c r="CNO21" s="64"/>
      <c r="CNP21" s="64"/>
      <c r="CNQ21" s="64"/>
      <c r="CNR21" s="33"/>
      <c r="CNS21" s="132"/>
      <c r="CNT21" s="33"/>
      <c r="CNU21" s="33"/>
      <c r="CNV21" s="33"/>
      <c r="CNW21" s="33"/>
      <c r="CNX21" s="33"/>
      <c r="CNY21" s="137"/>
      <c r="CNZ21" s="33"/>
      <c r="COA21" s="33"/>
      <c r="COB21" s="33"/>
      <c r="COC21" s="33"/>
      <c r="COD21" s="33"/>
      <c r="COE21" s="74"/>
      <c r="COF21" s="33"/>
      <c r="COG21" s="33"/>
      <c r="COH21" s="33"/>
      <c r="COI21" s="33"/>
      <c r="COJ21" s="33"/>
      <c r="COK21" s="137"/>
      <c r="COL21" s="33"/>
      <c r="COM21" s="33"/>
      <c r="CON21" s="33"/>
      <c r="COO21" s="33"/>
      <c r="COP21" s="33"/>
      <c r="COQ21" s="74"/>
      <c r="COR21" s="64"/>
      <c r="COS21" s="64"/>
      <c r="COT21" s="64"/>
      <c r="COU21" s="64"/>
      <c r="COV21" s="33"/>
      <c r="COW21" s="137"/>
      <c r="COX21" s="33"/>
      <c r="COY21" s="33"/>
      <c r="COZ21" s="33"/>
      <c r="CPA21" s="33"/>
      <c r="CPB21" s="33"/>
      <c r="CPC21" s="74"/>
      <c r="CPD21" s="33"/>
      <c r="CPE21" s="33"/>
      <c r="CPF21" s="33"/>
      <c r="CPG21" s="33"/>
      <c r="CPH21" s="33"/>
      <c r="CPI21" s="137"/>
      <c r="CPJ21" s="33"/>
      <c r="CPK21" s="33"/>
      <c r="CPL21" s="33"/>
      <c r="CPM21" s="33"/>
      <c r="CPN21" s="33"/>
      <c r="CPO21" s="74"/>
      <c r="CPP21" s="33"/>
      <c r="CPQ21" s="33"/>
      <c r="CPR21" s="33"/>
      <c r="CPS21" s="33"/>
      <c r="CPT21" s="33"/>
      <c r="CPU21" s="34"/>
      <c r="CPV21" s="32"/>
      <c r="CPW21" s="64"/>
      <c r="CPX21" s="64"/>
      <c r="CPY21" s="64"/>
      <c r="CPZ21" s="33"/>
      <c r="CQA21" s="132"/>
      <c r="CQB21" s="33"/>
      <c r="CQC21" s="33"/>
      <c r="CQD21" s="33"/>
      <c r="CQE21" s="33"/>
      <c r="CQF21" s="33"/>
      <c r="CQG21" s="137"/>
      <c r="CQH21" s="33"/>
      <c r="CQI21" s="33"/>
      <c r="CQJ21" s="33"/>
      <c r="CQK21" s="33"/>
      <c r="CQL21" s="33"/>
      <c r="CQM21" s="74"/>
      <c r="CQN21" s="33"/>
      <c r="CQO21" s="33"/>
      <c r="CQP21" s="33"/>
      <c r="CQQ21" s="33"/>
      <c r="CQR21" s="33"/>
      <c r="CQS21" s="137"/>
      <c r="CQT21" s="33"/>
      <c r="CQU21" s="33"/>
      <c r="CQV21" s="33"/>
      <c r="CQW21" s="33"/>
      <c r="CQX21" s="33"/>
      <c r="CQY21" s="74"/>
      <c r="CQZ21" s="64"/>
      <c r="CRA21" s="64"/>
      <c r="CRB21" s="64"/>
      <c r="CRC21" s="64"/>
      <c r="CRD21" s="33"/>
      <c r="CRE21" s="137"/>
      <c r="CRF21" s="33"/>
      <c r="CRG21" s="33"/>
      <c r="CRH21" s="33"/>
      <c r="CRI21" s="33"/>
      <c r="CRJ21" s="33"/>
      <c r="CRK21" s="74"/>
      <c r="CRL21" s="33"/>
      <c r="CRM21" s="33"/>
      <c r="CRN21" s="33"/>
      <c r="CRO21" s="33"/>
      <c r="CRP21" s="33"/>
      <c r="CRQ21" s="137"/>
      <c r="CRR21" s="33"/>
      <c r="CRS21" s="33"/>
      <c r="CRT21" s="33"/>
      <c r="CRU21" s="33"/>
      <c r="CRV21" s="33"/>
      <c r="CRW21" s="74"/>
      <c r="CRX21" s="33"/>
      <c r="CRY21" s="33"/>
      <c r="CRZ21" s="33"/>
      <c r="CSA21" s="33"/>
      <c r="CSB21" s="33"/>
      <c r="CSC21" s="34"/>
      <c r="CSD21" s="90"/>
    </row>
    <row r="22" spans="1:2526" ht="20.100000000000001" customHeight="1" x14ac:dyDescent="0.25">
      <c r="A22" s="100" t="s">
        <v>19</v>
      </c>
      <c r="B22" s="63" t="str">
        <f>IF(LEN(C29)=0,"",C29)</f>
        <v>Conception - Création des tests</v>
      </c>
      <c r="C22" s="212"/>
      <c r="D22" s="147" t="str">
        <f t="shared" si="0"/>
        <v>14h15min</v>
      </c>
      <c r="E22" s="35">
        <v>171</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184"/>
      <c r="KU22" s="185"/>
      <c r="KV22" s="185"/>
      <c r="KW22" s="185"/>
      <c r="KX22" s="186"/>
      <c r="KY22" s="187"/>
      <c r="KZ22" s="186"/>
      <c r="LA22" s="186"/>
      <c r="LB22" s="186"/>
      <c r="LC22" s="186"/>
      <c r="LD22" s="186"/>
      <c r="LE22" s="188"/>
      <c r="LF22" s="186"/>
      <c r="LG22" s="186"/>
      <c r="LH22" s="186"/>
      <c r="LI22" s="186"/>
      <c r="LJ22" s="186"/>
      <c r="LK22" s="189"/>
      <c r="LL22" s="186"/>
      <c r="LM22" s="186"/>
      <c r="LN22" s="186"/>
      <c r="LO22" s="186"/>
      <c r="LP22" s="186"/>
      <c r="LQ22" s="188"/>
      <c r="LR22" s="186"/>
      <c r="LS22" s="186"/>
      <c r="LT22" s="186"/>
      <c r="LU22" s="186"/>
      <c r="LV22" s="186"/>
      <c r="LW22" s="189"/>
      <c r="LX22" s="185"/>
      <c r="LY22" s="185"/>
      <c r="LZ22" s="185"/>
      <c r="MA22" s="185"/>
      <c r="MB22" s="186"/>
      <c r="MC22" s="18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184"/>
      <c r="NC22" s="185"/>
      <c r="ND22" s="185"/>
      <c r="NE22" s="185"/>
      <c r="NF22" s="186"/>
      <c r="NG22" s="187"/>
      <c r="NH22" s="186"/>
      <c r="NI22" s="186"/>
      <c r="NJ22" s="186"/>
      <c r="NK22" s="186"/>
      <c r="NL22" s="186"/>
      <c r="NM22" s="188"/>
      <c r="NN22" s="186"/>
      <c r="NO22" s="186"/>
      <c r="NP22" s="186"/>
      <c r="NQ22" s="186"/>
      <c r="NR22" s="186"/>
      <c r="NS22" s="189"/>
      <c r="NT22" s="186"/>
      <c r="NU22" s="186"/>
      <c r="NV22" s="186"/>
      <c r="NW22" s="186"/>
      <c r="NX22" s="186"/>
      <c r="NY22" s="188"/>
      <c r="NZ22" s="186"/>
      <c r="OA22" s="186"/>
      <c r="OB22" s="186"/>
      <c r="OC22" s="186"/>
      <c r="OD22" s="186"/>
      <c r="OE22" s="189"/>
      <c r="OF22" s="185"/>
      <c r="OG22" s="185"/>
      <c r="OH22" s="185"/>
      <c r="OI22" s="185"/>
      <c r="OJ22" s="186"/>
      <c r="OK22" s="188"/>
      <c r="OL22" s="186"/>
      <c r="OM22" s="186"/>
      <c r="ON22" s="186"/>
      <c r="OO22" s="186"/>
      <c r="OP22" s="186"/>
      <c r="OQ22" s="189"/>
      <c r="OR22" s="186"/>
      <c r="OS22" s="186"/>
      <c r="OT22" s="186"/>
      <c r="OU22" s="37"/>
      <c r="OV22" s="37"/>
      <c r="OW22" s="138"/>
      <c r="OX22" s="37"/>
      <c r="OY22" s="37"/>
      <c r="OZ22" s="37"/>
      <c r="PA22" s="37"/>
      <c r="PB22" s="37"/>
      <c r="PC22" s="75"/>
      <c r="PD22" s="37"/>
      <c r="PE22" s="37"/>
      <c r="PF22" s="37"/>
      <c r="PG22" s="37"/>
      <c r="PH22" s="37"/>
      <c r="PI22" s="38"/>
      <c r="PJ22" s="184"/>
      <c r="PK22" s="185"/>
      <c r="PL22" s="185"/>
      <c r="PM22" s="185"/>
      <c r="PN22" s="186"/>
      <c r="PO22" s="187"/>
      <c r="PP22" s="186"/>
      <c r="PQ22" s="186"/>
      <c r="PR22" s="186"/>
      <c r="PS22" s="186"/>
      <c r="PT22" s="186"/>
      <c r="PU22" s="188"/>
      <c r="PV22" s="186"/>
      <c r="PW22" s="186"/>
      <c r="PX22" s="186"/>
      <c r="PY22" s="186"/>
      <c r="PZ22" s="186"/>
      <c r="QA22" s="189"/>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184"/>
      <c r="RS22" s="185"/>
      <c r="RT22" s="185"/>
      <c r="RU22" s="185"/>
      <c r="RV22" s="186"/>
      <c r="RW22" s="187"/>
      <c r="RX22" s="186"/>
      <c r="RY22" s="186"/>
      <c r="RZ22" s="186"/>
      <c r="SA22" s="186"/>
      <c r="SB22" s="186"/>
      <c r="SC22" s="188"/>
      <c r="SD22" s="186"/>
      <c r="SE22" s="186"/>
      <c r="SF22" s="186"/>
      <c r="SG22" s="186"/>
      <c r="SH22" s="186"/>
      <c r="SI22" s="189"/>
      <c r="SJ22" s="186"/>
      <c r="SK22" s="186"/>
      <c r="SL22" s="186"/>
      <c r="SM22" s="186"/>
      <c r="SN22" s="186"/>
      <c r="SO22" s="188"/>
      <c r="SP22" s="186"/>
      <c r="SQ22" s="186"/>
      <c r="SR22" s="186"/>
      <c r="SS22" s="186"/>
      <c r="ST22" s="186"/>
      <c r="SU22" s="189"/>
      <c r="SV22" s="185"/>
      <c r="SW22" s="185"/>
      <c r="SX22" s="185"/>
      <c r="SY22" s="185"/>
      <c r="SZ22" s="186"/>
      <c r="TA22" s="188"/>
      <c r="TB22" s="186"/>
      <c r="TC22" s="186"/>
      <c r="TD22" s="186"/>
      <c r="TE22" s="186"/>
      <c r="TF22" s="186"/>
      <c r="TG22" s="189"/>
      <c r="TH22" s="186"/>
      <c r="TI22" s="186"/>
      <c r="TJ22" s="186"/>
      <c r="TK22" s="37"/>
      <c r="TL22" s="37"/>
      <c r="TM22" s="138"/>
      <c r="TN22" s="37"/>
      <c r="TO22" s="37"/>
      <c r="TP22" s="37"/>
      <c r="TQ22" s="37"/>
      <c r="TR22" s="37"/>
      <c r="TS22" s="75"/>
      <c r="TT22" s="37"/>
      <c r="TU22" s="37"/>
      <c r="TV22" s="37"/>
      <c r="TW22" s="37"/>
      <c r="TX22" s="37"/>
      <c r="TY22" s="38"/>
      <c r="TZ22" s="184"/>
      <c r="UA22" s="185"/>
      <c r="UB22" s="185"/>
      <c r="UC22" s="185"/>
      <c r="UD22" s="186"/>
      <c r="UE22" s="187"/>
      <c r="UF22" s="186"/>
      <c r="UG22" s="186"/>
      <c r="UH22" s="186"/>
      <c r="UI22" s="186"/>
      <c r="UJ22" s="186"/>
      <c r="UK22" s="188"/>
      <c r="UL22" s="186"/>
      <c r="UM22" s="186"/>
      <c r="UN22" s="186"/>
      <c r="UO22" s="186"/>
      <c r="UP22" s="186"/>
      <c r="UQ22" s="189"/>
      <c r="UR22" s="186"/>
      <c r="US22" s="186"/>
      <c r="UT22" s="186"/>
      <c r="UU22" s="186"/>
      <c r="UV22" s="186"/>
      <c r="UW22" s="188"/>
      <c r="UX22" s="186"/>
      <c r="UY22" s="186"/>
      <c r="UZ22" s="186"/>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36"/>
      <c r="BLW22" s="65"/>
      <c r="BLX22" s="65"/>
      <c r="BLY22" s="65"/>
      <c r="BLZ22" s="37"/>
      <c r="BMA22" s="133"/>
      <c r="BMB22" s="37"/>
      <c r="BMC22" s="37"/>
      <c r="BMD22" s="37"/>
      <c r="BME22" s="37"/>
      <c r="BMF22" s="37"/>
      <c r="BMG22" s="138"/>
      <c r="BMH22" s="37"/>
      <c r="BMI22" s="37"/>
      <c r="BMJ22" s="37"/>
      <c r="BMK22" s="37"/>
      <c r="BML22" s="37"/>
      <c r="BMM22" s="75"/>
      <c r="BMN22" s="37"/>
      <c r="BMO22" s="37"/>
      <c r="BMP22" s="37"/>
      <c r="BMQ22" s="37"/>
      <c r="BMR22" s="37"/>
      <c r="BMS22" s="138"/>
      <c r="BMT22" s="37"/>
      <c r="BMU22" s="37"/>
      <c r="BMV22" s="37"/>
      <c r="BMW22" s="37"/>
      <c r="BMX22" s="37"/>
      <c r="BMY22" s="75"/>
      <c r="BMZ22" s="65"/>
      <c r="BNA22" s="65"/>
      <c r="BNB22" s="65"/>
      <c r="BNC22" s="65"/>
      <c r="BND22" s="37"/>
      <c r="BNE22" s="138"/>
      <c r="BNF22" s="37"/>
      <c r="BNG22" s="37"/>
      <c r="BNH22" s="37"/>
      <c r="BNI22" s="37"/>
      <c r="BNJ22" s="37"/>
      <c r="BNK22" s="75"/>
      <c r="BNL22" s="37"/>
      <c r="BNM22" s="37"/>
      <c r="BNN22" s="37"/>
      <c r="BNO22" s="37"/>
      <c r="BNP22" s="37"/>
      <c r="BNQ22" s="138"/>
      <c r="BNR22" s="37"/>
      <c r="BNS22" s="37"/>
      <c r="BNT22" s="37"/>
      <c r="BNU22" s="37"/>
      <c r="BNV22" s="37"/>
      <c r="BNW22" s="75"/>
      <c r="BNX22" s="37"/>
      <c r="BNY22" s="37"/>
      <c r="BNZ22" s="37"/>
      <c r="BOA22" s="37"/>
      <c r="BOB22" s="37"/>
      <c r="BOC22" s="38"/>
      <c r="BOD22" s="36"/>
      <c r="BOE22" s="65"/>
      <c r="BOF22" s="65"/>
      <c r="BOG22" s="65"/>
      <c r="BOH22" s="37"/>
      <c r="BOI22" s="133"/>
      <c r="BOJ22" s="37"/>
      <c r="BOK22" s="37"/>
      <c r="BOL22" s="37"/>
      <c r="BOM22" s="37"/>
      <c r="BON22" s="37"/>
      <c r="BOO22" s="138"/>
      <c r="BOP22" s="37"/>
      <c r="BOQ22" s="37"/>
      <c r="BOR22" s="37"/>
      <c r="BOS22" s="37"/>
      <c r="BOT22" s="37"/>
      <c r="BOU22" s="75"/>
      <c r="BOV22" s="37"/>
      <c r="BOW22" s="37"/>
      <c r="BOX22" s="37"/>
      <c r="BOY22" s="37"/>
      <c r="BOZ22" s="37"/>
      <c r="BPA22" s="138"/>
      <c r="BPB22" s="37"/>
      <c r="BPC22" s="37"/>
      <c r="BPD22" s="37"/>
      <c r="BPE22" s="37"/>
      <c r="BPF22" s="37"/>
      <c r="BPG22" s="75"/>
      <c r="BPH22" s="65"/>
      <c r="BPI22" s="65"/>
      <c r="BPJ22" s="65"/>
      <c r="BPK22" s="65"/>
      <c r="BPL22" s="37"/>
      <c r="BPM22" s="138"/>
      <c r="BPN22" s="37"/>
      <c r="BPO22" s="37"/>
      <c r="BPP22" s="37"/>
      <c r="BPQ22" s="37"/>
      <c r="BPR22" s="37"/>
      <c r="BPS22" s="75"/>
      <c r="BPT22" s="37"/>
      <c r="BPU22" s="37"/>
      <c r="BPV22" s="37"/>
      <c r="BPW22" s="37"/>
      <c r="BPX22" s="37"/>
      <c r="BPY22" s="138"/>
      <c r="BPZ22" s="37"/>
      <c r="BQA22" s="37"/>
      <c r="BQB22" s="37"/>
      <c r="BQC22" s="37"/>
      <c r="BQD22" s="37"/>
      <c r="BQE22" s="75"/>
      <c r="BQF22" s="37"/>
      <c r="BQG22" s="37"/>
      <c r="BQH22" s="37"/>
      <c r="BQI22" s="37"/>
      <c r="BQJ22" s="37"/>
      <c r="BQK22" s="38"/>
      <c r="BQL22" s="36"/>
      <c r="BQM22" s="65"/>
      <c r="BQN22" s="65"/>
      <c r="BQO22" s="65"/>
      <c r="BQP22" s="37"/>
      <c r="BQQ22" s="133"/>
      <c r="BQR22" s="37"/>
      <c r="BQS22" s="37"/>
      <c r="BQT22" s="37"/>
      <c r="BQU22" s="37"/>
      <c r="BQV22" s="37"/>
      <c r="BQW22" s="138"/>
      <c r="BQX22" s="37"/>
      <c r="BQY22" s="37"/>
      <c r="BQZ22" s="37"/>
      <c r="BRA22" s="37"/>
      <c r="BRB22" s="37"/>
      <c r="BRC22" s="75"/>
      <c r="BRD22" s="37"/>
      <c r="BRE22" s="37"/>
      <c r="BRF22" s="37"/>
      <c r="BRG22" s="37"/>
      <c r="BRH22" s="37"/>
      <c r="BRI22" s="138"/>
      <c r="BRJ22" s="37"/>
      <c r="BRK22" s="37"/>
      <c r="BRL22" s="37"/>
      <c r="BRM22" s="37"/>
      <c r="BRN22" s="37"/>
      <c r="BRO22" s="75"/>
      <c r="BRP22" s="65"/>
      <c r="BRQ22" s="65"/>
      <c r="BRR22" s="65"/>
      <c r="BRS22" s="65"/>
      <c r="BRT22" s="37"/>
      <c r="BRU22" s="138"/>
      <c r="BRV22" s="37"/>
      <c r="BRW22" s="37"/>
      <c r="BRX22" s="37"/>
      <c r="BRY22" s="37"/>
      <c r="BRZ22" s="37"/>
      <c r="BSA22" s="75"/>
      <c r="BSB22" s="37"/>
      <c r="BSC22" s="37"/>
      <c r="BSD22" s="37"/>
      <c r="BSE22" s="37"/>
      <c r="BSF22" s="37"/>
      <c r="BSG22" s="138"/>
      <c r="BSH22" s="37"/>
      <c r="BSI22" s="37"/>
      <c r="BSJ22" s="37"/>
      <c r="BSK22" s="37"/>
      <c r="BSL22" s="37"/>
      <c r="BSM22" s="75"/>
      <c r="BSN22" s="37"/>
      <c r="BSO22" s="37"/>
      <c r="BSP22" s="37"/>
      <c r="BSQ22" s="37"/>
      <c r="BSR22" s="37"/>
      <c r="BSS22" s="38"/>
      <c r="BST22" s="36"/>
      <c r="BSU22" s="65"/>
      <c r="BSV22" s="65"/>
      <c r="BSW22" s="65"/>
      <c r="BSX22" s="37"/>
      <c r="BSY22" s="133"/>
      <c r="BSZ22" s="37"/>
      <c r="BTA22" s="37"/>
      <c r="BTB22" s="37"/>
      <c r="BTC22" s="37"/>
      <c r="BTD22" s="37"/>
      <c r="BTE22" s="138"/>
      <c r="BTF22" s="37"/>
      <c r="BTG22" s="37"/>
      <c r="BTH22" s="37"/>
      <c r="BTI22" s="37"/>
      <c r="BTJ22" s="37"/>
      <c r="BTK22" s="75"/>
      <c r="BTL22" s="37"/>
      <c r="BTM22" s="37"/>
      <c r="BTN22" s="37"/>
      <c r="BTO22" s="37"/>
      <c r="BTP22" s="37"/>
      <c r="BTQ22" s="138"/>
      <c r="BTR22" s="37"/>
      <c r="BTS22" s="37"/>
      <c r="BTT22" s="37"/>
      <c r="BTU22" s="37"/>
      <c r="BTV22" s="37"/>
      <c r="BTW22" s="75"/>
      <c r="BTX22" s="65"/>
      <c r="BTY22" s="65"/>
      <c r="BTZ22" s="65"/>
      <c r="BUA22" s="65"/>
      <c r="BUB22" s="37"/>
      <c r="BUC22" s="138"/>
      <c r="BUD22" s="37"/>
      <c r="BUE22" s="37"/>
      <c r="BUF22" s="37"/>
      <c r="BUG22" s="37"/>
      <c r="BUH22" s="37"/>
      <c r="BUI22" s="75"/>
      <c r="BUJ22" s="37"/>
      <c r="BUK22" s="37"/>
      <c r="BUL22" s="37"/>
      <c r="BUM22" s="37"/>
      <c r="BUN22" s="37"/>
      <c r="BUO22" s="138"/>
      <c r="BUP22" s="37"/>
      <c r="BUQ22" s="37"/>
      <c r="BUR22" s="37"/>
      <c r="BUS22" s="37"/>
      <c r="BUT22" s="37"/>
      <c r="BUU22" s="75"/>
      <c r="BUV22" s="37"/>
      <c r="BUW22" s="37"/>
      <c r="BUX22" s="37"/>
      <c r="BUY22" s="37"/>
      <c r="BUZ22" s="37"/>
      <c r="BVA22" s="38"/>
      <c r="BVB22" s="36"/>
      <c r="BVC22" s="65"/>
      <c r="BVD22" s="65"/>
      <c r="BVE22" s="65"/>
      <c r="BVF22" s="37"/>
      <c r="BVG22" s="133"/>
      <c r="BVH22" s="37"/>
      <c r="BVI22" s="37"/>
      <c r="BVJ22" s="37"/>
      <c r="BVK22" s="37"/>
      <c r="BVL22" s="37"/>
      <c r="BVM22" s="138"/>
      <c r="BVN22" s="37"/>
      <c r="BVO22" s="37"/>
      <c r="BVP22" s="37"/>
      <c r="BVQ22" s="37"/>
      <c r="BVR22" s="37"/>
      <c r="BVS22" s="75"/>
      <c r="BVT22" s="37"/>
      <c r="BVU22" s="37"/>
      <c r="BVV22" s="37"/>
      <c r="BVW22" s="37"/>
      <c r="BVX22" s="37"/>
      <c r="BVY22" s="138"/>
      <c r="BVZ22" s="37"/>
      <c r="BWA22" s="37"/>
      <c r="BWB22" s="37"/>
      <c r="BWC22" s="37"/>
      <c r="BWD22" s="37"/>
      <c r="BWE22" s="75"/>
      <c r="BWF22" s="65"/>
      <c r="BWG22" s="65"/>
      <c r="BWH22" s="65"/>
      <c r="BWI22" s="65"/>
      <c r="BWJ22" s="37"/>
      <c r="BWK22" s="138"/>
      <c r="BWL22" s="37"/>
      <c r="BWM22" s="37"/>
      <c r="BWN22" s="37"/>
      <c r="BWO22" s="37"/>
      <c r="BWP22" s="37"/>
      <c r="BWQ22" s="75"/>
      <c r="BWR22" s="37"/>
      <c r="BWS22" s="37"/>
      <c r="BWT22" s="37"/>
      <c r="BWU22" s="37"/>
      <c r="BWV22" s="37"/>
      <c r="BWW22" s="138"/>
      <c r="BWX22" s="37"/>
      <c r="BWY22" s="37"/>
      <c r="BWZ22" s="37"/>
      <c r="BXA22" s="37"/>
      <c r="BXB22" s="37"/>
      <c r="BXC22" s="75"/>
      <c r="BXD22" s="37"/>
      <c r="BXE22" s="37"/>
      <c r="BXF22" s="37"/>
      <c r="BXG22" s="37"/>
      <c r="BXH22" s="37"/>
      <c r="BXI22" s="38"/>
      <c r="BXJ22" s="36"/>
      <c r="BXK22" s="65"/>
      <c r="BXL22" s="65"/>
      <c r="BXM22" s="65"/>
      <c r="BXN22" s="37"/>
      <c r="BXO22" s="133"/>
      <c r="BXP22" s="37"/>
      <c r="BXQ22" s="37"/>
      <c r="BXR22" s="37"/>
      <c r="BXS22" s="37"/>
      <c r="BXT22" s="37"/>
      <c r="BXU22" s="138"/>
      <c r="BXV22" s="37"/>
      <c r="BXW22" s="37"/>
      <c r="BXX22" s="37"/>
      <c r="BXY22" s="37"/>
      <c r="BXZ22" s="37"/>
      <c r="BYA22" s="75"/>
      <c r="BYB22" s="37"/>
      <c r="BYC22" s="37"/>
      <c r="BYD22" s="37"/>
      <c r="BYE22" s="37"/>
      <c r="BYF22" s="37"/>
      <c r="BYG22" s="138"/>
      <c r="BYH22" s="37"/>
      <c r="BYI22" s="37"/>
      <c r="BYJ22" s="37"/>
      <c r="BYK22" s="37"/>
      <c r="BYL22" s="37"/>
      <c r="BYM22" s="75"/>
      <c r="BYN22" s="65"/>
      <c r="BYO22" s="65"/>
      <c r="BYP22" s="65"/>
      <c r="BYQ22" s="65"/>
      <c r="BYR22" s="37"/>
      <c r="BYS22" s="138"/>
      <c r="BYT22" s="37"/>
      <c r="BYU22" s="37"/>
      <c r="BYV22" s="37"/>
      <c r="BYW22" s="37"/>
      <c r="BYX22" s="37"/>
      <c r="BYY22" s="75"/>
      <c r="BYZ22" s="37"/>
      <c r="BZA22" s="37"/>
      <c r="BZB22" s="37"/>
      <c r="BZC22" s="37"/>
      <c r="BZD22" s="37"/>
      <c r="BZE22" s="138"/>
      <c r="BZF22" s="37"/>
      <c r="BZG22" s="37"/>
      <c r="BZH22" s="37"/>
      <c r="BZI22" s="37"/>
      <c r="BZJ22" s="37"/>
      <c r="BZK22" s="75"/>
      <c r="BZL22" s="37"/>
      <c r="BZM22" s="37"/>
      <c r="BZN22" s="37"/>
      <c r="BZO22" s="37"/>
      <c r="BZP22" s="37"/>
      <c r="BZQ22" s="38"/>
      <c r="BZR22" s="36"/>
      <c r="BZS22" s="65"/>
      <c r="BZT22" s="65"/>
      <c r="BZU22" s="65"/>
      <c r="BZV22" s="37"/>
      <c r="BZW22" s="133"/>
      <c r="BZX22" s="37"/>
      <c r="BZY22" s="37"/>
      <c r="BZZ22" s="37"/>
      <c r="CAA22" s="37"/>
      <c r="CAB22" s="37"/>
      <c r="CAC22" s="138"/>
      <c r="CAD22" s="37"/>
      <c r="CAE22" s="37"/>
      <c r="CAF22" s="37"/>
      <c r="CAG22" s="37"/>
      <c r="CAH22" s="37"/>
      <c r="CAI22" s="75"/>
      <c r="CAJ22" s="37"/>
      <c r="CAK22" s="37"/>
      <c r="CAL22" s="37"/>
      <c r="CAM22" s="37"/>
      <c r="CAN22" s="37"/>
      <c r="CAO22" s="138"/>
      <c r="CAP22" s="37"/>
      <c r="CAQ22" s="37"/>
      <c r="CAR22" s="37"/>
      <c r="CAS22" s="37"/>
      <c r="CAT22" s="37"/>
      <c r="CAU22" s="75"/>
      <c r="CAV22" s="65"/>
      <c r="CAW22" s="65"/>
      <c r="CAX22" s="65"/>
      <c r="CAY22" s="65"/>
      <c r="CAZ22" s="37"/>
      <c r="CBA22" s="138"/>
      <c r="CBB22" s="37"/>
      <c r="CBC22" s="37"/>
      <c r="CBD22" s="37"/>
      <c r="CBE22" s="37"/>
      <c r="CBF22" s="37"/>
      <c r="CBG22" s="75"/>
      <c r="CBH22" s="37"/>
      <c r="CBI22" s="37"/>
      <c r="CBJ22" s="37"/>
      <c r="CBK22" s="37"/>
      <c r="CBL22" s="37"/>
      <c r="CBM22" s="138"/>
      <c r="CBN22" s="37"/>
      <c r="CBO22" s="37"/>
      <c r="CBP22" s="37"/>
      <c r="CBQ22" s="37"/>
      <c r="CBR22" s="37"/>
      <c r="CBS22" s="75"/>
      <c r="CBT22" s="37"/>
      <c r="CBU22" s="37"/>
      <c r="CBV22" s="37"/>
      <c r="CBW22" s="37"/>
      <c r="CBX22" s="37"/>
      <c r="CBY22" s="38"/>
      <c r="CBZ22" s="36"/>
      <c r="CCA22" s="65"/>
      <c r="CCB22" s="65"/>
      <c r="CCC22" s="65"/>
      <c r="CCD22" s="37"/>
      <c r="CCE22" s="133"/>
      <c r="CCF22" s="37"/>
      <c r="CCG22" s="37"/>
      <c r="CCH22" s="37"/>
      <c r="CCI22" s="37"/>
      <c r="CCJ22" s="37"/>
      <c r="CCK22" s="138"/>
      <c r="CCL22" s="37"/>
      <c r="CCM22" s="37"/>
      <c r="CCN22" s="37"/>
      <c r="CCO22" s="37"/>
      <c r="CCP22" s="37"/>
      <c r="CCQ22" s="75"/>
      <c r="CCR22" s="37"/>
      <c r="CCS22" s="37"/>
      <c r="CCT22" s="37"/>
      <c r="CCU22" s="37"/>
      <c r="CCV22" s="37"/>
      <c r="CCW22" s="138"/>
      <c r="CCX22" s="37"/>
      <c r="CCY22" s="37"/>
      <c r="CCZ22" s="37"/>
      <c r="CDA22" s="37"/>
      <c r="CDB22" s="37"/>
      <c r="CDC22" s="75"/>
      <c r="CDD22" s="65"/>
      <c r="CDE22" s="65"/>
      <c r="CDF22" s="65"/>
      <c r="CDG22" s="65"/>
      <c r="CDH22" s="37"/>
      <c r="CDI22" s="138"/>
      <c r="CDJ22" s="37"/>
      <c r="CDK22" s="37"/>
      <c r="CDL22" s="37"/>
      <c r="CDM22" s="37"/>
      <c r="CDN22" s="37"/>
      <c r="CDO22" s="75"/>
      <c r="CDP22" s="37"/>
      <c r="CDQ22" s="37"/>
      <c r="CDR22" s="37"/>
      <c r="CDS22" s="37"/>
      <c r="CDT22" s="37"/>
      <c r="CDU22" s="138"/>
      <c r="CDV22" s="37"/>
      <c r="CDW22" s="37"/>
      <c r="CDX22" s="37"/>
      <c r="CDY22" s="37"/>
      <c r="CDZ22" s="37"/>
      <c r="CEA22" s="75"/>
      <c r="CEB22" s="37"/>
      <c r="CEC22" s="37"/>
      <c r="CED22" s="37"/>
      <c r="CEE22" s="37"/>
      <c r="CEF22" s="37"/>
      <c r="CEG22" s="38"/>
      <c r="CEH22" s="36"/>
      <c r="CEI22" s="65"/>
      <c r="CEJ22" s="65"/>
      <c r="CEK22" s="65"/>
      <c r="CEL22" s="37"/>
      <c r="CEM22" s="133"/>
      <c r="CEN22" s="37"/>
      <c r="CEO22" s="37"/>
      <c r="CEP22" s="37"/>
      <c r="CEQ22" s="37"/>
      <c r="CER22" s="37"/>
      <c r="CES22" s="138"/>
      <c r="CET22" s="37"/>
      <c r="CEU22" s="37"/>
      <c r="CEV22" s="37"/>
      <c r="CEW22" s="37"/>
      <c r="CEX22" s="37"/>
      <c r="CEY22" s="75"/>
      <c r="CEZ22" s="37"/>
      <c r="CFA22" s="37"/>
      <c r="CFB22" s="37"/>
      <c r="CFC22" s="37"/>
      <c r="CFD22" s="37"/>
      <c r="CFE22" s="138"/>
      <c r="CFF22" s="37"/>
      <c r="CFG22" s="37"/>
      <c r="CFH22" s="37"/>
      <c r="CFI22" s="37"/>
      <c r="CFJ22" s="37"/>
      <c r="CFK22" s="75"/>
      <c r="CFL22" s="65"/>
      <c r="CFM22" s="65"/>
      <c r="CFN22" s="65"/>
      <c r="CFO22" s="65"/>
      <c r="CFP22" s="37"/>
      <c r="CFQ22" s="138"/>
      <c r="CFR22" s="37"/>
      <c r="CFS22" s="37"/>
      <c r="CFT22" s="37"/>
      <c r="CFU22" s="37"/>
      <c r="CFV22" s="37"/>
      <c r="CFW22" s="75"/>
      <c r="CFX22" s="37"/>
      <c r="CFY22" s="37"/>
      <c r="CFZ22" s="37"/>
      <c r="CGA22" s="37"/>
      <c r="CGB22" s="37"/>
      <c r="CGC22" s="138"/>
      <c r="CGD22" s="37"/>
      <c r="CGE22" s="37"/>
      <c r="CGF22" s="37"/>
      <c r="CGG22" s="37"/>
      <c r="CGH22" s="37"/>
      <c r="CGI22" s="75"/>
      <c r="CGJ22" s="37"/>
      <c r="CGK22" s="37"/>
      <c r="CGL22" s="37"/>
      <c r="CGM22" s="37"/>
      <c r="CGN22" s="37"/>
      <c r="CGO22" s="38"/>
      <c r="CGP22" s="36"/>
      <c r="CGQ22" s="65"/>
      <c r="CGR22" s="65"/>
      <c r="CGS22" s="65"/>
      <c r="CGT22" s="37"/>
      <c r="CGU22" s="133"/>
      <c r="CGV22" s="37"/>
      <c r="CGW22" s="37"/>
      <c r="CGX22" s="37"/>
      <c r="CGY22" s="37"/>
      <c r="CGZ22" s="37"/>
      <c r="CHA22" s="138"/>
      <c r="CHB22" s="37"/>
      <c r="CHC22" s="37"/>
      <c r="CHD22" s="37"/>
      <c r="CHE22" s="37"/>
      <c r="CHF22" s="37"/>
      <c r="CHG22" s="75"/>
      <c r="CHH22" s="37"/>
      <c r="CHI22" s="37"/>
      <c r="CHJ22" s="37"/>
      <c r="CHK22" s="37"/>
      <c r="CHL22" s="37"/>
      <c r="CHM22" s="138"/>
      <c r="CHN22" s="37"/>
      <c r="CHO22" s="37"/>
      <c r="CHP22" s="37"/>
      <c r="CHQ22" s="37"/>
      <c r="CHR22" s="37"/>
      <c r="CHS22" s="75"/>
      <c r="CHT22" s="65"/>
      <c r="CHU22" s="65"/>
      <c r="CHV22" s="65"/>
      <c r="CHW22" s="65"/>
      <c r="CHX22" s="37"/>
      <c r="CHY22" s="138"/>
      <c r="CHZ22" s="37"/>
      <c r="CIA22" s="37"/>
      <c r="CIB22" s="37"/>
      <c r="CIC22" s="37"/>
      <c r="CID22" s="37"/>
      <c r="CIE22" s="75"/>
      <c r="CIF22" s="37"/>
      <c r="CIG22" s="37"/>
      <c r="CIH22" s="37"/>
      <c r="CII22" s="37"/>
      <c r="CIJ22" s="37"/>
      <c r="CIK22" s="138"/>
      <c r="CIL22" s="37"/>
      <c r="CIM22" s="37"/>
      <c r="CIN22" s="37"/>
      <c r="CIO22" s="37"/>
      <c r="CIP22" s="37"/>
      <c r="CIQ22" s="75"/>
      <c r="CIR22" s="37"/>
      <c r="CIS22" s="37"/>
      <c r="CIT22" s="37"/>
      <c r="CIU22" s="37"/>
      <c r="CIV22" s="37"/>
      <c r="CIW22" s="38"/>
      <c r="CIX22" s="36"/>
      <c r="CIY22" s="65"/>
      <c r="CIZ22" s="65"/>
      <c r="CJA22" s="65"/>
      <c r="CJB22" s="37"/>
      <c r="CJC22" s="133"/>
      <c r="CJD22" s="37"/>
      <c r="CJE22" s="37"/>
      <c r="CJF22" s="37"/>
      <c r="CJG22" s="37"/>
      <c r="CJH22" s="37"/>
      <c r="CJI22" s="138"/>
      <c r="CJJ22" s="37"/>
      <c r="CJK22" s="37"/>
      <c r="CJL22" s="37"/>
      <c r="CJM22" s="37"/>
      <c r="CJN22" s="37"/>
      <c r="CJO22" s="75"/>
      <c r="CJP22" s="37"/>
      <c r="CJQ22" s="37"/>
      <c r="CJR22" s="37"/>
      <c r="CJS22" s="37"/>
      <c r="CJT22" s="37"/>
      <c r="CJU22" s="138"/>
      <c r="CJV22" s="37"/>
      <c r="CJW22" s="37"/>
      <c r="CJX22" s="37"/>
      <c r="CJY22" s="37"/>
      <c r="CJZ22" s="37"/>
      <c r="CKA22" s="75"/>
      <c r="CKB22" s="65"/>
      <c r="CKC22" s="65"/>
      <c r="CKD22" s="65"/>
      <c r="CKE22" s="65"/>
      <c r="CKF22" s="37"/>
      <c r="CKG22" s="138"/>
      <c r="CKH22" s="37"/>
      <c r="CKI22" s="37"/>
      <c r="CKJ22" s="37"/>
      <c r="CKK22" s="37"/>
      <c r="CKL22" s="37"/>
      <c r="CKM22" s="75"/>
      <c r="CKN22" s="37"/>
      <c r="CKO22" s="37"/>
      <c r="CKP22" s="37"/>
      <c r="CKQ22" s="37"/>
      <c r="CKR22" s="37"/>
      <c r="CKS22" s="138"/>
      <c r="CKT22" s="37"/>
      <c r="CKU22" s="37"/>
      <c r="CKV22" s="37"/>
      <c r="CKW22" s="37"/>
      <c r="CKX22" s="37"/>
      <c r="CKY22" s="75"/>
      <c r="CKZ22" s="37"/>
      <c r="CLA22" s="37"/>
      <c r="CLB22" s="37"/>
      <c r="CLC22" s="37"/>
      <c r="CLD22" s="37"/>
      <c r="CLE22" s="38"/>
      <c r="CLF22" s="36"/>
      <c r="CLG22" s="65"/>
      <c r="CLH22" s="65"/>
      <c r="CLI22" s="65"/>
      <c r="CLJ22" s="37"/>
      <c r="CLK22" s="133"/>
      <c r="CLL22" s="37"/>
      <c r="CLM22" s="37"/>
      <c r="CLN22" s="37"/>
      <c r="CLO22" s="37"/>
      <c r="CLP22" s="37"/>
      <c r="CLQ22" s="138"/>
      <c r="CLR22" s="37"/>
      <c r="CLS22" s="37"/>
      <c r="CLT22" s="37"/>
      <c r="CLU22" s="37"/>
      <c r="CLV22" s="37"/>
      <c r="CLW22" s="75"/>
      <c r="CLX22" s="37"/>
      <c r="CLY22" s="37"/>
      <c r="CLZ22" s="37"/>
      <c r="CMA22" s="37"/>
      <c r="CMB22" s="37"/>
      <c r="CMC22" s="138"/>
      <c r="CMD22" s="37"/>
      <c r="CME22" s="37"/>
      <c r="CMF22" s="37"/>
      <c r="CMG22" s="37"/>
      <c r="CMH22" s="37"/>
      <c r="CMI22" s="75"/>
      <c r="CMJ22" s="65"/>
      <c r="CMK22" s="65"/>
      <c r="CML22" s="65"/>
      <c r="CMM22" s="65"/>
      <c r="CMN22" s="37"/>
      <c r="CMO22" s="138"/>
      <c r="CMP22" s="37"/>
      <c r="CMQ22" s="37"/>
      <c r="CMR22" s="37"/>
      <c r="CMS22" s="37"/>
      <c r="CMT22" s="37"/>
      <c r="CMU22" s="75"/>
      <c r="CMV22" s="37"/>
      <c r="CMW22" s="37"/>
      <c r="CMX22" s="37"/>
      <c r="CMY22" s="37"/>
      <c r="CMZ22" s="37"/>
      <c r="CNA22" s="138"/>
      <c r="CNB22" s="37"/>
      <c r="CNC22" s="37"/>
      <c r="CND22" s="37"/>
      <c r="CNE22" s="37"/>
      <c r="CNF22" s="37"/>
      <c r="CNG22" s="75"/>
      <c r="CNH22" s="37"/>
      <c r="CNI22" s="37"/>
      <c r="CNJ22" s="37"/>
      <c r="CNK22" s="37"/>
      <c r="CNL22" s="37"/>
      <c r="CNM22" s="38"/>
      <c r="CNN22" s="36"/>
      <c r="CNO22" s="65"/>
      <c r="CNP22" s="65"/>
      <c r="CNQ22" s="65"/>
      <c r="CNR22" s="37"/>
      <c r="CNS22" s="133"/>
      <c r="CNT22" s="37"/>
      <c r="CNU22" s="37"/>
      <c r="CNV22" s="37"/>
      <c r="CNW22" s="37"/>
      <c r="CNX22" s="37"/>
      <c r="CNY22" s="138"/>
      <c r="CNZ22" s="37"/>
      <c r="COA22" s="37"/>
      <c r="COB22" s="37"/>
      <c r="COC22" s="37"/>
      <c r="COD22" s="37"/>
      <c r="COE22" s="75"/>
      <c r="COF22" s="37"/>
      <c r="COG22" s="37"/>
      <c r="COH22" s="37"/>
      <c r="COI22" s="37"/>
      <c r="COJ22" s="37"/>
      <c r="COK22" s="138"/>
      <c r="COL22" s="37"/>
      <c r="COM22" s="37"/>
      <c r="CON22" s="37"/>
      <c r="COO22" s="37"/>
      <c r="COP22" s="37"/>
      <c r="COQ22" s="75"/>
      <c r="COR22" s="65"/>
      <c r="COS22" s="65"/>
      <c r="COT22" s="65"/>
      <c r="COU22" s="65"/>
      <c r="COV22" s="37"/>
      <c r="COW22" s="138"/>
      <c r="COX22" s="37"/>
      <c r="COY22" s="37"/>
      <c r="COZ22" s="37"/>
      <c r="CPA22" s="37"/>
      <c r="CPB22" s="37"/>
      <c r="CPC22" s="75"/>
      <c r="CPD22" s="37"/>
      <c r="CPE22" s="37"/>
      <c r="CPF22" s="37"/>
      <c r="CPG22" s="37"/>
      <c r="CPH22" s="37"/>
      <c r="CPI22" s="138"/>
      <c r="CPJ22" s="37"/>
      <c r="CPK22" s="37"/>
      <c r="CPL22" s="37"/>
      <c r="CPM22" s="37"/>
      <c r="CPN22" s="37"/>
      <c r="CPO22" s="75"/>
      <c r="CPP22" s="37"/>
      <c r="CPQ22" s="37"/>
      <c r="CPR22" s="37"/>
      <c r="CPS22" s="37"/>
      <c r="CPT22" s="37"/>
      <c r="CPU22" s="38"/>
      <c r="CPV22" s="36"/>
      <c r="CPW22" s="65"/>
      <c r="CPX22" s="65"/>
      <c r="CPY22" s="65"/>
      <c r="CPZ22" s="37"/>
      <c r="CQA22" s="133"/>
      <c r="CQB22" s="37"/>
      <c r="CQC22" s="37"/>
      <c r="CQD22" s="37"/>
      <c r="CQE22" s="37"/>
      <c r="CQF22" s="37"/>
      <c r="CQG22" s="138"/>
      <c r="CQH22" s="37"/>
      <c r="CQI22" s="37"/>
      <c r="CQJ22" s="37"/>
      <c r="CQK22" s="37"/>
      <c r="CQL22" s="37"/>
      <c r="CQM22" s="75"/>
      <c r="CQN22" s="37"/>
      <c r="CQO22" s="37"/>
      <c r="CQP22" s="37"/>
      <c r="CQQ22" s="37"/>
      <c r="CQR22" s="37"/>
      <c r="CQS22" s="138"/>
      <c r="CQT22" s="37"/>
      <c r="CQU22" s="37"/>
      <c r="CQV22" s="37"/>
      <c r="CQW22" s="37"/>
      <c r="CQX22" s="37"/>
      <c r="CQY22" s="75"/>
      <c r="CQZ22" s="65"/>
      <c r="CRA22" s="65"/>
      <c r="CRB22" s="65"/>
      <c r="CRC22" s="65"/>
      <c r="CRD22" s="37"/>
      <c r="CRE22" s="138"/>
      <c r="CRF22" s="37"/>
      <c r="CRG22" s="37"/>
      <c r="CRH22" s="37"/>
      <c r="CRI22" s="37"/>
      <c r="CRJ22" s="37"/>
      <c r="CRK22" s="75"/>
      <c r="CRL22" s="37"/>
      <c r="CRM22" s="37"/>
      <c r="CRN22" s="37"/>
      <c r="CRO22" s="37"/>
      <c r="CRP22" s="37"/>
      <c r="CRQ22" s="138"/>
      <c r="CRR22" s="37"/>
      <c r="CRS22" s="37"/>
      <c r="CRT22" s="37"/>
      <c r="CRU22" s="37"/>
      <c r="CRV22" s="37"/>
      <c r="CRW22" s="75"/>
      <c r="CRX22" s="37"/>
      <c r="CRY22" s="37"/>
      <c r="CRZ22" s="37"/>
      <c r="CSA22" s="37"/>
      <c r="CSB22" s="37"/>
      <c r="CSC22" s="38"/>
      <c r="CSD22" s="90"/>
    </row>
    <row r="23" spans="1:2526" ht="20.100000000000001" customHeight="1" x14ac:dyDescent="0.25">
      <c r="A23" s="100" t="s">
        <v>18</v>
      </c>
      <c r="B23" s="63" t="str">
        <f>IF(LEN(C31)=0,"",C31)</f>
        <v>Conception - Organisation &amp; création de la marche à suivre</v>
      </c>
      <c r="C23" s="211" t="s">
        <v>46</v>
      </c>
      <c r="D23" s="146" t="str">
        <f t="shared" si="0"/>
        <v>1h30min</v>
      </c>
      <c r="E23" s="39">
        <v>18</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171"/>
      <c r="EO23" s="171"/>
      <c r="EP23" s="171"/>
      <c r="EQ23" s="171"/>
      <c r="ER23" s="171"/>
      <c r="ES23" s="172"/>
      <c r="ET23" s="171"/>
      <c r="EU23" s="171"/>
      <c r="EV23" s="171"/>
      <c r="EW23" s="171"/>
      <c r="EX23" s="171"/>
      <c r="EY23" s="173"/>
      <c r="EZ23" s="175"/>
      <c r="FA23" s="175"/>
      <c r="FB23" s="175"/>
      <c r="FC23" s="175"/>
      <c r="FD23" s="171"/>
      <c r="FE23" s="172"/>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40"/>
      <c r="BLW23" s="66"/>
      <c r="BLX23" s="66"/>
      <c r="BLY23" s="66"/>
      <c r="BLZ23" s="41"/>
      <c r="BMA23" s="134"/>
      <c r="BMB23" s="41"/>
      <c r="BMC23" s="41"/>
      <c r="BMD23" s="41"/>
      <c r="BME23" s="41"/>
      <c r="BMF23" s="41"/>
      <c r="BMG23" s="139"/>
      <c r="BMH23" s="41"/>
      <c r="BMI23" s="41"/>
      <c r="BMJ23" s="41"/>
      <c r="BMK23" s="41"/>
      <c r="BML23" s="41"/>
      <c r="BMM23" s="76"/>
      <c r="BMN23" s="41"/>
      <c r="BMO23" s="41"/>
      <c r="BMP23" s="41"/>
      <c r="BMQ23" s="41"/>
      <c r="BMR23" s="41"/>
      <c r="BMS23" s="139"/>
      <c r="BMT23" s="41"/>
      <c r="BMU23" s="41"/>
      <c r="BMV23" s="41"/>
      <c r="BMW23" s="41"/>
      <c r="BMX23" s="41"/>
      <c r="BMY23" s="76"/>
      <c r="BMZ23" s="66"/>
      <c r="BNA23" s="66"/>
      <c r="BNB23" s="66"/>
      <c r="BNC23" s="66"/>
      <c r="BND23" s="41"/>
      <c r="BNE23" s="139"/>
      <c r="BNF23" s="41"/>
      <c r="BNG23" s="41"/>
      <c r="BNH23" s="41"/>
      <c r="BNI23" s="41"/>
      <c r="BNJ23" s="41"/>
      <c r="BNK23" s="76"/>
      <c r="BNL23" s="41"/>
      <c r="BNM23" s="41"/>
      <c r="BNN23" s="41"/>
      <c r="BNO23" s="41"/>
      <c r="BNP23" s="41"/>
      <c r="BNQ23" s="139"/>
      <c r="BNR23" s="41"/>
      <c r="BNS23" s="41"/>
      <c r="BNT23" s="41"/>
      <c r="BNU23" s="41"/>
      <c r="BNV23" s="41"/>
      <c r="BNW23" s="76"/>
      <c r="BNX23" s="41"/>
      <c r="BNY23" s="41"/>
      <c r="BNZ23" s="41"/>
      <c r="BOA23" s="41"/>
      <c r="BOB23" s="41"/>
      <c r="BOC23" s="42"/>
      <c r="BOD23" s="40"/>
      <c r="BOE23" s="66"/>
      <c r="BOF23" s="66"/>
      <c r="BOG23" s="66"/>
      <c r="BOH23" s="41"/>
      <c r="BOI23" s="134"/>
      <c r="BOJ23" s="41"/>
      <c r="BOK23" s="41"/>
      <c r="BOL23" s="41"/>
      <c r="BOM23" s="41"/>
      <c r="BON23" s="41"/>
      <c r="BOO23" s="139"/>
      <c r="BOP23" s="41"/>
      <c r="BOQ23" s="41"/>
      <c r="BOR23" s="41"/>
      <c r="BOS23" s="41"/>
      <c r="BOT23" s="41"/>
      <c r="BOU23" s="76"/>
      <c r="BOV23" s="41"/>
      <c r="BOW23" s="41"/>
      <c r="BOX23" s="41"/>
      <c r="BOY23" s="41"/>
      <c r="BOZ23" s="41"/>
      <c r="BPA23" s="139"/>
      <c r="BPB23" s="41"/>
      <c r="BPC23" s="41"/>
      <c r="BPD23" s="41"/>
      <c r="BPE23" s="41"/>
      <c r="BPF23" s="41"/>
      <c r="BPG23" s="76"/>
      <c r="BPH23" s="66"/>
      <c r="BPI23" s="66"/>
      <c r="BPJ23" s="66"/>
      <c r="BPK23" s="66"/>
      <c r="BPL23" s="41"/>
      <c r="BPM23" s="139"/>
      <c r="BPN23" s="41"/>
      <c r="BPO23" s="41"/>
      <c r="BPP23" s="41"/>
      <c r="BPQ23" s="41"/>
      <c r="BPR23" s="41"/>
      <c r="BPS23" s="76"/>
      <c r="BPT23" s="41"/>
      <c r="BPU23" s="41"/>
      <c r="BPV23" s="41"/>
      <c r="BPW23" s="41"/>
      <c r="BPX23" s="41"/>
      <c r="BPY23" s="139"/>
      <c r="BPZ23" s="41"/>
      <c r="BQA23" s="41"/>
      <c r="BQB23" s="41"/>
      <c r="BQC23" s="41"/>
      <c r="BQD23" s="41"/>
      <c r="BQE23" s="76"/>
      <c r="BQF23" s="41"/>
      <c r="BQG23" s="41"/>
      <c r="BQH23" s="41"/>
      <c r="BQI23" s="41"/>
      <c r="BQJ23" s="41"/>
      <c r="BQK23" s="42"/>
      <c r="BQL23" s="40"/>
      <c r="BQM23" s="66"/>
      <c r="BQN23" s="66"/>
      <c r="BQO23" s="66"/>
      <c r="BQP23" s="41"/>
      <c r="BQQ23" s="134"/>
      <c r="BQR23" s="41"/>
      <c r="BQS23" s="41"/>
      <c r="BQT23" s="41"/>
      <c r="BQU23" s="41"/>
      <c r="BQV23" s="41"/>
      <c r="BQW23" s="139"/>
      <c r="BQX23" s="41"/>
      <c r="BQY23" s="41"/>
      <c r="BQZ23" s="41"/>
      <c r="BRA23" s="41"/>
      <c r="BRB23" s="41"/>
      <c r="BRC23" s="76"/>
      <c r="BRD23" s="41"/>
      <c r="BRE23" s="41"/>
      <c r="BRF23" s="41"/>
      <c r="BRG23" s="41"/>
      <c r="BRH23" s="41"/>
      <c r="BRI23" s="139"/>
      <c r="BRJ23" s="41"/>
      <c r="BRK23" s="41"/>
      <c r="BRL23" s="41"/>
      <c r="BRM23" s="41"/>
      <c r="BRN23" s="41"/>
      <c r="BRO23" s="76"/>
      <c r="BRP23" s="66"/>
      <c r="BRQ23" s="66"/>
      <c r="BRR23" s="66"/>
      <c r="BRS23" s="66"/>
      <c r="BRT23" s="41"/>
      <c r="BRU23" s="139"/>
      <c r="BRV23" s="41"/>
      <c r="BRW23" s="41"/>
      <c r="BRX23" s="41"/>
      <c r="BRY23" s="41"/>
      <c r="BRZ23" s="41"/>
      <c r="BSA23" s="76"/>
      <c r="BSB23" s="41"/>
      <c r="BSC23" s="41"/>
      <c r="BSD23" s="41"/>
      <c r="BSE23" s="41"/>
      <c r="BSF23" s="41"/>
      <c r="BSG23" s="139"/>
      <c r="BSH23" s="41"/>
      <c r="BSI23" s="41"/>
      <c r="BSJ23" s="41"/>
      <c r="BSK23" s="41"/>
      <c r="BSL23" s="41"/>
      <c r="BSM23" s="76"/>
      <c r="BSN23" s="41"/>
      <c r="BSO23" s="41"/>
      <c r="BSP23" s="41"/>
      <c r="BSQ23" s="41"/>
      <c r="BSR23" s="41"/>
      <c r="BSS23" s="42"/>
      <c r="BST23" s="40"/>
      <c r="BSU23" s="66"/>
      <c r="BSV23" s="66"/>
      <c r="BSW23" s="66"/>
      <c r="BSX23" s="41"/>
      <c r="BSY23" s="134"/>
      <c r="BSZ23" s="41"/>
      <c r="BTA23" s="41"/>
      <c r="BTB23" s="41"/>
      <c r="BTC23" s="41"/>
      <c r="BTD23" s="41"/>
      <c r="BTE23" s="139"/>
      <c r="BTF23" s="41"/>
      <c r="BTG23" s="41"/>
      <c r="BTH23" s="41"/>
      <c r="BTI23" s="41"/>
      <c r="BTJ23" s="41"/>
      <c r="BTK23" s="76"/>
      <c r="BTL23" s="41"/>
      <c r="BTM23" s="41"/>
      <c r="BTN23" s="41"/>
      <c r="BTO23" s="41"/>
      <c r="BTP23" s="41"/>
      <c r="BTQ23" s="139"/>
      <c r="BTR23" s="41"/>
      <c r="BTS23" s="41"/>
      <c r="BTT23" s="41"/>
      <c r="BTU23" s="41"/>
      <c r="BTV23" s="41"/>
      <c r="BTW23" s="76"/>
      <c r="BTX23" s="66"/>
      <c r="BTY23" s="66"/>
      <c r="BTZ23" s="66"/>
      <c r="BUA23" s="66"/>
      <c r="BUB23" s="41"/>
      <c r="BUC23" s="139"/>
      <c r="BUD23" s="41"/>
      <c r="BUE23" s="41"/>
      <c r="BUF23" s="41"/>
      <c r="BUG23" s="41"/>
      <c r="BUH23" s="41"/>
      <c r="BUI23" s="76"/>
      <c r="BUJ23" s="41"/>
      <c r="BUK23" s="41"/>
      <c r="BUL23" s="41"/>
      <c r="BUM23" s="41"/>
      <c r="BUN23" s="41"/>
      <c r="BUO23" s="139"/>
      <c r="BUP23" s="41"/>
      <c r="BUQ23" s="41"/>
      <c r="BUR23" s="41"/>
      <c r="BUS23" s="41"/>
      <c r="BUT23" s="41"/>
      <c r="BUU23" s="76"/>
      <c r="BUV23" s="41"/>
      <c r="BUW23" s="41"/>
      <c r="BUX23" s="41"/>
      <c r="BUY23" s="41"/>
      <c r="BUZ23" s="41"/>
      <c r="BVA23" s="42"/>
      <c r="BVB23" s="40"/>
      <c r="BVC23" s="66"/>
      <c r="BVD23" s="66"/>
      <c r="BVE23" s="66"/>
      <c r="BVF23" s="41"/>
      <c r="BVG23" s="134"/>
      <c r="BVH23" s="41"/>
      <c r="BVI23" s="41"/>
      <c r="BVJ23" s="41"/>
      <c r="BVK23" s="41"/>
      <c r="BVL23" s="41"/>
      <c r="BVM23" s="139"/>
      <c r="BVN23" s="41"/>
      <c r="BVO23" s="41"/>
      <c r="BVP23" s="41"/>
      <c r="BVQ23" s="41"/>
      <c r="BVR23" s="41"/>
      <c r="BVS23" s="76"/>
      <c r="BVT23" s="41"/>
      <c r="BVU23" s="41"/>
      <c r="BVV23" s="41"/>
      <c r="BVW23" s="41"/>
      <c r="BVX23" s="41"/>
      <c r="BVY23" s="139"/>
      <c r="BVZ23" s="41"/>
      <c r="BWA23" s="41"/>
      <c r="BWB23" s="41"/>
      <c r="BWC23" s="41"/>
      <c r="BWD23" s="41"/>
      <c r="BWE23" s="76"/>
      <c r="BWF23" s="66"/>
      <c r="BWG23" s="66"/>
      <c r="BWH23" s="66"/>
      <c r="BWI23" s="66"/>
      <c r="BWJ23" s="41"/>
      <c r="BWK23" s="139"/>
      <c r="BWL23" s="41"/>
      <c r="BWM23" s="41"/>
      <c r="BWN23" s="41"/>
      <c r="BWO23" s="41"/>
      <c r="BWP23" s="41"/>
      <c r="BWQ23" s="76"/>
      <c r="BWR23" s="41"/>
      <c r="BWS23" s="41"/>
      <c r="BWT23" s="41"/>
      <c r="BWU23" s="41"/>
      <c r="BWV23" s="41"/>
      <c r="BWW23" s="139"/>
      <c r="BWX23" s="41"/>
      <c r="BWY23" s="41"/>
      <c r="BWZ23" s="41"/>
      <c r="BXA23" s="41"/>
      <c r="BXB23" s="41"/>
      <c r="BXC23" s="76"/>
      <c r="BXD23" s="41"/>
      <c r="BXE23" s="41"/>
      <c r="BXF23" s="41"/>
      <c r="BXG23" s="41"/>
      <c r="BXH23" s="41"/>
      <c r="BXI23" s="42"/>
      <c r="BXJ23" s="40"/>
      <c r="BXK23" s="66"/>
      <c r="BXL23" s="66"/>
      <c r="BXM23" s="66"/>
      <c r="BXN23" s="41"/>
      <c r="BXO23" s="134"/>
      <c r="BXP23" s="41"/>
      <c r="BXQ23" s="41"/>
      <c r="BXR23" s="41"/>
      <c r="BXS23" s="41"/>
      <c r="BXT23" s="41"/>
      <c r="BXU23" s="139"/>
      <c r="BXV23" s="41"/>
      <c r="BXW23" s="41"/>
      <c r="BXX23" s="41"/>
      <c r="BXY23" s="41"/>
      <c r="BXZ23" s="41"/>
      <c r="BYA23" s="76"/>
      <c r="BYB23" s="41"/>
      <c r="BYC23" s="41"/>
      <c r="BYD23" s="41"/>
      <c r="BYE23" s="41"/>
      <c r="BYF23" s="41"/>
      <c r="BYG23" s="139"/>
      <c r="BYH23" s="41"/>
      <c r="BYI23" s="41"/>
      <c r="BYJ23" s="41"/>
      <c r="BYK23" s="41"/>
      <c r="BYL23" s="41"/>
      <c r="BYM23" s="76"/>
      <c r="BYN23" s="66"/>
      <c r="BYO23" s="66"/>
      <c r="BYP23" s="66"/>
      <c r="BYQ23" s="66"/>
      <c r="BYR23" s="41"/>
      <c r="BYS23" s="139"/>
      <c r="BYT23" s="41"/>
      <c r="BYU23" s="41"/>
      <c r="BYV23" s="41"/>
      <c r="BYW23" s="41"/>
      <c r="BYX23" s="41"/>
      <c r="BYY23" s="76"/>
      <c r="BYZ23" s="41"/>
      <c r="BZA23" s="41"/>
      <c r="BZB23" s="41"/>
      <c r="BZC23" s="41"/>
      <c r="BZD23" s="41"/>
      <c r="BZE23" s="139"/>
      <c r="BZF23" s="41"/>
      <c r="BZG23" s="41"/>
      <c r="BZH23" s="41"/>
      <c r="BZI23" s="41"/>
      <c r="BZJ23" s="41"/>
      <c r="BZK23" s="76"/>
      <c r="BZL23" s="41"/>
      <c r="BZM23" s="41"/>
      <c r="BZN23" s="41"/>
      <c r="BZO23" s="41"/>
      <c r="BZP23" s="41"/>
      <c r="BZQ23" s="42"/>
      <c r="BZR23" s="40"/>
      <c r="BZS23" s="66"/>
      <c r="BZT23" s="66"/>
      <c r="BZU23" s="66"/>
      <c r="BZV23" s="41"/>
      <c r="BZW23" s="134"/>
      <c r="BZX23" s="41"/>
      <c r="BZY23" s="41"/>
      <c r="BZZ23" s="41"/>
      <c r="CAA23" s="41"/>
      <c r="CAB23" s="41"/>
      <c r="CAC23" s="139"/>
      <c r="CAD23" s="41"/>
      <c r="CAE23" s="41"/>
      <c r="CAF23" s="41"/>
      <c r="CAG23" s="41"/>
      <c r="CAH23" s="41"/>
      <c r="CAI23" s="76"/>
      <c r="CAJ23" s="41"/>
      <c r="CAK23" s="41"/>
      <c r="CAL23" s="41"/>
      <c r="CAM23" s="41"/>
      <c r="CAN23" s="41"/>
      <c r="CAO23" s="139"/>
      <c r="CAP23" s="41"/>
      <c r="CAQ23" s="41"/>
      <c r="CAR23" s="41"/>
      <c r="CAS23" s="41"/>
      <c r="CAT23" s="41"/>
      <c r="CAU23" s="76"/>
      <c r="CAV23" s="66"/>
      <c r="CAW23" s="66"/>
      <c r="CAX23" s="66"/>
      <c r="CAY23" s="66"/>
      <c r="CAZ23" s="41"/>
      <c r="CBA23" s="139"/>
      <c r="CBB23" s="41"/>
      <c r="CBC23" s="41"/>
      <c r="CBD23" s="41"/>
      <c r="CBE23" s="41"/>
      <c r="CBF23" s="41"/>
      <c r="CBG23" s="76"/>
      <c r="CBH23" s="41"/>
      <c r="CBI23" s="41"/>
      <c r="CBJ23" s="41"/>
      <c r="CBK23" s="41"/>
      <c r="CBL23" s="41"/>
      <c r="CBM23" s="139"/>
      <c r="CBN23" s="41"/>
      <c r="CBO23" s="41"/>
      <c r="CBP23" s="41"/>
      <c r="CBQ23" s="41"/>
      <c r="CBR23" s="41"/>
      <c r="CBS23" s="76"/>
      <c r="CBT23" s="41"/>
      <c r="CBU23" s="41"/>
      <c r="CBV23" s="41"/>
      <c r="CBW23" s="41"/>
      <c r="CBX23" s="41"/>
      <c r="CBY23" s="42"/>
      <c r="CBZ23" s="40"/>
      <c r="CCA23" s="66"/>
      <c r="CCB23" s="66"/>
      <c r="CCC23" s="66"/>
      <c r="CCD23" s="41"/>
      <c r="CCE23" s="134"/>
      <c r="CCF23" s="41"/>
      <c r="CCG23" s="41"/>
      <c r="CCH23" s="41"/>
      <c r="CCI23" s="41"/>
      <c r="CCJ23" s="41"/>
      <c r="CCK23" s="139"/>
      <c r="CCL23" s="41"/>
      <c r="CCM23" s="41"/>
      <c r="CCN23" s="41"/>
      <c r="CCO23" s="41"/>
      <c r="CCP23" s="41"/>
      <c r="CCQ23" s="76"/>
      <c r="CCR23" s="41"/>
      <c r="CCS23" s="41"/>
      <c r="CCT23" s="41"/>
      <c r="CCU23" s="41"/>
      <c r="CCV23" s="41"/>
      <c r="CCW23" s="139"/>
      <c r="CCX23" s="41"/>
      <c r="CCY23" s="41"/>
      <c r="CCZ23" s="41"/>
      <c r="CDA23" s="41"/>
      <c r="CDB23" s="41"/>
      <c r="CDC23" s="76"/>
      <c r="CDD23" s="66"/>
      <c r="CDE23" s="66"/>
      <c r="CDF23" s="66"/>
      <c r="CDG23" s="66"/>
      <c r="CDH23" s="41"/>
      <c r="CDI23" s="139"/>
      <c r="CDJ23" s="41"/>
      <c r="CDK23" s="41"/>
      <c r="CDL23" s="41"/>
      <c r="CDM23" s="41"/>
      <c r="CDN23" s="41"/>
      <c r="CDO23" s="76"/>
      <c r="CDP23" s="41"/>
      <c r="CDQ23" s="41"/>
      <c r="CDR23" s="41"/>
      <c r="CDS23" s="41"/>
      <c r="CDT23" s="41"/>
      <c r="CDU23" s="139"/>
      <c r="CDV23" s="41"/>
      <c r="CDW23" s="41"/>
      <c r="CDX23" s="41"/>
      <c r="CDY23" s="41"/>
      <c r="CDZ23" s="41"/>
      <c r="CEA23" s="76"/>
      <c r="CEB23" s="41"/>
      <c r="CEC23" s="41"/>
      <c r="CED23" s="41"/>
      <c r="CEE23" s="41"/>
      <c r="CEF23" s="41"/>
      <c r="CEG23" s="42"/>
      <c r="CEH23" s="40"/>
      <c r="CEI23" s="66"/>
      <c r="CEJ23" s="66"/>
      <c r="CEK23" s="66"/>
      <c r="CEL23" s="41"/>
      <c r="CEM23" s="134"/>
      <c r="CEN23" s="41"/>
      <c r="CEO23" s="41"/>
      <c r="CEP23" s="41"/>
      <c r="CEQ23" s="41"/>
      <c r="CER23" s="41"/>
      <c r="CES23" s="139"/>
      <c r="CET23" s="41"/>
      <c r="CEU23" s="41"/>
      <c r="CEV23" s="41"/>
      <c r="CEW23" s="41"/>
      <c r="CEX23" s="41"/>
      <c r="CEY23" s="76"/>
      <c r="CEZ23" s="41"/>
      <c r="CFA23" s="41"/>
      <c r="CFB23" s="41"/>
      <c r="CFC23" s="41"/>
      <c r="CFD23" s="41"/>
      <c r="CFE23" s="139"/>
      <c r="CFF23" s="41"/>
      <c r="CFG23" s="41"/>
      <c r="CFH23" s="41"/>
      <c r="CFI23" s="41"/>
      <c r="CFJ23" s="41"/>
      <c r="CFK23" s="76"/>
      <c r="CFL23" s="66"/>
      <c r="CFM23" s="66"/>
      <c r="CFN23" s="66"/>
      <c r="CFO23" s="66"/>
      <c r="CFP23" s="41"/>
      <c r="CFQ23" s="139"/>
      <c r="CFR23" s="41"/>
      <c r="CFS23" s="41"/>
      <c r="CFT23" s="41"/>
      <c r="CFU23" s="41"/>
      <c r="CFV23" s="41"/>
      <c r="CFW23" s="76"/>
      <c r="CFX23" s="41"/>
      <c r="CFY23" s="41"/>
      <c r="CFZ23" s="41"/>
      <c r="CGA23" s="41"/>
      <c r="CGB23" s="41"/>
      <c r="CGC23" s="139"/>
      <c r="CGD23" s="41"/>
      <c r="CGE23" s="41"/>
      <c r="CGF23" s="41"/>
      <c r="CGG23" s="41"/>
      <c r="CGH23" s="41"/>
      <c r="CGI23" s="76"/>
      <c r="CGJ23" s="41"/>
      <c r="CGK23" s="41"/>
      <c r="CGL23" s="41"/>
      <c r="CGM23" s="41"/>
      <c r="CGN23" s="41"/>
      <c r="CGO23" s="42"/>
      <c r="CGP23" s="40"/>
      <c r="CGQ23" s="66"/>
      <c r="CGR23" s="66"/>
      <c r="CGS23" s="66"/>
      <c r="CGT23" s="41"/>
      <c r="CGU23" s="134"/>
      <c r="CGV23" s="41"/>
      <c r="CGW23" s="41"/>
      <c r="CGX23" s="41"/>
      <c r="CGY23" s="41"/>
      <c r="CGZ23" s="41"/>
      <c r="CHA23" s="139"/>
      <c r="CHB23" s="41"/>
      <c r="CHC23" s="41"/>
      <c r="CHD23" s="41"/>
      <c r="CHE23" s="41"/>
      <c r="CHF23" s="41"/>
      <c r="CHG23" s="76"/>
      <c r="CHH23" s="41"/>
      <c r="CHI23" s="41"/>
      <c r="CHJ23" s="41"/>
      <c r="CHK23" s="41"/>
      <c r="CHL23" s="41"/>
      <c r="CHM23" s="139"/>
      <c r="CHN23" s="41"/>
      <c r="CHO23" s="41"/>
      <c r="CHP23" s="41"/>
      <c r="CHQ23" s="41"/>
      <c r="CHR23" s="41"/>
      <c r="CHS23" s="76"/>
      <c r="CHT23" s="66"/>
      <c r="CHU23" s="66"/>
      <c r="CHV23" s="66"/>
      <c r="CHW23" s="66"/>
      <c r="CHX23" s="41"/>
      <c r="CHY23" s="139"/>
      <c r="CHZ23" s="41"/>
      <c r="CIA23" s="41"/>
      <c r="CIB23" s="41"/>
      <c r="CIC23" s="41"/>
      <c r="CID23" s="41"/>
      <c r="CIE23" s="76"/>
      <c r="CIF23" s="41"/>
      <c r="CIG23" s="41"/>
      <c r="CIH23" s="41"/>
      <c r="CII23" s="41"/>
      <c r="CIJ23" s="41"/>
      <c r="CIK23" s="139"/>
      <c r="CIL23" s="41"/>
      <c r="CIM23" s="41"/>
      <c r="CIN23" s="41"/>
      <c r="CIO23" s="41"/>
      <c r="CIP23" s="41"/>
      <c r="CIQ23" s="76"/>
      <c r="CIR23" s="41"/>
      <c r="CIS23" s="41"/>
      <c r="CIT23" s="41"/>
      <c r="CIU23" s="41"/>
      <c r="CIV23" s="41"/>
      <c r="CIW23" s="42"/>
      <c r="CIX23" s="40"/>
      <c r="CIY23" s="66"/>
      <c r="CIZ23" s="66"/>
      <c r="CJA23" s="66"/>
      <c r="CJB23" s="41"/>
      <c r="CJC23" s="134"/>
      <c r="CJD23" s="41"/>
      <c r="CJE23" s="41"/>
      <c r="CJF23" s="41"/>
      <c r="CJG23" s="41"/>
      <c r="CJH23" s="41"/>
      <c r="CJI23" s="139"/>
      <c r="CJJ23" s="41"/>
      <c r="CJK23" s="41"/>
      <c r="CJL23" s="41"/>
      <c r="CJM23" s="41"/>
      <c r="CJN23" s="41"/>
      <c r="CJO23" s="76"/>
      <c r="CJP23" s="41"/>
      <c r="CJQ23" s="41"/>
      <c r="CJR23" s="41"/>
      <c r="CJS23" s="41"/>
      <c r="CJT23" s="41"/>
      <c r="CJU23" s="139"/>
      <c r="CJV23" s="41"/>
      <c r="CJW23" s="41"/>
      <c r="CJX23" s="41"/>
      <c r="CJY23" s="41"/>
      <c r="CJZ23" s="41"/>
      <c r="CKA23" s="76"/>
      <c r="CKB23" s="66"/>
      <c r="CKC23" s="66"/>
      <c r="CKD23" s="66"/>
      <c r="CKE23" s="66"/>
      <c r="CKF23" s="41"/>
      <c r="CKG23" s="139"/>
      <c r="CKH23" s="41"/>
      <c r="CKI23" s="41"/>
      <c r="CKJ23" s="41"/>
      <c r="CKK23" s="41"/>
      <c r="CKL23" s="41"/>
      <c r="CKM23" s="76"/>
      <c r="CKN23" s="41"/>
      <c r="CKO23" s="41"/>
      <c r="CKP23" s="41"/>
      <c r="CKQ23" s="41"/>
      <c r="CKR23" s="41"/>
      <c r="CKS23" s="139"/>
      <c r="CKT23" s="41"/>
      <c r="CKU23" s="41"/>
      <c r="CKV23" s="41"/>
      <c r="CKW23" s="41"/>
      <c r="CKX23" s="41"/>
      <c r="CKY23" s="76"/>
      <c r="CKZ23" s="41"/>
      <c r="CLA23" s="41"/>
      <c r="CLB23" s="41"/>
      <c r="CLC23" s="41"/>
      <c r="CLD23" s="41"/>
      <c r="CLE23" s="42"/>
      <c r="CLF23" s="40"/>
      <c r="CLG23" s="66"/>
      <c r="CLH23" s="66"/>
      <c r="CLI23" s="66"/>
      <c r="CLJ23" s="41"/>
      <c r="CLK23" s="134"/>
      <c r="CLL23" s="41"/>
      <c r="CLM23" s="41"/>
      <c r="CLN23" s="41"/>
      <c r="CLO23" s="41"/>
      <c r="CLP23" s="41"/>
      <c r="CLQ23" s="139"/>
      <c r="CLR23" s="41"/>
      <c r="CLS23" s="41"/>
      <c r="CLT23" s="41"/>
      <c r="CLU23" s="41"/>
      <c r="CLV23" s="41"/>
      <c r="CLW23" s="76"/>
      <c r="CLX23" s="41"/>
      <c r="CLY23" s="41"/>
      <c r="CLZ23" s="41"/>
      <c r="CMA23" s="41"/>
      <c r="CMB23" s="41"/>
      <c r="CMC23" s="139"/>
      <c r="CMD23" s="41"/>
      <c r="CME23" s="41"/>
      <c r="CMF23" s="41"/>
      <c r="CMG23" s="41"/>
      <c r="CMH23" s="41"/>
      <c r="CMI23" s="76"/>
      <c r="CMJ23" s="66"/>
      <c r="CMK23" s="66"/>
      <c r="CML23" s="66"/>
      <c r="CMM23" s="66"/>
      <c r="CMN23" s="41"/>
      <c r="CMO23" s="139"/>
      <c r="CMP23" s="41"/>
      <c r="CMQ23" s="41"/>
      <c r="CMR23" s="41"/>
      <c r="CMS23" s="41"/>
      <c r="CMT23" s="41"/>
      <c r="CMU23" s="76"/>
      <c r="CMV23" s="41"/>
      <c r="CMW23" s="41"/>
      <c r="CMX23" s="41"/>
      <c r="CMY23" s="41"/>
      <c r="CMZ23" s="41"/>
      <c r="CNA23" s="139"/>
      <c r="CNB23" s="41"/>
      <c r="CNC23" s="41"/>
      <c r="CND23" s="41"/>
      <c r="CNE23" s="41"/>
      <c r="CNF23" s="41"/>
      <c r="CNG23" s="76"/>
      <c r="CNH23" s="41"/>
      <c r="CNI23" s="41"/>
      <c r="CNJ23" s="41"/>
      <c r="CNK23" s="41"/>
      <c r="CNL23" s="41"/>
      <c r="CNM23" s="42"/>
      <c r="CNN23" s="40"/>
      <c r="CNO23" s="66"/>
      <c r="CNP23" s="66"/>
      <c r="CNQ23" s="66"/>
      <c r="CNR23" s="41"/>
      <c r="CNS23" s="134"/>
      <c r="CNT23" s="41"/>
      <c r="CNU23" s="41"/>
      <c r="CNV23" s="41"/>
      <c r="CNW23" s="41"/>
      <c r="CNX23" s="41"/>
      <c r="CNY23" s="139"/>
      <c r="CNZ23" s="41"/>
      <c r="COA23" s="41"/>
      <c r="COB23" s="41"/>
      <c r="COC23" s="41"/>
      <c r="COD23" s="41"/>
      <c r="COE23" s="76"/>
      <c r="COF23" s="41"/>
      <c r="COG23" s="41"/>
      <c r="COH23" s="41"/>
      <c r="COI23" s="41"/>
      <c r="COJ23" s="41"/>
      <c r="COK23" s="139"/>
      <c r="COL23" s="41"/>
      <c r="COM23" s="41"/>
      <c r="CON23" s="41"/>
      <c r="COO23" s="41"/>
      <c r="COP23" s="41"/>
      <c r="COQ23" s="76"/>
      <c r="COR23" s="66"/>
      <c r="COS23" s="66"/>
      <c r="COT23" s="66"/>
      <c r="COU23" s="66"/>
      <c r="COV23" s="41"/>
      <c r="COW23" s="139"/>
      <c r="COX23" s="41"/>
      <c r="COY23" s="41"/>
      <c r="COZ23" s="41"/>
      <c r="CPA23" s="41"/>
      <c r="CPB23" s="41"/>
      <c r="CPC23" s="76"/>
      <c r="CPD23" s="41"/>
      <c r="CPE23" s="41"/>
      <c r="CPF23" s="41"/>
      <c r="CPG23" s="41"/>
      <c r="CPH23" s="41"/>
      <c r="CPI23" s="139"/>
      <c r="CPJ23" s="41"/>
      <c r="CPK23" s="41"/>
      <c r="CPL23" s="41"/>
      <c r="CPM23" s="41"/>
      <c r="CPN23" s="41"/>
      <c r="CPO23" s="76"/>
      <c r="CPP23" s="41"/>
      <c r="CPQ23" s="41"/>
      <c r="CPR23" s="41"/>
      <c r="CPS23" s="41"/>
      <c r="CPT23" s="41"/>
      <c r="CPU23" s="42"/>
      <c r="CPV23" s="40"/>
      <c r="CPW23" s="66"/>
      <c r="CPX23" s="66"/>
      <c r="CPY23" s="66"/>
      <c r="CPZ23" s="41"/>
      <c r="CQA23" s="134"/>
      <c r="CQB23" s="41"/>
      <c r="CQC23" s="41"/>
      <c r="CQD23" s="41"/>
      <c r="CQE23" s="41"/>
      <c r="CQF23" s="41"/>
      <c r="CQG23" s="139"/>
      <c r="CQH23" s="41"/>
      <c r="CQI23" s="41"/>
      <c r="CQJ23" s="41"/>
      <c r="CQK23" s="41"/>
      <c r="CQL23" s="41"/>
      <c r="CQM23" s="76"/>
      <c r="CQN23" s="41"/>
      <c r="CQO23" s="41"/>
      <c r="CQP23" s="41"/>
      <c r="CQQ23" s="41"/>
      <c r="CQR23" s="41"/>
      <c r="CQS23" s="139"/>
      <c r="CQT23" s="41"/>
      <c r="CQU23" s="41"/>
      <c r="CQV23" s="41"/>
      <c r="CQW23" s="41"/>
      <c r="CQX23" s="41"/>
      <c r="CQY23" s="76"/>
      <c r="CQZ23" s="66"/>
      <c r="CRA23" s="66"/>
      <c r="CRB23" s="66"/>
      <c r="CRC23" s="66"/>
      <c r="CRD23" s="41"/>
      <c r="CRE23" s="139"/>
      <c r="CRF23" s="41"/>
      <c r="CRG23" s="41"/>
      <c r="CRH23" s="41"/>
      <c r="CRI23" s="41"/>
      <c r="CRJ23" s="41"/>
      <c r="CRK23" s="76"/>
      <c r="CRL23" s="41"/>
      <c r="CRM23" s="41"/>
      <c r="CRN23" s="41"/>
      <c r="CRO23" s="41"/>
      <c r="CRP23" s="41"/>
      <c r="CRQ23" s="139"/>
      <c r="CRR23" s="41"/>
      <c r="CRS23" s="41"/>
      <c r="CRT23" s="41"/>
      <c r="CRU23" s="41"/>
      <c r="CRV23" s="41"/>
      <c r="CRW23" s="76"/>
      <c r="CRX23" s="41"/>
      <c r="CRY23" s="41"/>
      <c r="CRZ23" s="41"/>
      <c r="CSA23" s="41"/>
      <c r="CSB23" s="41"/>
      <c r="CSC23" s="42"/>
      <c r="CSD23" s="90"/>
    </row>
    <row r="24" spans="1:2526" ht="20.100000000000001" customHeight="1" x14ac:dyDescent="0.25">
      <c r="A24" s="100" t="s">
        <v>19</v>
      </c>
      <c r="B24" s="63" t="str">
        <f>IF(LEN(C33)=0,"",C33)</f>
        <v xml:space="preserve">Réalisation - Protection du Formulaire </v>
      </c>
      <c r="C24" s="212"/>
      <c r="D24" s="147" t="str">
        <f t="shared" si="0"/>
        <v>1h30min</v>
      </c>
      <c r="E24" s="27">
        <v>18</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190"/>
      <c r="EO24" s="190"/>
      <c r="EP24" s="190"/>
      <c r="EQ24" s="190"/>
      <c r="ER24" s="190"/>
      <c r="ES24" s="191"/>
      <c r="ET24" s="190"/>
      <c r="EU24" s="190"/>
      <c r="EV24" s="190"/>
      <c r="EW24" s="190"/>
      <c r="EX24" s="190"/>
      <c r="EY24" s="192"/>
      <c r="EZ24" s="193"/>
      <c r="FA24" s="193"/>
      <c r="FB24" s="193"/>
      <c r="FC24" s="193"/>
      <c r="FD24" s="190"/>
      <c r="FE24" s="191"/>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28"/>
      <c r="BLW24" s="67"/>
      <c r="BLX24" s="67"/>
      <c r="BLY24" s="67"/>
      <c r="BLZ24" s="29"/>
      <c r="BMA24" s="131"/>
      <c r="BMB24" s="29"/>
      <c r="BMC24" s="29"/>
      <c r="BMD24" s="29"/>
      <c r="BME24" s="29"/>
      <c r="BMF24" s="29"/>
      <c r="BMG24" s="136"/>
      <c r="BMH24" s="29"/>
      <c r="BMI24" s="29"/>
      <c r="BMJ24" s="29"/>
      <c r="BMK24" s="29"/>
      <c r="BML24" s="29"/>
      <c r="BMM24" s="73"/>
      <c r="BMN24" s="29"/>
      <c r="BMO24" s="29"/>
      <c r="BMP24" s="29"/>
      <c r="BMQ24" s="29"/>
      <c r="BMR24" s="29"/>
      <c r="BMS24" s="136"/>
      <c r="BMT24" s="29"/>
      <c r="BMU24" s="29"/>
      <c r="BMV24" s="29"/>
      <c r="BMW24" s="29"/>
      <c r="BMX24" s="29"/>
      <c r="BMY24" s="73"/>
      <c r="BMZ24" s="67"/>
      <c r="BNA24" s="67"/>
      <c r="BNB24" s="67"/>
      <c r="BNC24" s="67"/>
      <c r="BND24" s="29"/>
      <c r="BNE24" s="136"/>
      <c r="BNF24" s="29"/>
      <c r="BNG24" s="29"/>
      <c r="BNH24" s="29"/>
      <c r="BNI24" s="29"/>
      <c r="BNJ24" s="29"/>
      <c r="BNK24" s="73"/>
      <c r="BNL24" s="29"/>
      <c r="BNM24" s="29"/>
      <c r="BNN24" s="29"/>
      <c r="BNO24" s="29"/>
      <c r="BNP24" s="29"/>
      <c r="BNQ24" s="136"/>
      <c r="BNR24" s="29"/>
      <c r="BNS24" s="29"/>
      <c r="BNT24" s="29"/>
      <c r="BNU24" s="29"/>
      <c r="BNV24" s="29"/>
      <c r="BNW24" s="73"/>
      <c r="BNX24" s="29"/>
      <c r="BNY24" s="29"/>
      <c r="BNZ24" s="29"/>
      <c r="BOA24" s="29"/>
      <c r="BOB24" s="29"/>
      <c r="BOC24" s="30"/>
      <c r="BOD24" s="28"/>
      <c r="BOE24" s="67"/>
      <c r="BOF24" s="67"/>
      <c r="BOG24" s="67"/>
      <c r="BOH24" s="29"/>
      <c r="BOI24" s="131"/>
      <c r="BOJ24" s="29"/>
      <c r="BOK24" s="29"/>
      <c r="BOL24" s="29"/>
      <c r="BOM24" s="29"/>
      <c r="BON24" s="29"/>
      <c r="BOO24" s="136"/>
      <c r="BOP24" s="29"/>
      <c r="BOQ24" s="29"/>
      <c r="BOR24" s="29"/>
      <c r="BOS24" s="29"/>
      <c r="BOT24" s="29"/>
      <c r="BOU24" s="73"/>
      <c r="BOV24" s="29"/>
      <c r="BOW24" s="29"/>
      <c r="BOX24" s="29"/>
      <c r="BOY24" s="29"/>
      <c r="BOZ24" s="29"/>
      <c r="BPA24" s="136"/>
      <c r="BPB24" s="29"/>
      <c r="BPC24" s="29"/>
      <c r="BPD24" s="29"/>
      <c r="BPE24" s="29"/>
      <c r="BPF24" s="29"/>
      <c r="BPG24" s="73"/>
      <c r="BPH24" s="67"/>
      <c r="BPI24" s="67"/>
      <c r="BPJ24" s="67"/>
      <c r="BPK24" s="67"/>
      <c r="BPL24" s="29"/>
      <c r="BPM24" s="136"/>
      <c r="BPN24" s="29"/>
      <c r="BPO24" s="29"/>
      <c r="BPP24" s="29"/>
      <c r="BPQ24" s="29"/>
      <c r="BPR24" s="29"/>
      <c r="BPS24" s="73"/>
      <c r="BPT24" s="29"/>
      <c r="BPU24" s="29"/>
      <c r="BPV24" s="29"/>
      <c r="BPW24" s="29"/>
      <c r="BPX24" s="29"/>
      <c r="BPY24" s="136"/>
      <c r="BPZ24" s="29"/>
      <c r="BQA24" s="29"/>
      <c r="BQB24" s="29"/>
      <c r="BQC24" s="29"/>
      <c r="BQD24" s="29"/>
      <c r="BQE24" s="73"/>
      <c r="BQF24" s="29"/>
      <c r="BQG24" s="29"/>
      <c r="BQH24" s="29"/>
      <c r="BQI24" s="29"/>
      <c r="BQJ24" s="29"/>
      <c r="BQK24" s="30"/>
      <c r="BQL24" s="28"/>
      <c r="BQM24" s="67"/>
      <c r="BQN24" s="67"/>
      <c r="BQO24" s="67"/>
      <c r="BQP24" s="29"/>
      <c r="BQQ24" s="131"/>
      <c r="BQR24" s="29"/>
      <c r="BQS24" s="29"/>
      <c r="BQT24" s="29"/>
      <c r="BQU24" s="29"/>
      <c r="BQV24" s="29"/>
      <c r="BQW24" s="136"/>
      <c r="BQX24" s="29"/>
      <c r="BQY24" s="29"/>
      <c r="BQZ24" s="29"/>
      <c r="BRA24" s="29"/>
      <c r="BRB24" s="29"/>
      <c r="BRC24" s="73"/>
      <c r="BRD24" s="29"/>
      <c r="BRE24" s="29"/>
      <c r="BRF24" s="29"/>
      <c r="BRG24" s="29"/>
      <c r="BRH24" s="29"/>
      <c r="BRI24" s="136"/>
      <c r="BRJ24" s="29"/>
      <c r="BRK24" s="29"/>
      <c r="BRL24" s="29"/>
      <c r="BRM24" s="29"/>
      <c r="BRN24" s="29"/>
      <c r="BRO24" s="73"/>
      <c r="BRP24" s="67"/>
      <c r="BRQ24" s="67"/>
      <c r="BRR24" s="67"/>
      <c r="BRS24" s="67"/>
      <c r="BRT24" s="29"/>
      <c r="BRU24" s="136"/>
      <c r="BRV24" s="29"/>
      <c r="BRW24" s="29"/>
      <c r="BRX24" s="29"/>
      <c r="BRY24" s="29"/>
      <c r="BRZ24" s="29"/>
      <c r="BSA24" s="73"/>
      <c r="BSB24" s="29"/>
      <c r="BSC24" s="29"/>
      <c r="BSD24" s="29"/>
      <c r="BSE24" s="29"/>
      <c r="BSF24" s="29"/>
      <c r="BSG24" s="136"/>
      <c r="BSH24" s="29"/>
      <c r="BSI24" s="29"/>
      <c r="BSJ24" s="29"/>
      <c r="BSK24" s="29"/>
      <c r="BSL24" s="29"/>
      <c r="BSM24" s="73"/>
      <c r="BSN24" s="29"/>
      <c r="BSO24" s="29"/>
      <c r="BSP24" s="29"/>
      <c r="BSQ24" s="29"/>
      <c r="BSR24" s="29"/>
      <c r="BSS24" s="30"/>
      <c r="BST24" s="28"/>
      <c r="BSU24" s="67"/>
      <c r="BSV24" s="67"/>
      <c r="BSW24" s="67"/>
      <c r="BSX24" s="29"/>
      <c r="BSY24" s="131"/>
      <c r="BSZ24" s="29"/>
      <c r="BTA24" s="29"/>
      <c r="BTB24" s="29"/>
      <c r="BTC24" s="29"/>
      <c r="BTD24" s="29"/>
      <c r="BTE24" s="136"/>
      <c r="BTF24" s="29"/>
      <c r="BTG24" s="29"/>
      <c r="BTH24" s="29"/>
      <c r="BTI24" s="29"/>
      <c r="BTJ24" s="29"/>
      <c r="BTK24" s="73"/>
      <c r="BTL24" s="29"/>
      <c r="BTM24" s="29"/>
      <c r="BTN24" s="29"/>
      <c r="BTO24" s="29"/>
      <c r="BTP24" s="29"/>
      <c r="BTQ24" s="136"/>
      <c r="BTR24" s="29"/>
      <c r="BTS24" s="29"/>
      <c r="BTT24" s="29"/>
      <c r="BTU24" s="29"/>
      <c r="BTV24" s="29"/>
      <c r="BTW24" s="73"/>
      <c r="BTX24" s="67"/>
      <c r="BTY24" s="67"/>
      <c r="BTZ24" s="67"/>
      <c r="BUA24" s="67"/>
      <c r="BUB24" s="29"/>
      <c r="BUC24" s="136"/>
      <c r="BUD24" s="29"/>
      <c r="BUE24" s="29"/>
      <c r="BUF24" s="29"/>
      <c r="BUG24" s="29"/>
      <c r="BUH24" s="29"/>
      <c r="BUI24" s="73"/>
      <c r="BUJ24" s="29"/>
      <c r="BUK24" s="29"/>
      <c r="BUL24" s="29"/>
      <c r="BUM24" s="29"/>
      <c r="BUN24" s="29"/>
      <c r="BUO24" s="136"/>
      <c r="BUP24" s="29"/>
      <c r="BUQ24" s="29"/>
      <c r="BUR24" s="29"/>
      <c r="BUS24" s="29"/>
      <c r="BUT24" s="29"/>
      <c r="BUU24" s="73"/>
      <c r="BUV24" s="29"/>
      <c r="BUW24" s="29"/>
      <c r="BUX24" s="29"/>
      <c r="BUY24" s="29"/>
      <c r="BUZ24" s="29"/>
      <c r="BVA24" s="30"/>
      <c r="BVB24" s="28"/>
      <c r="BVC24" s="67"/>
      <c r="BVD24" s="67"/>
      <c r="BVE24" s="67"/>
      <c r="BVF24" s="29"/>
      <c r="BVG24" s="131"/>
      <c r="BVH24" s="29"/>
      <c r="BVI24" s="29"/>
      <c r="BVJ24" s="29"/>
      <c r="BVK24" s="29"/>
      <c r="BVL24" s="29"/>
      <c r="BVM24" s="136"/>
      <c r="BVN24" s="29"/>
      <c r="BVO24" s="29"/>
      <c r="BVP24" s="29"/>
      <c r="BVQ24" s="29"/>
      <c r="BVR24" s="29"/>
      <c r="BVS24" s="73"/>
      <c r="BVT24" s="29"/>
      <c r="BVU24" s="29"/>
      <c r="BVV24" s="29"/>
      <c r="BVW24" s="29"/>
      <c r="BVX24" s="29"/>
      <c r="BVY24" s="136"/>
      <c r="BVZ24" s="29"/>
      <c r="BWA24" s="29"/>
      <c r="BWB24" s="29"/>
      <c r="BWC24" s="29"/>
      <c r="BWD24" s="29"/>
      <c r="BWE24" s="73"/>
      <c r="BWF24" s="67"/>
      <c r="BWG24" s="67"/>
      <c r="BWH24" s="67"/>
      <c r="BWI24" s="67"/>
      <c r="BWJ24" s="29"/>
      <c r="BWK24" s="136"/>
      <c r="BWL24" s="29"/>
      <c r="BWM24" s="29"/>
      <c r="BWN24" s="29"/>
      <c r="BWO24" s="29"/>
      <c r="BWP24" s="29"/>
      <c r="BWQ24" s="73"/>
      <c r="BWR24" s="29"/>
      <c r="BWS24" s="29"/>
      <c r="BWT24" s="29"/>
      <c r="BWU24" s="29"/>
      <c r="BWV24" s="29"/>
      <c r="BWW24" s="136"/>
      <c r="BWX24" s="29"/>
      <c r="BWY24" s="29"/>
      <c r="BWZ24" s="29"/>
      <c r="BXA24" s="29"/>
      <c r="BXB24" s="29"/>
      <c r="BXC24" s="73"/>
      <c r="BXD24" s="29"/>
      <c r="BXE24" s="29"/>
      <c r="BXF24" s="29"/>
      <c r="BXG24" s="29"/>
      <c r="BXH24" s="29"/>
      <c r="BXI24" s="30"/>
      <c r="BXJ24" s="28"/>
      <c r="BXK24" s="67"/>
      <c r="BXL24" s="67"/>
      <c r="BXM24" s="67"/>
      <c r="BXN24" s="29"/>
      <c r="BXO24" s="131"/>
      <c r="BXP24" s="29"/>
      <c r="BXQ24" s="29"/>
      <c r="BXR24" s="29"/>
      <c r="BXS24" s="29"/>
      <c r="BXT24" s="29"/>
      <c r="BXU24" s="136"/>
      <c r="BXV24" s="29"/>
      <c r="BXW24" s="29"/>
      <c r="BXX24" s="29"/>
      <c r="BXY24" s="29"/>
      <c r="BXZ24" s="29"/>
      <c r="BYA24" s="73"/>
      <c r="BYB24" s="29"/>
      <c r="BYC24" s="29"/>
      <c r="BYD24" s="29"/>
      <c r="BYE24" s="29"/>
      <c r="BYF24" s="29"/>
      <c r="BYG24" s="136"/>
      <c r="BYH24" s="29"/>
      <c r="BYI24" s="29"/>
      <c r="BYJ24" s="29"/>
      <c r="BYK24" s="29"/>
      <c r="BYL24" s="29"/>
      <c r="BYM24" s="73"/>
      <c r="BYN24" s="67"/>
      <c r="BYO24" s="67"/>
      <c r="BYP24" s="67"/>
      <c r="BYQ24" s="67"/>
      <c r="BYR24" s="29"/>
      <c r="BYS24" s="136"/>
      <c r="BYT24" s="29"/>
      <c r="BYU24" s="29"/>
      <c r="BYV24" s="29"/>
      <c r="BYW24" s="29"/>
      <c r="BYX24" s="29"/>
      <c r="BYY24" s="73"/>
      <c r="BYZ24" s="29"/>
      <c r="BZA24" s="29"/>
      <c r="BZB24" s="29"/>
      <c r="BZC24" s="29"/>
      <c r="BZD24" s="29"/>
      <c r="BZE24" s="136"/>
      <c r="BZF24" s="29"/>
      <c r="BZG24" s="29"/>
      <c r="BZH24" s="29"/>
      <c r="BZI24" s="29"/>
      <c r="BZJ24" s="29"/>
      <c r="BZK24" s="73"/>
      <c r="BZL24" s="29"/>
      <c r="BZM24" s="29"/>
      <c r="BZN24" s="29"/>
      <c r="BZO24" s="29"/>
      <c r="BZP24" s="29"/>
      <c r="BZQ24" s="30"/>
      <c r="BZR24" s="28"/>
      <c r="BZS24" s="67"/>
      <c r="BZT24" s="67"/>
      <c r="BZU24" s="67"/>
      <c r="BZV24" s="29"/>
      <c r="BZW24" s="131"/>
      <c r="BZX24" s="29"/>
      <c r="BZY24" s="29"/>
      <c r="BZZ24" s="29"/>
      <c r="CAA24" s="29"/>
      <c r="CAB24" s="29"/>
      <c r="CAC24" s="136"/>
      <c r="CAD24" s="29"/>
      <c r="CAE24" s="29"/>
      <c r="CAF24" s="29"/>
      <c r="CAG24" s="29"/>
      <c r="CAH24" s="29"/>
      <c r="CAI24" s="73"/>
      <c r="CAJ24" s="29"/>
      <c r="CAK24" s="29"/>
      <c r="CAL24" s="29"/>
      <c r="CAM24" s="29"/>
      <c r="CAN24" s="29"/>
      <c r="CAO24" s="136"/>
      <c r="CAP24" s="29"/>
      <c r="CAQ24" s="29"/>
      <c r="CAR24" s="29"/>
      <c r="CAS24" s="29"/>
      <c r="CAT24" s="29"/>
      <c r="CAU24" s="73"/>
      <c r="CAV24" s="67"/>
      <c r="CAW24" s="67"/>
      <c r="CAX24" s="67"/>
      <c r="CAY24" s="67"/>
      <c r="CAZ24" s="29"/>
      <c r="CBA24" s="136"/>
      <c r="CBB24" s="29"/>
      <c r="CBC24" s="29"/>
      <c r="CBD24" s="29"/>
      <c r="CBE24" s="29"/>
      <c r="CBF24" s="29"/>
      <c r="CBG24" s="73"/>
      <c r="CBH24" s="29"/>
      <c r="CBI24" s="29"/>
      <c r="CBJ24" s="29"/>
      <c r="CBK24" s="29"/>
      <c r="CBL24" s="29"/>
      <c r="CBM24" s="136"/>
      <c r="CBN24" s="29"/>
      <c r="CBO24" s="29"/>
      <c r="CBP24" s="29"/>
      <c r="CBQ24" s="29"/>
      <c r="CBR24" s="29"/>
      <c r="CBS24" s="73"/>
      <c r="CBT24" s="29"/>
      <c r="CBU24" s="29"/>
      <c r="CBV24" s="29"/>
      <c r="CBW24" s="29"/>
      <c r="CBX24" s="29"/>
      <c r="CBY24" s="30"/>
      <c r="CBZ24" s="28"/>
      <c r="CCA24" s="67"/>
      <c r="CCB24" s="67"/>
      <c r="CCC24" s="67"/>
      <c r="CCD24" s="29"/>
      <c r="CCE24" s="131"/>
      <c r="CCF24" s="29"/>
      <c r="CCG24" s="29"/>
      <c r="CCH24" s="29"/>
      <c r="CCI24" s="29"/>
      <c r="CCJ24" s="29"/>
      <c r="CCK24" s="136"/>
      <c r="CCL24" s="29"/>
      <c r="CCM24" s="29"/>
      <c r="CCN24" s="29"/>
      <c r="CCO24" s="29"/>
      <c r="CCP24" s="29"/>
      <c r="CCQ24" s="73"/>
      <c r="CCR24" s="29"/>
      <c r="CCS24" s="29"/>
      <c r="CCT24" s="29"/>
      <c r="CCU24" s="29"/>
      <c r="CCV24" s="29"/>
      <c r="CCW24" s="136"/>
      <c r="CCX24" s="29"/>
      <c r="CCY24" s="29"/>
      <c r="CCZ24" s="29"/>
      <c r="CDA24" s="29"/>
      <c r="CDB24" s="29"/>
      <c r="CDC24" s="73"/>
      <c r="CDD24" s="67"/>
      <c r="CDE24" s="67"/>
      <c r="CDF24" s="67"/>
      <c r="CDG24" s="67"/>
      <c r="CDH24" s="29"/>
      <c r="CDI24" s="136"/>
      <c r="CDJ24" s="29"/>
      <c r="CDK24" s="29"/>
      <c r="CDL24" s="29"/>
      <c r="CDM24" s="29"/>
      <c r="CDN24" s="29"/>
      <c r="CDO24" s="73"/>
      <c r="CDP24" s="29"/>
      <c r="CDQ24" s="29"/>
      <c r="CDR24" s="29"/>
      <c r="CDS24" s="29"/>
      <c r="CDT24" s="29"/>
      <c r="CDU24" s="136"/>
      <c r="CDV24" s="29"/>
      <c r="CDW24" s="29"/>
      <c r="CDX24" s="29"/>
      <c r="CDY24" s="29"/>
      <c r="CDZ24" s="29"/>
      <c r="CEA24" s="73"/>
      <c r="CEB24" s="29"/>
      <c r="CEC24" s="29"/>
      <c r="CED24" s="29"/>
      <c r="CEE24" s="29"/>
      <c r="CEF24" s="29"/>
      <c r="CEG24" s="30"/>
      <c r="CEH24" s="28"/>
      <c r="CEI24" s="67"/>
      <c r="CEJ24" s="67"/>
      <c r="CEK24" s="67"/>
      <c r="CEL24" s="29"/>
      <c r="CEM24" s="131"/>
      <c r="CEN24" s="29"/>
      <c r="CEO24" s="29"/>
      <c r="CEP24" s="29"/>
      <c r="CEQ24" s="29"/>
      <c r="CER24" s="29"/>
      <c r="CES24" s="136"/>
      <c r="CET24" s="29"/>
      <c r="CEU24" s="29"/>
      <c r="CEV24" s="29"/>
      <c r="CEW24" s="29"/>
      <c r="CEX24" s="29"/>
      <c r="CEY24" s="73"/>
      <c r="CEZ24" s="29"/>
      <c r="CFA24" s="29"/>
      <c r="CFB24" s="29"/>
      <c r="CFC24" s="29"/>
      <c r="CFD24" s="29"/>
      <c r="CFE24" s="136"/>
      <c r="CFF24" s="29"/>
      <c r="CFG24" s="29"/>
      <c r="CFH24" s="29"/>
      <c r="CFI24" s="29"/>
      <c r="CFJ24" s="29"/>
      <c r="CFK24" s="73"/>
      <c r="CFL24" s="67"/>
      <c r="CFM24" s="67"/>
      <c r="CFN24" s="67"/>
      <c r="CFO24" s="67"/>
      <c r="CFP24" s="29"/>
      <c r="CFQ24" s="136"/>
      <c r="CFR24" s="29"/>
      <c r="CFS24" s="29"/>
      <c r="CFT24" s="29"/>
      <c r="CFU24" s="29"/>
      <c r="CFV24" s="29"/>
      <c r="CFW24" s="73"/>
      <c r="CFX24" s="29"/>
      <c r="CFY24" s="29"/>
      <c r="CFZ24" s="29"/>
      <c r="CGA24" s="29"/>
      <c r="CGB24" s="29"/>
      <c r="CGC24" s="136"/>
      <c r="CGD24" s="29"/>
      <c r="CGE24" s="29"/>
      <c r="CGF24" s="29"/>
      <c r="CGG24" s="29"/>
      <c r="CGH24" s="29"/>
      <c r="CGI24" s="73"/>
      <c r="CGJ24" s="29"/>
      <c r="CGK24" s="29"/>
      <c r="CGL24" s="29"/>
      <c r="CGM24" s="29"/>
      <c r="CGN24" s="29"/>
      <c r="CGO24" s="30"/>
      <c r="CGP24" s="28"/>
      <c r="CGQ24" s="67"/>
      <c r="CGR24" s="67"/>
      <c r="CGS24" s="67"/>
      <c r="CGT24" s="29"/>
      <c r="CGU24" s="131"/>
      <c r="CGV24" s="29"/>
      <c r="CGW24" s="29"/>
      <c r="CGX24" s="29"/>
      <c r="CGY24" s="29"/>
      <c r="CGZ24" s="29"/>
      <c r="CHA24" s="136"/>
      <c r="CHB24" s="29"/>
      <c r="CHC24" s="29"/>
      <c r="CHD24" s="29"/>
      <c r="CHE24" s="29"/>
      <c r="CHF24" s="29"/>
      <c r="CHG24" s="73"/>
      <c r="CHH24" s="29"/>
      <c r="CHI24" s="29"/>
      <c r="CHJ24" s="29"/>
      <c r="CHK24" s="29"/>
      <c r="CHL24" s="29"/>
      <c r="CHM24" s="136"/>
      <c r="CHN24" s="29"/>
      <c r="CHO24" s="29"/>
      <c r="CHP24" s="29"/>
      <c r="CHQ24" s="29"/>
      <c r="CHR24" s="29"/>
      <c r="CHS24" s="73"/>
      <c r="CHT24" s="67"/>
      <c r="CHU24" s="67"/>
      <c r="CHV24" s="67"/>
      <c r="CHW24" s="67"/>
      <c r="CHX24" s="29"/>
      <c r="CHY24" s="136"/>
      <c r="CHZ24" s="29"/>
      <c r="CIA24" s="29"/>
      <c r="CIB24" s="29"/>
      <c r="CIC24" s="29"/>
      <c r="CID24" s="29"/>
      <c r="CIE24" s="73"/>
      <c r="CIF24" s="29"/>
      <c r="CIG24" s="29"/>
      <c r="CIH24" s="29"/>
      <c r="CII24" s="29"/>
      <c r="CIJ24" s="29"/>
      <c r="CIK24" s="136"/>
      <c r="CIL24" s="29"/>
      <c r="CIM24" s="29"/>
      <c r="CIN24" s="29"/>
      <c r="CIO24" s="29"/>
      <c r="CIP24" s="29"/>
      <c r="CIQ24" s="73"/>
      <c r="CIR24" s="29"/>
      <c r="CIS24" s="29"/>
      <c r="CIT24" s="29"/>
      <c r="CIU24" s="29"/>
      <c r="CIV24" s="29"/>
      <c r="CIW24" s="30"/>
      <c r="CIX24" s="28"/>
      <c r="CIY24" s="67"/>
      <c r="CIZ24" s="67"/>
      <c r="CJA24" s="67"/>
      <c r="CJB24" s="29"/>
      <c r="CJC24" s="131"/>
      <c r="CJD24" s="29"/>
      <c r="CJE24" s="29"/>
      <c r="CJF24" s="29"/>
      <c r="CJG24" s="29"/>
      <c r="CJH24" s="29"/>
      <c r="CJI24" s="136"/>
      <c r="CJJ24" s="29"/>
      <c r="CJK24" s="29"/>
      <c r="CJL24" s="29"/>
      <c r="CJM24" s="29"/>
      <c r="CJN24" s="29"/>
      <c r="CJO24" s="73"/>
      <c r="CJP24" s="29"/>
      <c r="CJQ24" s="29"/>
      <c r="CJR24" s="29"/>
      <c r="CJS24" s="29"/>
      <c r="CJT24" s="29"/>
      <c r="CJU24" s="136"/>
      <c r="CJV24" s="29"/>
      <c r="CJW24" s="29"/>
      <c r="CJX24" s="29"/>
      <c r="CJY24" s="29"/>
      <c r="CJZ24" s="29"/>
      <c r="CKA24" s="73"/>
      <c r="CKB24" s="67"/>
      <c r="CKC24" s="67"/>
      <c r="CKD24" s="67"/>
      <c r="CKE24" s="67"/>
      <c r="CKF24" s="29"/>
      <c r="CKG24" s="136"/>
      <c r="CKH24" s="29"/>
      <c r="CKI24" s="29"/>
      <c r="CKJ24" s="29"/>
      <c r="CKK24" s="29"/>
      <c r="CKL24" s="29"/>
      <c r="CKM24" s="73"/>
      <c r="CKN24" s="29"/>
      <c r="CKO24" s="29"/>
      <c r="CKP24" s="29"/>
      <c r="CKQ24" s="29"/>
      <c r="CKR24" s="29"/>
      <c r="CKS24" s="136"/>
      <c r="CKT24" s="29"/>
      <c r="CKU24" s="29"/>
      <c r="CKV24" s="29"/>
      <c r="CKW24" s="29"/>
      <c r="CKX24" s="29"/>
      <c r="CKY24" s="73"/>
      <c r="CKZ24" s="29"/>
      <c r="CLA24" s="29"/>
      <c r="CLB24" s="29"/>
      <c r="CLC24" s="29"/>
      <c r="CLD24" s="29"/>
      <c r="CLE24" s="30"/>
      <c r="CLF24" s="28"/>
      <c r="CLG24" s="67"/>
      <c r="CLH24" s="67"/>
      <c r="CLI24" s="67"/>
      <c r="CLJ24" s="29"/>
      <c r="CLK24" s="131"/>
      <c r="CLL24" s="29"/>
      <c r="CLM24" s="29"/>
      <c r="CLN24" s="29"/>
      <c r="CLO24" s="29"/>
      <c r="CLP24" s="29"/>
      <c r="CLQ24" s="136"/>
      <c r="CLR24" s="29"/>
      <c r="CLS24" s="29"/>
      <c r="CLT24" s="29"/>
      <c r="CLU24" s="29"/>
      <c r="CLV24" s="29"/>
      <c r="CLW24" s="73"/>
      <c r="CLX24" s="29"/>
      <c r="CLY24" s="29"/>
      <c r="CLZ24" s="29"/>
      <c r="CMA24" s="29"/>
      <c r="CMB24" s="29"/>
      <c r="CMC24" s="136"/>
      <c r="CMD24" s="29"/>
      <c r="CME24" s="29"/>
      <c r="CMF24" s="29"/>
      <c r="CMG24" s="29"/>
      <c r="CMH24" s="29"/>
      <c r="CMI24" s="73"/>
      <c r="CMJ24" s="67"/>
      <c r="CMK24" s="67"/>
      <c r="CML24" s="67"/>
      <c r="CMM24" s="67"/>
      <c r="CMN24" s="29"/>
      <c r="CMO24" s="136"/>
      <c r="CMP24" s="29"/>
      <c r="CMQ24" s="29"/>
      <c r="CMR24" s="29"/>
      <c r="CMS24" s="29"/>
      <c r="CMT24" s="29"/>
      <c r="CMU24" s="73"/>
      <c r="CMV24" s="29"/>
      <c r="CMW24" s="29"/>
      <c r="CMX24" s="29"/>
      <c r="CMY24" s="29"/>
      <c r="CMZ24" s="29"/>
      <c r="CNA24" s="136"/>
      <c r="CNB24" s="29"/>
      <c r="CNC24" s="29"/>
      <c r="CND24" s="29"/>
      <c r="CNE24" s="29"/>
      <c r="CNF24" s="29"/>
      <c r="CNG24" s="73"/>
      <c r="CNH24" s="29"/>
      <c r="CNI24" s="29"/>
      <c r="CNJ24" s="29"/>
      <c r="CNK24" s="29"/>
      <c r="CNL24" s="29"/>
      <c r="CNM24" s="30"/>
      <c r="CNN24" s="28"/>
      <c r="CNO24" s="67"/>
      <c r="CNP24" s="67"/>
      <c r="CNQ24" s="67"/>
      <c r="CNR24" s="29"/>
      <c r="CNS24" s="131"/>
      <c r="CNT24" s="29"/>
      <c r="CNU24" s="29"/>
      <c r="CNV24" s="29"/>
      <c r="CNW24" s="29"/>
      <c r="CNX24" s="29"/>
      <c r="CNY24" s="136"/>
      <c r="CNZ24" s="29"/>
      <c r="COA24" s="29"/>
      <c r="COB24" s="29"/>
      <c r="COC24" s="29"/>
      <c r="COD24" s="29"/>
      <c r="COE24" s="73"/>
      <c r="COF24" s="29"/>
      <c r="COG24" s="29"/>
      <c r="COH24" s="29"/>
      <c r="COI24" s="29"/>
      <c r="COJ24" s="29"/>
      <c r="COK24" s="136"/>
      <c r="COL24" s="29"/>
      <c r="COM24" s="29"/>
      <c r="CON24" s="29"/>
      <c r="COO24" s="29"/>
      <c r="COP24" s="29"/>
      <c r="COQ24" s="73"/>
      <c r="COR24" s="67"/>
      <c r="COS24" s="67"/>
      <c r="COT24" s="67"/>
      <c r="COU24" s="67"/>
      <c r="COV24" s="29"/>
      <c r="COW24" s="136"/>
      <c r="COX24" s="29"/>
      <c r="COY24" s="29"/>
      <c r="COZ24" s="29"/>
      <c r="CPA24" s="29"/>
      <c r="CPB24" s="29"/>
      <c r="CPC24" s="73"/>
      <c r="CPD24" s="29"/>
      <c r="CPE24" s="29"/>
      <c r="CPF24" s="29"/>
      <c r="CPG24" s="29"/>
      <c r="CPH24" s="29"/>
      <c r="CPI24" s="136"/>
      <c r="CPJ24" s="29"/>
      <c r="CPK24" s="29"/>
      <c r="CPL24" s="29"/>
      <c r="CPM24" s="29"/>
      <c r="CPN24" s="29"/>
      <c r="CPO24" s="73"/>
      <c r="CPP24" s="29"/>
      <c r="CPQ24" s="29"/>
      <c r="CPR24" s="29"/>
      <c r="CPS24" s="29"/>
      <c r="CPT24" s="29"/>
      <c r="CPU24" s="30"/>
      <c r="CPV24" s="28"/>
      <c r="CPW24" s="67"/>
      <c r="CPX24" s="67"/>
      <c r="CPY24" s="67"/>
      <c r="CPZ24" s="29"/>
      <c r="CQA24" s="131"/>
      <c r="CQB24" s="29"/>
      <c r="CQC24" s="29"/>
      <c r="CQD24" s="29"/>
      <c r="CQE24" s="29"/>
      <c r="CQF24" s="29"/>
      <c r="CQG24" s="136"/>
      <c r="CQH24" s="29"/>
      <c r="CQI24" s="29"/>
      <c r="CQJ24" s="29"/>
      <c r="CQK24" s="29"/>
      <c r="CQL24" s="29"/>
      <c r="CQM24" s="73"/>
      <c r="CQN24" s="29"/>
      <c r="CQO24" s="29"/>
      <c r="CQP24" s="29"/>
      <c r="CQQ24" s="29"/>
      <c r="CQR24" s="29"/>
      <c r="CQS24" s="136"/>
      <c r="CQT24" s="29"/>
      <c r="CQU24" s="29"/>
      <c r="CQV24" s="29"/>
      <c r="CQW24" s="29"/>
      <c r="CQX24" s="29"/>
      <c r="CQY24" s="73"/>
      <c r="CQZ24" s="67"/>
      <c r="CRA24" s="67"/>
      <c r="CRB24" s="67"/>
      <c r="CRC24" s="67"/>
      <c r="CRD24" s="29"/>
      <c r="CRE24" s="136"/>
      <c r="CRF24" s="29"/>
      <c r="CRG24" s="29"/>
      <c r="CRH24" s="29"/>
      <c r="CRI24" s="29"/>
      <c r="CRJ24" s="29"/>
      <c r="CRK24" s="73"/>
      <c r="CRL24" s="29"/>
      <c r="CRM24" s="29"/>
      <c r="CRN24" s="29"/>
      <c r="CRO24" s="29"/>
      <c r="CRP24" s="29"/>
      <c r="CRQ24" s="136"/>
      <c r="CRR24" s="29"/>
      <c r="CRS24" s="29"/>
      <c r="CRT24" s="29"/>
      <c r="CRU24" s="29"/>
      <c r="CRV24" s="29"/>
      <c r="CRW24" s="73"/>
      <c r="CRX24" s="29"/>
      <c r="CRY24" s="29"/>
      <c r="CRZ24" s="29"/>
      <c r="CSA24" s="29"/>
      <c r="CSB24" s="29"/>
      <c r="CSC24" s="30"/>
      <c r="CSD24" s="90"/>
    </row>
    <row r="25" spans="1:2526" ht="20.100000000000001" customHeight="1" x14ac:dyDescent="0.25">
      <c r="A25" s="100" t="s">
        <v>18</v>
      </c>
      <c r="B25" s="63" t="str">
        <f>IF(LEN(C35)=0,"",C35)</f>
        <v xml:space="preserve">Réalisation - Ajouter une fonction pour ecrire dans la forme "Qui" </v>
      </c>
      <c r="C25" s="211" t="s">
        <v>43</v>
      </c>
      <c r="D25" s="146" t="str">
        <f t="shared" si="0"/>
        <v>9h45min</v>
      </c>
      <c r="E25" s="31">
        <v>117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165"/>
      <c r="GE25" s="166"/>
      <c r="GF25" s="166"/>
      <c r="GG25" s="166"/>
      <c r="GH25" s="167"/>
      <c r="GI25" s="168"/>
      <c r="GJ25" s="167"/>
      <c r="GK25" s="167"/>
      <c r="GL25" s="167"/>
      <c r="GM25" s="167"/>
      <c r="GN25" s="167"/>
      <c r="GO25" s="169"/>
      <c r="GP25" s="167"/>
      <c r="GQ25" s="167"/>
      <c r="GR25" s="167"/>
      <c r="GS25" s="167"/>
      <c r="GT25" s="167"/>
      <c r="GU25" s="170"/>
      <c r="GV25" s="167"/>
      <c r="GW25" s="167"/>
      <c r="GX25" s="167"/>
      <c r="GY25" s="167"/>
      <c r="GZ25" s="167"/>
      <c r="HA25" s="169"/>
      <c r="HB25" s="167"/>
      <c r="HC25" s="167"/>
      <c r="HD25" s="167"/>
      <c r="HE25" s="167"/>
      <c r="HF25" s="167"/>
      <c r="HG25" s="170"/>
      <c r="HH25" s="166"/>
      <c r="HI25" s="166"/>
      <c r="HJ25" s="166"/>
      <c r="HK25" s="166"/>
      <c r="HL25" s="167"/>
      <c r="HM25" s="169"/>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165"/>
      <c r="IM25" s="166"/>
      <c r="IN25" s="166"/>
      <c r="IO25" s="166"/>
      <c r="IP25" s="167"/>
      <c r="IQ25" s="168"/>
      <c r="IR25" s="167"/>
      <c r="IS25" s="167"/>
      <c r="IT25" s="167"/>
      <c r="IU25" s="167"/>
      <c r="IV25" s="167"/>
      <c r="IW25" s="169"/>
      <c r="IX25" s="167"/>
      <c r="IY25" s="167"/>
      <c r="IZ25" s="167"/>
      <c r="JA25" s="167"/>
      <c r="JB25" s="167"/>
      <c r="JC25" s="170"/>
      <c r="JD25" s="167"/>
      <c r="JE25" s="167"/>
      <c r="JF25" s="167"/>
      <c r="JG25" s="167"/>
      <c r="JH25" s="167"/>
      <c r="JI25" s="169"/>
      <c r="JJ25" s="167"/>
      <c r="JK25" s="167"/>
      <c r="JL25" s="167"/>
      <c r="JM25" s="167"/>
      <c r="JN25" s="167"/>
      <c r="JO25" s="170"/>
      <c r="JP25" s="166"/>
      <c r="JQ25" s="166"/>
      <c r="JR25" s="166"/>
      <c r="JS25" s="166"/>
      <c r="JT25" s="167"/>
      <c r="JU25" s="169"/>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165"/>
      <c r="KU25" s="166"/>
      <c r="KV25" s="166"/>
      <c r="KW25" s="166"/>
      <c r="KX25" s="167"/>
      <c r="KY25" s="168"/>
      <c r="KZ25" s="167"/>
      <c r="LA25" s="167"/>
      <c r="LB25" s="167"/>
      <c r="LC25" s="167"/>
      <c r="LD25" s="167"/>
      <c r="LE25" s="169"/>
      <c r="LF25" s="167"/>
      <c r="LG25" s="167"/>
      <c r="LH25" s="167"/>
      <c r="LI25" s="167"/>
      <c r="LJ25" s="167"/>
      <c r="LK25" s="170"/>
      <c r="LL25" s="167"/>
      <c r="LM25" s="167"/>
      <c r="LN25" s="167"/>
      <c r="LO25" s="167"/>
      <c r="LP25" s="167"/>
      <c r="LQ25" s="169"/>
      <c r="LR25" s="167"/>
      <c r="LS25" s="167"/>
      <c r="LT25" s="167"/>
      <c r="LU25" s="167"/>
      <c r="LV25" s="167"/>
      <c r="LW25" s="170"/>
      <c r="LX25" s="166"/>
      <c r="LY25" s="166"/>
      <c r="LZ25" s="166"/>
      <c r="MA25" s="166"/>
      <c r="MB25" s="167"/>
      <c r="MC25" s="169"/>
      <c r="MD25" s="167"/>
      <c r="ME25" s="167"/>
      <c r="MF25" s="167"/>
      <c r="MG25" s="167"/>
      <c r="MH25" s="167"/>
      <c r="MI25" s="170"/>
      <c r="MJ25" s="167"/>
      <c r="MK25" s="167"/>
      <c r="ML25" s="167"/>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32"/>
      <c r="BLW25" s="64"/>
      <c r="BLX25" s="64"/>
      <c r="BLY25" s="64"/>
      <c r="BLZ25" s="33"/>
      <c r="BMA25" s="132"/>
      <c r="BMB25" s="33"/>
      <c r="BMC25" s="33"/>
      <c r="BMD25" s="33"/>
      <c r="BME25" s="33"/>
      <c r="BMF25" s="33"/>
      <c r="BMG25" s="137"/>
      <c r="BMH25" s="33"/>
      <c r="BMI25" s="33"/>
      <c r="BMJ25" s="33"/>
      <c r="BMK25" s="33"/>
      <c r="BML25" s="33"/>
      <c r="BMM25" s="74"/>
      <c r="BMN25" s="33"/>
      <c r="BMO25" s="33"/>
      <c r="BMP25" s="33"/>
      <c r="BMQ25" s="33"/>
      <c r="BMR25" s="33"/>
      <c r="BMS25" s="137"/>
      <c r="BMT25" s="33"/>
      <c r="BMU25" s="33"/>
      <c r="BMV25" s="33"/>
      <c r="BMW25" s="33"/>
      <c r="BMX25" s="33"/>
      <c r="BMY25" s="74"/>
      <c r="BMZ25" s="64"/>
      <c r="BNA25" s="64"/>
      <c r="BNB25" s="64"/>
      <c r="BNC25" s="64"/>
      <c r="BND25" s="33"/>
      <c r="BNE25" s="137"/>
      <c r="BNF25" s="33"/>
      <c r="BNG25" s="33"/>
      <c r="BNH25" s="33"/>
      <c r="BNI25" s="33"/>
      <c r="BNJ25" s="33"/>
      <c r="BNK25" s="74"/>
      <c r="BNL25" s="33"/>
      <c r="BNM25" s="33"/>
      <c r="BNN25" s="33"/>
      <c r="BNO25" s="33"/>
      <c r="BNP25" s="33"/>
      <c r="BNQ25" s="137"/>
      <c r="BNR25" s="33"/>
      <c r="BNS25" s="33"/>
      <c r="BNT25" s="33"/>
      <c r="BNU25" s="33"/>
      <c r="BNV25" s="33"/>
      <c r="BNW25" s="74"/>
      <c r="BNX25" s="33"/>
      <c r="BNY25" s="33"/>
      <c r="BNZ25" s="33"/>
      <c r="BOA25" s="33"/>
      <c r="BOB25" s="33"/>
      <c r="BOC25" s="34"/>
      <c r="BOD25" s="32"/>
      <c r="BOE25" s="64"/>
      <c r="BOF25" s="64"/>
      <c r="BOG25" s="64"/>
      <c r="BOH25" s="33"/>
      <c r="BOI25" s="132"/>
      <c r="BOJ25" s="33"/>
      <c r="BOK25" s="33"/>
      <c r="BOL25" s="33"/>
      <c r="BOM25" s="33"/>
      <c r="BON25" s="33"/>
      <c r="BOO25" s="137"/>
      <c r="BOP25" s="33"/>
      <c r="BOQ25" s="33"/>
      <c r="BOR25" s="33"/>
      <c r="BOS25" s="33"/>
      <c r="BOT25" s="33"/>
      <c r="BOU25" s="74"/>
      <c r="BOV25" s="33"/>
      <c r="BOW25" s="33"/>
      <c r="BOX25" s="33"/>
      <c r="BOY25" s="33"/>
      <c r="BOZ25" s="33"/>
      <c r="BPA25" s="137"/>
      <c r="BPB25" s="33"/>
      <c r="BPC25" s="33"/>
      <c r="BPD25" s="33"/>
      <c r="BPE25" s="33"/>
      <c r="BPF25" s="33"/>
      <c r="BPG25" s="74"/>
      <c r="BPH25" s="64"/>
      <c r="BPI25" s="64"/>
      <c r="BPJ25" s="64"/>
      <c r="BPK25" s="64"/>
      <c r="BPL25" s="33"/>
      <c r="BPM25" s="137"/>
      <c r="BPN25" s="33"/>
      <c r="BPO25" s="33"/>
      <c r="BPP25" s="33"/>
      <c r="BPQ25" s="33"/>
      <c r="BPR25" s="33"/>
      <c r="BPS25" s="74"/>
      <c r="BPT25" s="33"/>
      <c r="BPU25" s="33"/>
      <c r="BPV25" s="33"/>
      <c r="BPW25" s="33"/>
      <c r="BPX25" s="33"/>
      <c r="BPY25" s="137"/>
      <c r="BPZ25" s="33"/>
      <c r="BQA25" s="33"/>
      <c r="BQB25" s="33"/>
      <c r="BQC25" s="33"/>
      <c r="BQD25" s="33"/>
      <c r="BQE25" s="74"/>
      <c r="BQF25" s="33"/>
      <c r="BQG25" s="33"/>
      <c r="BQH25" s="33"/>
      <c r="BQI25" s="33"/>
      <c r="BQJ25" s="33"/>
      <c r="BQK25" s="34"/>
      <c r="BQL25" s="32"/>
      <c r="BQM25" s="64"/>
      <c r="BQN25" s="64"/>
      <c r="BQO25" s="64"/>
      <c r="BQP25" s="33"/>
      <c r="BQQ25" s="132"/>
      <c r="BQR25" s="33"/>
      <c r="BQS25" s="33"/>
      <c r="BQT25" s="33"/>
      <c r="BQU25" s="33"/>
      <c r="BQV25" s="33"/>
      <c r="BQW25" s="137"/>
      <c r="BQX25" s="33"/>
      <c r="BQY25" s="33"/>
      <c r="BQZ25" s="33"/>
      <c r="BRA25" s="33"/>
      <c r="BRB25" s="33"/>
      <c r="BRC25" s="74"/>
      <c r="BRD25" s="33"/>
      <c r="BRE25" s="33"/>
      <c r="BRF25" s="33"/>
      <c r="BRG25" s="33"/>
      <c r="BRH25" s="33"/>
      <c r="BRI25" s="137"/>
      <c r="BRJ25" s="33"/>
      <c r="BRK25" s="33"/>
      <c r="BRL25" s="33"/>
      <c r="BRM25" s="33"/>
      <c r="BRN25" s="33"/>
      <c r="BRO25" s="74"/>
      <c r="BRP25" s="64"/>
      <c r="BRQ25" s="64"/>
      <c r="BRR25" s="64"/>
      <c r="BRS25" s="64"/>
      <c r="BRT25" s="33"/>
      <c r="BRU25" s="137"/>
      <c r="BRV25" s="33"/>
      <c r="BRW25" s="33"/>
      <c r="BRX25" s="33"/>
      <c r="BRY25" s="33"/>
      <c r="BRZ25" s="33"/>
      <c r="BSA25" s="74"/>
      <c r="BSB25" s="33"/>
      <c r="BSC25" s="33"/>
      <c r="BSD25" s="33"/>
      <c r="BSE25" s="33"/>
      <c r="BSF25" s="33"/>
      <c r="BSG25" s="137"/>
      <c r="BSH25" s="33"/>
      <c r="BSI25" s="33"/>
      <c r="BSJ25" s="33"/>
      <c r="BSK25" s="33"/>
      <c r="BSL25" s="33"/>
      <c r="BSM25" s="74"/>
      <c r="BSN25" s="33"/>
      <c r="BSO25" s="33"/>
      <c r="BSP25" s="33"/>
      <c r="BSQ25" s="33"/>
      <c r="BSR25" s="33"/>
      <c r="BSS25" s="34"/>
      <c r="BST25" s="32"/>
      <c r="BSU25" s="64"/>
      <c r="BSV25" s="64"/>
      <c r="BSW25" s="64"/>
      <c r="BSX25" s="33"/>
      <c r="BSY25" s="132"/>
      <c r="BSZ25" s="33"/>
      <c r="BTA25" s="33"/>
      <c r="BTB25" s="33"/>
      <c r="BTC25" s="33"/>
      <c r="BTD25" s="33"/>
      <c r="BTE25" s="137"/>
      <c r="BTF25" s="33"/>
      <c r="BTG25" s="33"/>
      <c r="BTH25" s="33"/>
      <c r="BTI25" s="33"/>
      <c r="BTJ25" s="33"/>
      <c r="BTK25" s="74"/>
      <c r="BTL25" s="33"/>
      <c r="BTM25" s="33"/>
      <c r="BTN25" s="33"/>
      <c r="BTO25" s="33"/>
      <c r="BTP25" s="33"/>
      <c r="BTQ25" s="137"/>
      <c r="BTR25" s="33"/>
      <c r="BTS25" s="33"/>
      <c r="BTT25" s="33"/>
      <c r="BTU25" s="33"/>
      <c r="BTV25" s="33"/>
      <c r="BTW25" s="74"/>
      <c r="BTX25" s="64"/>
      <c r="BTY25" s="64"/>
      <c r="BTZ25" s="64"/>
      <c r="BUA25" s="64"/>
      <c r="BUB25" s="33"/>
      <c r="BUC25" s="137"/>
      <c r="BUD25" s="33"/>
      <c r="BUE25" s="33"/>
      <c r="BUF25" s="33"/>
      <c r="BUG25" s="33"/>
      <c r="BUH25" s="33"/>
      <c r="BUI25" s="74"/>
      <c r="BUJ25" s="33"/>
      <c r="BUK25" s="33"/>
      <c r="BUL25" s="33"/>
      <c r="BUM25" s="33"/>
      <c r="BUN25" s="33"/>
      <c r="BUO25" s="137"/>
      <c r="BUP25" s="33"/>
      <c r="BUQ25" s="33"/>
      <c r="BUR25" s="33"/>
      <c r="BUS25" s="33"/>
      <c r="BUT25" s="33"/>
      <c r="BUU25" s="74"/>
      <c r="BUV25" s="33"/>
      <c r="BUW25" s="33"/>
      <c r="BUX25" s="33"/>
      <c r="BUY25" s="33"/>
      <c r="BUZ25" s="33"/>
      <c r="BVA25" s="34"/>
      <c r="BVB25" s="32"/>
      <c r="BVC25" s="64"/>
      <c r="BVD25" s="64"/>
      <c r="BVE25" s="64"/>
      <c r="BVF25" s="33"/>
      <c r="BVG25" s="132"/>
      <c r="BVH25" s="33"/>
      <c r="BVI25" s="33"/>
      <c r="BVJ25" s="33"/>
      <c r="BVK25" s="33"/>
      <c r="BVL25" s="33"/>
      <c r="BVM25" s="137"/>
      <c r="BVN25" s="33"/>
      <c r="BVO25" s="33"/>
      <c r="BVP25" s="33"/>
      <c r="BVQ25" s="33"/>
      <c r="BVR25" s="33"/>
      <c r="BVS25" s="74"/>
      <c r="BVT25" s="33"/>
      <c r="BVU25" s="33"/>
      <c r="BVV25" s="33"/>
      <c r="BVW25" s="33"/>
      <c r="BVX25" s="33"/>
      <c r="BVY25" s="137"/>
      <c r="BVZ25" s="33"/>
      <c r="BWA25" s="33"/>
      <c r="BWB25" s="33"/>
      <c r="BWC25" s="33"/>
      <c r="BWD25" s="33"/>
      <c r="BWE25" s="74"/>
      <c r="BWF25" s="64"/>
      <c r="BWG25" s="64"/>
      <c r="BWH25" s="64"/>
      <c r="BWI25" s="64"/>
      <c r="BWJ25" s="33"/>
      <c r="BWK25" s="137"/>
      <c r="BWL25" s="33"/>
      <c r="BWM25" s="33"/>
      <c r="BWN25" s="33"/>
      <c r="BWO25" s="33"/>
      <c r="BWP25" s="33"/>
      <c r="BWQ25" s="74"/>
      <c r="BWR25" s="33"/>
      <c r="BWS25" s="33"/>
      <c r="BWT25" s="33"/>
      <c r="BWU25" s="33"/>
      <c r="BWV25" s="33"/>
      <c r="BWW25" s="137"/>
      <c r="BWX25" s="33"/>
      <c r="BWY25" s="33"/>
      <c r="BWZ25" s="33"/>
      <c r="BXA25" s="33"/>
      <c r="BXB25" s="33"/>
      <c r="BXC25" s="74"/>
      <c r="BXD25" s="33"/>
      <c r="BXE25" s="33"/>
      <c r="BXF25" s="33"/>
      <c r="BXG25" s="33"/>
      <c r="BXH25" s="33"/>
      <c r="BXI25" s="34"/>
      <c r="BXJ25" s="32"/>
      <c r="BXK25" s="64"/>
      <c r="BXL25" s="64"/>
      <c r="BXM25" s="64"/>
      <c r="BXN25" s="33"/>
      <c r="BXO25" s="132"/>
      <c r="BXP25" s="33"/>
      <c r="BXQ25" s="33"/>
      <c r="BXR25" s="33"/>
      <c r="BXS25" s="33"/>
      <c r="BXT25" s="33"/>
      <c r="BXU25" s="137"/>
      <c r="BXV25" s="33"/>
      <c r="BXW25" s="33"/>
      <c r="BXX25" s="33"/>
      <c r="BXY25" s="33"/>
      <c r="BXZ25" s="33"/>
      <c r="BYA25" s="74"/>
      <c r="BYB25" s="33"/>
      <c r="BYC25" s="33"/>
      <c r="BYD25" s="33"/>
      <c r="BYE25" s="33"/>
      <c r="BYF25" s="33"/>
      <c r="BYG25" s="137"/>
      <c r="BYH25" s="33"/>
      <c r="BYI25" s="33"/>
      <c r="BYJ25" s="33"/>
      <c r="BYK25" s="33"/>
      <c r="BYL25" s="33"/>
      <c r="BYM25" s="74"/>
      <c r="BYN25" s="64"/>
      <c r="BYO25" s="64"/>
      <c r="BYP25" s="64"/>
      <c r="BYQ25" s="64"/>
      <c r="BYR25" s="33"/>
      <c r="BYS25" s="137"/>
      <c r="BYT25" s="33"/>
      <c r="BYU25" s="33"/>
      <c r="BYV25" s="33"/>
      <c r="BYW25" s="33"/>
      <c r="BYX25" s="33"/>
      <c r="BYY25" s="74"/>
      <c r="BYZ25" s="33"/>
      <c r="BZA25" s="33"/>
      <c r="BZB25" s="33"/>
      <c r="BZC25" s="33"/>
      <c r="BZD25" s="33"/>
      <c r="BZE25" s="137"/>
      <c r="BZF25" s="33"/>
      <c r="BZG25" s="33"/>
      <c r="BZH25" s="33"/>
      <c r="BZI25" s="33"/>
      <c r="BZJ25" s="33"/>
      <c r="BZK25" s="74"/>
      <c r="BZL25" s="33"/>
      <c r="BZM25" s="33"/>
      <c r="BZN25" s="33"/>
      <c r="BZO25" s="33"/>
      <c r="BZP25" s="33"/>
      <c r="BZQ25" s="34"/>
      <c r="BZR25" s="32"/>
      <c r="BZS25" s="64"/>
      <c r="BZT25" s="64"/>
      <c r="BZU25" s="64"/>
      <c r="BZV25" s="33"/>
      <c r="BZW25" s="132"/>
      <c r="BZX25" s="33"/>
      <c r="BZY25" s="33"/>
      <c r="BZZ25" s="33"/>
      <c r="CAA25" s="33"/>
      <c r="CAB25" s="33"/>
      <c r="CAC25" s="137"/>
      <c r="CAD25" s="33"/>
      <c r="CAE25" s="33"/>
      <c r="CAF25" s="33"/>
      <c r="CAG25" s="33"/>
      <c r="CAH25" s="33"/>
      <c r="CAI25" s="74"/>
      <c r="CAJ25" s="33"/>
      <c r="CAK25" s="33"/>
      <c r="CAL25" s="33"/>
      <c r="CAM25" s="33"/>
      <c r="CAN25" s="33"/>
      <c r="CAO25" s="137"/>
      <c r="CAP25" s="33"/>
      <c r="CAQ25" s="33"/>
      <c r="CAR25" s="33"/>
      <c r="CAS25" s="33"/>
      <c r="CAT25" s="33"/>
      <c r="CAU25" s="74"/>
      <c r="CAV25" s="64"/>
      <c r="CAW25" s="64"/>
      <c r="CAX25" s="64"/>
      <c r="CAY25" s="64"/>
      <c r="CAZ25" s="33"/>
      <c r="CBA25" s="137"/>
      <c r="CBB25" s="33"/>
      <c r="CBC25" s="33"/>
      <c r="CBD25" s="33"/>
      <c r="CBE25" s="33"/>
      <c r="CBF25" s="33"/>
      <c r="CBG25" s="74"/>
      <c r="CBH25" s="33"/>
      <c r="CBI25" s="33"/>
      <c r="CBJ25" s="33"/>
      <c r="CBK25" s="33"/>
      <c r="CBL25" s="33"/>
      <c r="CBM25" s="137"/>
      <c r="CBN25" s="33"/>
      <c r="CBO25" s="33"/>
      <c r="CBP25" s="33"/>
      <c r="CBQ25" s="33"/>
      <c r="CBR25" s="33"/>
      <c r="CBS25" s="74"/>
      <c r="CBT25" s="33"/>
      <c r="CBU25" s="33"/>
      <c r="CBV25" s="33"/>
      <c r="CBW25" s="33"/>
      <c r="CBX25" s="33"/>
      <c r="CBY25" s="34"/>
      <c r="CBZ25" s="32"/>
      <c r="CCA25" s="64"/>
      <c r="CCB25" s="64"/>
      <c r="CCC25" s="64"/>
      <c r="CCD25" s="33"/>
      <c r="CCE25" s="132"/>
      <c r="CCF25" s="33"/>
      <c r="CCG25" s="33"/>
      <c r="CCH25" s="33"/>
      <c r="CCI25" s="33"/>
      <c r="CCJ25" s="33"/>
      <c r="CCK25" s="137"/>
      <c r="CCL25" s="33"/>
      <c r="CCM25" s="33"/>
      <c r="CCN25" s="33"/>
      <c r="CCO25" s="33"/>
      <c r="CCP25" s="33"/>
      <c r="CCQ25" s="74"/>
      <c r="CCR25" s="33"/>
      <c r="CCS25" s="33"/>
      <c r="CCT25" s="33"/>
      <c r="CCU25" s="33"/>
      <c r="CCV25" s="33"/>
      <c r="CCW25" s="137"/>
      <c r="CCX25" s="33"/>
      <c r="CCY25" s="33"/>
      <c r="CCZ25" s="33"/>
      <c r="CDA25" s="33"/>
      <c r="CDB25" s="33"/>
      <c r="CDC25" s="74"/>
      <c r="CDD25" s="64"/>
      <c r="CDE25" s="64"/>
      <c r="CDF25" s="64"/>
      <c r="CDG25" s="64"/>
      <c r="CDH25" s="33"/>
      <c r="CDI25" s="137"/>
      <c r="CDJ25" s="33"/>
      <c r="CDK25" s="33"/>
      <c r="CDL25" s="33"/>
      <c r="CDM25" s="33"/>
      <c r="CDN25" s="33"/>
      <c r="CDO25" s="74"/>
      <c r="CDP25" s="33"/>
      <c r="CDQ25" s="33"/>
      <c r="CDR25" s="33"/>
      <c r="CDS25" s="33"/>
      <c r="CDT25" s="33"/>
      <c r="CDU25" s="137"/>
      <c r="CDV25" s="33"/>
      <c r="CDW25" s="33"/>
      <c r="CDX25" s="33"/>
      <c r="CDY25" s="33"/>
      <c r="CDZ25" s="33"/>
      <c r="CEA25" s="74"/>
      <c r="CEB25" s="33"/>
      <c r="CEC25" s="33"/>
      <c r="CED25" s="33"/>
      <c r="CEE25" s="33"/>
      <c r="CEF25" s="33"/>
      <c r="CEG25" s="34"/>
      <c r="CEH25" s="32"/>
      <c r="CEI25" s="64"/>
      <c r="CEJ25" s="64"/>
      <c r="CEK25" s="64"/>
      <c r="CEL25" s="33"/>
      <c r="CEM25" s="132"/>
      <c r="CEN25" s="33"/>
      <c r="CEO25" s="33"/>
      <c r="CEP25" s="33"/>
      <c r="CEQ25" s="33"/>
      <c r="CER25" s="33"/>
      <c r="CES25" s="137"/>
      <c r="CET25" s="33"/>
      <c r="CEU25" s="33"/>
      <c r="CEV25" s="33"/>
      <c r="CEW25" s="33"/>
      <c r="CEX25" s="33"/>
      <c r="CEY25" s="74"/>
      <c r="CEZ25" s="33"/>
      <c r="CFA25" s="33"/>
      <c r="CFB25" s="33"/>
      <c r="CFC25" s="33"/>
      <c r="CFD25" s="33"/>
      <c r="CFE25" s="137"/>
      <c r="CFF25" s="33"/>
      <c r="CFG25" s="33"/>
      <c r="CFH25" s="33"/>
      <c r="CFI25" s="33"/>
      <c r="CFJ25" s="33"/>
      <c r="CFK25" s="74"/>
      <c r="CFL25" s="64"/>
      <c r="CFM25" s="64"/>
      <c r="CFN25" s="64"/>
      <c r="CFO25" s="64"/>
      <c r="CFP25" s="33"/>
      <c r="CFQ25" s="137"/>
      <c r="CFR25" s="33"/>
      <c r="CFS25" s="33"/>
      <c r="CFT25" s="33"/>
      <c r="CFU25" s="33"/>
      <c r="CFV25" s="33"/>
      <c r="CFW25" s="74"/>
      <c r="CFX25" s="33"/>
      <c r="CFY25" s="33"/>
      <c r="CFZ25" s="33"/>
      <c r="CGA25" s="33"/>
      <c r="CGB25" s="33"/>
      <c r="CGC25" s="137"/>
      <c r="CGD25" s="33"/>
      <c r="CGE25" s="33"/>
      <c r="CGF25" s="33"/>
      <c r="CGG25" s="33"/>
      <c r="CGH25" s="33"/>
      <c r="CGI25" s="74"/>
      <c r="CGJ25" s="33"/>
      <c r="CGK25" s="33"/>
      <c r="CGL25" s="33"/>
      <c r="CGM25" s="33"/>
      <c r="CGN25" s="33"/>
      <c r="CGO25" s="34"/>
      <c r="CGP25" s="32"/>
      <c r="CGQ25" s="64"/>
      <c r="CGR25" s="64"/>
      <c r="CGS25" s="64"/>
      <c r="CGT25" s="33"/>
      <c r="CGU25" s="132"/>
      <c r="CGV25" s="33"/>
      <c r="CGW25" s="33"/>
      <c r="CGX25" s="33"/>
      <c r="CGY25" s="33"/>
      <c r="CGZ25" s="33"/>
      <c r="CHA25" s="137"/>
      <c r="CHB25" s="33"/>
      <c r="CHC25" s="33"/>
      <c r="CHD25" s="33"/>
      <c r="CHE25" s="33"/>
      <c r="CHF25" s="33"/>
      <c r="CHG25" s="74"/>
      <c r="CHH25" s="33"/>
      <c r="CHI25" s="33"/>
      <c r="CHJ25" s="33"/>
      <c r="CHK25" s="33"/>
      <c r="CHL25" s="33"/>
      <c r="CHM25" s="137"/>
      <c r="CHN25" s="33"/>
      <c r="CHO25" s="33"/>
      <c r="CHP25" s="33"/>
      <c r="CHQ25" s="33"/>
      <c r="CHR25" s="33"/>
      <c r="CHS25" s="74"/>
      <c r="CHT25" s="64"/>
      <c r="CHU25" s="64"/>
      <c r="CHV25" s="64"/>
      <c r="CHW25" s="64"/>
      <c r="CHX25" s="33"/>
      <c r="CHY25" s="137"/>
      <c r="CHZ25" s="33"/>
      <c r="CIA25" s="33"/>
      <c r="CIB25" s="33"/>
      <c r="CIC25" s="33"/>
      <c r="CID25" s="33"/>
      <c r="CIE25" s="74"/>
      <c r="CIF25" s="33"/>
      <c r="CIG25" s="33"/>
      <c r="CIH25" s="33"/>
      <c r="CII25" s="33"/>
      <c r="CIJ25" s="33"/>
      <c r="CIK25" s="137"/>
      <c r="CIL25" s="33"/>
      <c r="CIM25" s="33"/>
      <c r="CIN25" s="33"/>
      <c r="CIO25" s="33"/>
      <c r="CIP25" s="33"/>
      <c r="CIQ25" s="74"/>
      <c r="CIR25" s="33"/>
      <c r="CIS25" s="33"/>
      <c r="CIT25" s="33"/>
      <c r="CIU25" s="33"/>
      <c r="CIV25" s="33"/>
      <c r="CIW25" s="34"/>
      <c r="CIX25" s="32"/>
      <c r="CIY25" s="64"/>
      <c r="CIZ25" s="64"/>
      <c r="CJA25" s="64"/>
      <c r="CJB25" s="33"/>
      <c r="CJC25" s="132"/>
      <c r="CJD25" s="33"/>
      <c r="CJE25" s="33"/>
      <c r="CJF25" s="33"/>
      <c r="CJG25" s="33"/>
      <c r="CJH25" s="33"/>
      <c r="CJI25" s="137"/>
      <c r="CJJ25" s="33"/>
      <c r="CJK25" s="33"/>
      <c r="CJL25" s="33"/>
      <c r="CJM25" s="33"/>
      <c r="CJN25" s="33"/>
      <c r="CJO25" s="74"/>
      <c r="CJP25" s="33"/>
      <c r="CJQ25" s="33"/>
      <c r="CJR25" s="33"/>
      <c r="CJS25" s="33"/>
      <c r="CJT25" s="33"/>
      <c r="CJU25" s="137"/>
      <c r="CJV25" s="33"/>
      <c r="CJW25" s="33"/>
      <c r="CJX25" s="33"/>
      <c r="CJY25" s="33"/>
      <c r="CJZ25" s="33"/>
      <c r="CKA25" s="74"/>
      <c r="CKB25" s="64"/>
      <c r="CKC25" s="64"/>
      <c r="CKD25" s="64"/>
      <c r="CKE25" s="64"/>
      <c r="CKF25" s="33"/>
      <c r="CKG25" s="137"/>
      <c r="CKH25" s="33"/>
      <c r="CKI25" s="33"/>
      <c r="CKJ25" s="33"/>
      <c r="CKK25" s="33"/>
      <c r="CKL25" s="33"/>
      <c r="CKM25" s="74"/>
      <c r="CKN25" s="33"/>
      <c r="CKO25" s="33"/>
      <c r="CKP25" s="33"/>
      <c r="CKQ25" s="33"/>
      <c r="CKR25" s="33"/>
      <c r="CKS25" s="137"/>
      <c r="CKT25" s="33"/>
      <c r="CKU25" s="33"/>
      <c r="CKV25" s="33"/>
      <c r="CKW25" s="33"/>
      <c r="CKX25" s="33"/>
      <c r="CKY25" s="74"/>
      <c r="CKZ25" s="33"/>
      <c r="CLA25" s="33"/>
      <c r="CLB25" s="33"/>
      <c r="CLC25" s="33"/>
      <c r="CLD25" s="33"/>
      <c r="CLE25" s="34"/>
      <c r="CLF25" s="32"/>
      <c r="CLG25" s="64"/>
      <c r="CLH25" s="64"/>
      <c r="CLI25" s="64"/>
      <c r="CLJ25" s="33"/>
      <c r="CLK25" s="132"/>
      <c r="CLL25" s="33"/>
      <c r="CLM25" s="33"/>
      <c r="CLN25" s="33"/>
      <c r="CLO25" s="33"/>
      <c r="CLP25" s="33"/>
      <c r="CLQ25" s="137"/>
      <c r="CLR25" s="33"/>
      <c r="CLS25" s="33"/>
      <c r="CLT25" s="33"/>
      <c r="CLU25" s="33"/>
      <c r="CLV25" s="33"/>
      <c r="CLW25" s="74"/>
      <c r="CLX25" s="33"/>
      <c r="CLY25" s="33"/>
      <c r="CLZ25" s="33"/>
      <c r="CMA25" s="33"/>
      <c r="CMB25" s="33"/>
      <c r="CMC25" s="137"/>
      <c r="CMD25" s="33"/>
      <c r="CME25" s="33"/>
      <c r="CMF25" s="33"/>
      <c r="CMG25" s="33"/>
      <c r="CMH25" s="33"/>
      <c r="CMI25" s="74"/>
      <c r="CMJ25" s="64"/>
      <c r="CMK25" s="64"/>
      <c r="CML25" s="64"/>
      <c r="CMM25" s="64"/>
      <c r="CMN25" s="33"/>
      <c r="CMO25" s="137"/>
      <c r="CMP25" s="33"/>
      <c r="CMQ25" s="33"/>
      <c r="CMR25" s="33"/>
      <c r="CMS25" s="33"/>
      <c r="CMT25" s="33"/>
      <c r="CMU25" s="74"/>
      <c r="CMV25" s="33"/>
      <c r="CMW25" s="33"/>
      <c r="CMX25" s="33"/>
      <c r="CMY25" s="33"/>
      <c r="CMZ25" s="33"/>
      <c r="CNA25" s="137"/>
      <c r="CNB25" s="33"/>
      <c r="CNC25" s="33"/>
      <c r="CND25" s="33"/>
      <c r="CNE25" s="33"/>
      <c r="CNF25" s="33"/>
      <c r="CNG25" s="74"/>
      <c r="CNH25" s="33"/>
      <c r="CNI25" s="33"/>
      <c r="CNJ25" s="33"/>
      <c r="CNK25" s="33"/>
      <c r="CNL25" s="33"/>
      <c r="CNM25" s="34"/>
      <c r="CNN25" s="32"/>
      <c r="CNO25" s="64"/>
      <c r="CNP25" s="64"/>
      <c r="CNQ25" s="64"/>
      <c r="CNR25" s="33"/>
      <c r="CNS25" s="132"/>
      <c r="CNT25" s="33"/>
      <c r="CNU25" s="33"/>
      <c r="CNV25" s="33"/>
      <c r="CNW25" s="33"/>
      <c r="CNX25" s="33"/>
      <c r="CNY25" s="137"/>
      <c r="CNZ25" s="33"/>
      <c r="COA25" s="33"/>
      <c r="COB25" s="33"/>
      <c r="COC25" s="33"/>
      <c r="COD25" s="33"/>
      <c r="COE25" s="74"/>
      <c r="COF25" s="33"/>
      <c r="COG25" s="33"/>
      <c r="COH25" s="33"/>
      <c r="COI25" s="33"/>
      <c r="COJ25" s="33"/>
      <c r="COK25" s="137"/>
      <c r="COL25" s="33"/>
      <c r="COM25" s="33"/>
      <c r="CON25" s="33"/>
      <c r="COO25" s="33"/>
      <c r="COP25" s="33"/>
      <c r="COQ25" s="74"/>
      <c r="COR25" s="64"/>
      <c r="COS25" s="64"/>
      <c r="COT25" s="64"/>
      <c r="COU25" s="64"/>
      <c r="COV25" s="33"/>
      <c r="COW25" s="137"/>
      <c r="COX25" s="33"/>
      <c r="COY25" s="33"/>
      <c r="COZ25" s="33"/>
      <c r="CPA25" s="33"/>
      <c r="CPB25" s="33"/>
      <c r="CPC25" s="74"/>
      <c r="CPD25" s="33"/>
      <c r="CPE25" s="33"/>
      <c r="CPF25" s="33"/>
      <c r="CPG25" s="33"/>
      <c r="CPH25" s="33"/>
      <c r="CPI25" s="137"/>
      <c r="CPJ25" s="33"/>
      <c r="CPK25" s="33"/>
      <c r="CPL25" s="33"/>
      <c r="CPM25" s="33"/>
      <c r="CPN25" s="33"/>
      <c r="CPO25" s="74"/>
      <c r="CPP25" s="33"/>
      <c r="CPQ25" s="33"/>
      <c r="CPR25" s="33"/>
      <c r="CPS25" s="33"/>
      <c r="CPT25" s="33"/>
      <c r="CPU25" s="34"/>
      <c r="CPV25" s="32"/>
      <c r="CPW25" s="64"/>
      <c r="CPX25" s="64"/>
      <c r="CPY25" s="64"/>
      <c r="CPZ25" s="33"/>
      <c r="CQA25" s="132"/>
      <c r="CQB25" s="33"/>
      <c r="CQC25" s="33"/>
      <c r="CQD25" s="33"/>
      <c r="CQE25" s="33"/>
      <c r="CQF25" s="33"/>
      <c r="CQG25" s="137"/>
      <c r="CQH25" s="33"/>
      <c r="CQI25" s="33"/>
      <c r="CQJ25" s="33"/>
      <c r="CQK25" s="33"/>
      <c r="CQL25" s="33"/>
      <c r="CQM25" s="74"/>
      <c r="CQN25" s="33"/>
      <c r="CQO25" s="33"/>
      <c r="CQP25" s="33"/>
      <c r="CQQ25" s="33"/>
      <c r="CQR25" s="33"/>
      <c r="CQS25" s="137"/>
      <c r="CQT25" s="33"/>
      <c r="CQU25" s="33"/>
      <c r="CQV25" s="33"/>
      <c r="CQW25" s="33"/>
      <c r="CQX25" s="33"/>
      <c r="CQY25" s="74"/>
      <c r="CQZ25" s="64"/>
      <c r="CRA25" s="64"/>
      <c r="CRB25" s="64"/>
      <c r="CRC25" s="64"/>
      <c r="CRD25" s="33"/>
      <c r="CRE25" s="137"/>
      <c r="CRF25" s="33"/>
      <c r="CRG25" s="33"/>
      <c r="CRH25" s="33"/>
      <c r="CRI25" s="33"/>
      <c r="CRJ25" s="33"/>
      <c r="CRK25" s="74"/>
      <c r="CRL25" s="33"/>
      <c r="CRM25" s="33"/>
      <c r="CRN25" s="33"/>
      <c r="CRO25" s="33"/>
      <c r="CRP25" s="33"/>
      <c r="CRQ25" s="137"/>
      <c r="CRR25" s="33"/>
      <c r="CRS25" s="33"/>
      <c r="CRT25" s="33"/>
      <c r="CRU25" s="33"/>
      <c r="CRV25" s="33"/>
      <c r="CRW25" s="74"/>
      <c r="CRX25" s="33"/>
      <c r="CRY25" s="33"/>
      <c r="CRZ25" s="33"/>
      <c r="CSA25" s="33"/>
      <c r="CSB25" s="33"/>
      <c r="CSC25" s="34"/>
      <c r="CSD25" s="90"/>
    </row>
    <row r="26" spans="1:2526" ht="20.100000000000001" customHeight="1" x14ac:dyDescent="0.3">
      <c r="A26" s="100" t="s">
        <v>19</v>
      </c>
      <c r="B26" s="63" t="str">
        <f>IF(LEN(C37)=0,"",C37)</f>
        <v>Réalisation - Création de relation avec un panier d'information</v>
      </c>
      <c r="C26" s="212"/>
      <c r="D26" s="148" t="str">
        <f t="shared" si="0"/>
        <v>3h</v>
      </c>
      <c r="E26" s="35">
        <v>36</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186"/>
      <c r="HF26" s="186"/>
      <c r="HG26" s="189"/>
      <c r="HH26" s="185"/>
      <c r="HI26" s="185"/>
      <c r="HJ26" s="185"/>
      <c r="HK26" s="185"/>
      <c r="HL26" s="186"/>
      <c r="HM26" s="18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184"/>
      <c r="IM26" s="185"/>
      <c r="IN26" s="185"/>
      <c r="IO26" s="185"/>
      <c r="IP26" s="186"/>
      <c r="IQ26" s="187"/>
      <c r="IR26" s="186"/>
      <c r="IS26" s="186"/>
      <c r="IT26" s="186"/>
      <c r="IU26" s="186"/>
      <c r="IV26" s="186"/>
      <c r="IW26" s="188"/>
      <c r="IX26" s="186"/>
      <c r="IY26" s="186"/>
      <c r="IZ26" s="186"/>
      <c r="JA26" s="186"/>
      <c r="JB26" s="186"/>
      <c r="JC26" s="189"/>
      <c r="JD26" s="186"/>
      <c r="JE26" s="186"/>
      <c r="JF26" s="186"/>
      <c r="JG26" s="186"/>
      <c r="JH26" s="186"/>
      <c r="JI26" s="188"/>
      <c r="JJ26" s="186"/>
      <c r="JK26" s="186"/>
      <c r="JL26" s="186"/>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36"/>
      <c r="BLW26" s="65"/>
      <c r="BLX26" s="65"/>
      <c r="BLY26" s="65"/>
      <c r="BLZ26" s="37"/>
      <c r="BMA26" s="133"/>
      <c r="BMB26" s="37"/>
      <c r="BMC26" s="37"/>
      <c r="BMD26" s="37"/>
      <c r="BME26" s="37"/>
      <c r="BMF26" s="37"/>
      <c r="BMG26" s="138"/>
      <c r="BMH26" s="37"/>
      <c r="BMI26" s="37"/>
      <c r="BMJ26" s="37"/>
      <c r="BMK26" s="37"/>
      <c r="BML26" s="37"/>
      <c r="BMM26" s="75"/>
      <c r="BMN26" s="37"/>
      <c r="BMO26" s="37"/>
      <c r="BMP26" s="37"/>
      <c r="BMQ26" s="37"/>
      <c r="BMR26" s="37"/>
      <c r="BMS26" s="138"/>
      <c r="BMT26" s="37"/>
      <c r="BMU26" s="37"/>
      <c r="BMV26" s="37"/>
      <c r="BMW26" s="37"/>
      <c r="BMX26" s="37"/>
      <c r="BMY26" s="75"/>
      <c r="BMZ26" s="65"/>
      <c r="BNA26" s="65"/>
      <c r="BNB26" s="65"/>
      <c r="BNC26" s="65"/>
      <c r="BND26" s="37"/>
      <c r="BNE26" s="138"/>
      <c r="BNF26" s="37"/>
      <c r="BNG26" s="37"/>
      <c r="BNH26" s="37"/>
      <c r="BNI26" s="37"/>
      <c r="BNJ26" s="37"/>
      <c r="BNK26" s="75"/>
      <c r="BNL26" s="37"/>
      <c r="BNM26" s="37"/>
      <c r="BNN26" s="37"/>
      <c r="BNO26" s="37"/>
      <c r="BNP26" s="37"/>
      <c r="BNQ26" s="138"/>
      <c r="BNR26" s="37"/>
      <c r="BNS26" s="37"/>
      <c r="BNT26" s="37"/>
      <c r="BNU26" s="37"/>
      <c r="BNV26" s="37"/>
      <c r="BNW26" s="75"/>
      <c r="BNX26" s="37"/>
      <c r="BNY26" s="37"/>
      <c r="BNZ26" s="37"/>
      <c r="BOA26" s="37"/>
      <c r="BOB26" s="37"/>
      <c r="BOC26" s="38"/>
      <c r="BOD26" s="36"/>
      <c r="BOE26" s="65"/>
      <c r="BOF26" s="65"/>
      <c r="BOG26" s="65"/>
      <c r="BOH26" s="37"/>
      <c r="BOI26" s="133"/>
      <c r="BOJ26" s="37"/>
      <c r="BOK26" s="37"/>
      <c r="BOL26" s="37"/>
      <c r="BOM26" s="37"/>
      <c r="BON26" s="37"/>
      <c r="BOO26" s="138"/>
      <c r="BOP26" s="37"/>
      <c r="BOQ26" s="37"/>
      <c r="BOR26" s="37"/>
      <c r="BOS26" s="37"/>
      <c r="BOT26" s="37"/>
      <c r="BOU26" s="75"/>
      <c r="BOV26" s="37"/>
      <c r="BOW26" s="37"/>
      <c r="BOX26" s="37"/>
      <c r="BOY26" s="37"/>
      <c r="BOZ26" s="37"/>
      <c r="BPA26" s="138"/>
      <c r="BPB26" s="37"/>
      <c r="BPC26" s="37"/>
      <c r="BPD26" s="37"/>
      <c r="BPE26" s="37"/>
      <c r="BPF26" s="37"/>
      <c r="BPG26" s="75"/>
      <c r="BPH26" s="65"/>
      <c r="BPI26" s="65"/>
      <c r="BPJ26" s="65"/>
      <c r="BPK26" s="65"/>
      <c r="BPL26" s="37"/>
      <c r="BPM26" s="138"/>
      <c r="BPN26" s="37"/>
      <c r="BPO26" s="37"/>
      <c r="BPP26" s="37"/>
      <c r="BPQ26" s="37"/>
      <c r="BPR26" s="37"/>
      <c r="BPS26" s="75"/>
      <c r="BPT26" s="37"/>
      <c r="BPU26" s="37"/>
      <c r="BPV26" s="37"/>
      <c r="BPW26" s="37"/>
      <c r="BPX26" s="37"/>
      <c r="BPY26" s="138"/>
      <c r="BPZ26" s="37"/>
      <c r="BQA26" s="37"/>
      <c r="BQB26" s="37"/>
      <c r="BQC26" s="37"/>
      <c r="BQD26" s="37"/>
      <c r="BQE26" s="75"/>
      <c r="BQF26" s="37"/>
      <c r="BQG26" s="37"/>
      <c r="BQH26" s="37"/>
      <c r="BQI26" s="37"/>
      <c r="BQJ26" s="37"/>
      <c r="BQK26" s="38"/>
      <c r="BQL26" s="36"/>
      <c r="BQM26" s="65"/>
      <c r="BQN26" s="65"/>
      <c r="BQO26" s="65"/>
      <c r="BQP26" s="37"/>
      <c r="BQQ26" s="133"/>
      <c r="BQR26" s="37"/>
      <c r="BQS26" s="37"/>
      <c r="BQT26" s="37"/>
      <c r="BQU26" s="37"/>
      <c r="BQV26" s="37"/>
      <c r="BQW26" s="138"/>
      <c r="BQX26" s="37"/>
      <c r="BQY26" s="37"/>
      <c r="BQZ26" s="37"/>
      <c r="BRA26" s="37"/>
      <c r="BRB26" s="37"/>
      <c r="BRC26" s="75"/>
      <c r="BRD26" s="37"/>
      <c r="BRE26" s="37"/>
      <c r="BRF26" s="37"/>
      <c r="BRG26" s="37"/>
      <c r="BRH26" s="37"/>
      <c r="BRI26" s="138"/>
      <c r="BRJ26" s="37"/>
      <c r="BRK26" s="37"/>
      <c r="BRL26" s="37"/>
      <c r="BRM26" s="37"/>
      <c r="BRN26" s="37"/>
      <c r="BRO26" s="75"/>
      <c r="BRP26" s="65"/>
      <c r="BRQ26" s="65"/>
      <c r="BRR26" s="65"/>
      <c r="BRS26" s="65"/>
      <c r="BRT26" s="37"/>
      <c r="BRU26" s="138"/>
      <c r="BRV26" s="37"/>
      <c r="BRW26" s="37"/>
      <c r="BRX26" s="37"/>
      <c r="BRY26" s="37"/>
      <c r="BRZ26" s="37"/>
      <c r="BSA26" s="75"/>
      <c r="BSB26" s="37"/>
      <c r="BSC26" s="37"/>
      <c r="BSD26" s="37"/>
      <c r="BSE26" s="37"/>
      <c r="BSF26" s="37"/>
      <c r="BSG26" s="138"/>
      <c r="BSH26" s="37"/>
      <c r="BSI26" s="37"/>
      <c r="BSJ26" s="37"/>
      <c r="BSK26" s="37"/>
      <c r="BSL26" s="37"/>
      <c r="BSM26" s="75"/>
      <c r="BSN26" s="37"/>
      <c r="BSO26" s="37"/>
      <c r="BSP26" s="37"/>
      <c r="BSQ26" s="37"/>
      <c r="BSR26" s="37"/>
      <c r="BSS26" s="38"/>
      <c r="BST26" s="36"/>
      <c r="BSU26" s="65"/>
      <c r="BSV26" s="65"/>
      <c r="BSW26" s="65"/>
      <c r="BSX26" s="37"/>
      <c r="BSY26" s="133"/>
      <c r="BSZ26" s="37"/>
      <c r="BTA26" s="37"/>
      <c r="BTB26" s="37"/>
      <c r="BTC26" s="37"/>
      <c r="BTD26" s="37"/>
      <c r="BTE26" s="138"/>
      <c r="BTF26" s="37"/>
      <c r="BTG26" s="37"/>
      <c r="BTH26" s="37"/>
      <c r="BTI26" s="37"/>
      <c r="BTJ26" s="37"/>
      <c r="BTK26" s="75"/>
      <c r="BTL26" s="37"/>
      <c r="BTM26" s="37"/>
      <c r="BTN26" s="37"/>
      <c r="BTO26" s="37"/>
      <c r="BTP26" s="37"/>
      <c r="BTQ26" s="138"/>
      <c r="BTR26" s="37"/>
      <c r="BTS26" s="37"/>
      <c r="BTT26" s="37"/>
      <c r="BTU26" s="37"/>
      <c r="BTV26" s="37"/>
      <c r="BTW26" s="75"/>
      <c r="BTX26" s="65"/>
      <c r="BTY26" s="65"/>
      <c r="BTZ26" s="65"/>
      <c r="BUA26" s="65"/>
      <c r="BUB26" s="37"/>
      <c r="BUC26" s="138"/>
      <c r="BUD26" s="37"/>
      <c r="BUE26" s="37"/>
      <c r="BUF26" s="37"/>
      <c r="BUG26" s="37"/>
      <c r="BUH26" s="37"/>
      <c r="BUI26" s="75"/>
      <c r="BUJ26" s="37"/>
      <c r="BUK26" s="37"/>
      <c r="BUL26" s="37"/>
      <c r="BUM26" s="37"/>
      <c r="BUN26" s="37"/>
      <c r="BUO26" s="138"/>
      <c r="BUP26" s="37"/>
      <c r="BUQ26" s="37"/>
      <c r="BUR26" s="37"/>
      <c r="BUS26" s="37"/>
      <c r="BUT26" s="37"/>
      <c r="BUU26" s="75"/>
      <c r="BUV26" s="37"/>
      <c r="BUW26" s="37"/>
      <c r="BUX26" s="37"/>
      <c r="BUY26" s="37"/>
      <c r="BUZ26" s="37"/>
      <c r="BVA26" s="38"/>
      <c r="BVB26" s="36"/>
      <c r="BVC26" s="65"/>
      <c r="BVD26" s="65"/>
      <c r="BVE26" s="65"/>
      <c r="BVF26" s="37"/>
      <c r="BVG26" s="133"/>
      <c r="BVH26" s="37"/>
      <c r="BVI26" s="37"/>
      <c r="BVJ26" s="37"/>
      <c r="BVK26" s="37"/>
      <c r="BVL26" s="37"/>
      <c r="BVM26" s="138"/>
      <c r="BVN26" s="37"/>
      <c r="BVO26" s="37"/>
      <c r="BVP26" s="37"/>
      <c r="BVQ26" s="37"/>
      <c r="BVR26" s="37"/>
      <c r="BVS26" s="75"/>
      <c r="BVT26" s="37"/>
      <c r="BVU26" s="37"/>
      <c r="BVV26" s="37"/>
      <c r="BVW26" s="37"/>
      <c r="BVX26" s="37"/>
      <c r="BVY26" s="138"/>
      <c r="BVZ26" s="37"/>
      <c r="BWA26" s="37"/>
      <c r="BWB26" s="37"/>
      <c r="BWC26" s="37"/>
      <c r="BWD26" s="37"/>
      <c r="BWE26" s="75"/>
      <c r="BWF26" s="65"/>
      <c r="BWG26" s="65"/>
      <c r="BWH26" s="65"/>
      <c r="BWI26" s="65"/>
      <c r="BWJ26" s="37"/>
      <c r="BWK26" s="138"/>
      <c r="BWL26" s="37"/>
      <c r="BWM26" s="37"/>
      <c r="BWN26" s="37"/>
      <c r="BWO26" s="37"/>
      <c r="BWP26" s="37"/>
      <c r="BWQ26" s="75"/>
      <c r="BWR26" s="37"/>
      <c r="BWS26" s="37"/>
      <c r="BWT26" s="37"/>
      <c r="BWU26" s="37"/>
      <c r="BWV26" s="37"/>
      <c r="BWW26" s="138"/>
      <c r="BWX26" s="37"/>
      <c r="BWY26" s="37"/>
      <c r="BWZ26" s="37"/>
      <c r="BXA26" s="37"/>
      <c r="BXB26" s="37"/>
      <c r="BXC26" s="75"/>
      <c r="BXD26" s="37"/>
      <c r="BXE26" s="37"/>
      <c r="BXF26" s="37"/>
      <c r="BXG26" s="37"/>
      <c r="BXH26" s="37"/>
      <c r="BXI26" s="38"/>
      <c r="BXJ26" s="36"/>
      <c r="BXK26" s="65"/>
      <c r="BXL26" s="65"/>
      <c r="BXM26" s="65"/>
      <c r="BXN26" s="37"/>
      <c r="BXO26" s="133"/>
      <c r="BXP26" s="37"/>
      <c r="BXQ26" s="37"/>
      <c r="BXR26" s="37"/>
      <c r="BXS26" s="37"/>
      <c r="BXT26" s="37"/>
      <c r="BXU26" s="138"/>
      <c r="BXV26" s="37"/>
      <c r="BXW26" s="37"/>
      <c r="BXX26" s="37"/>
      <c r="BXY26" s="37"/>
      <c r="BXZ26" s="37"/>
      <c r="BYA26" s="75"/>
      <c r="BYB26" s="37"/>
      <c r="BYC26" s="37"/>
      <c r="BYD26" s="37"/>
      <c r="BYE26" s="37"/>
      <c r="BYF26" s="37"/>
      <c r="BYG26" s="138"/>
      <c r="BYH26" s="37"/>
      <c r="BYI26" s="37"/>
      <c r="BYJ26" s="37"/>
      <c r="BYK26" s="37"/>
      <c r="BYL26" s="37"/>
      <c r="BYM26" s="75"/>
      <c r="BYN26" s="65"/>
      <c r="BYO26" s="65"/>
      <c r="BYP26" s="65"/>
      <c r="BYQ26" s="65"/>
      <c r="BYR26" s="37"/>
      <c r="BYS26" s="138"/>
      <c r="BYT26" s="37"/>
      <c r="BYU26" s="37"/>
      <c r="BYV26" s="37"/>
      <c r="BYW26" s="37"/>
      <c r="BYX26" s="37"/>
      <c r="BYY26" s="75"/>
      <c r="BYZ26" s="37"/>
      <c r="BZA26" s="37"/>
      <c r="BZB26" s="37"/>
      <c r="BZC26" s="37"/>
      <c r="BZD26" s="37"/>
      <c r="BZE26" s="138"/>
      <c r="BZF26" s="37"/>
      <c r="BZG26" s="37"/>
      <c r="BZH26" s="37"/>
      <c r="BZI26" s="37"/>
      <c r="BZJ26" s="37"/>
      <c r="BZK26" s="75"/>
      <c r="BZL26" s="37"/>
      <c r="BZM26" s="37"/>
      <c r="BZN26" s="37"/>
      <c r="BZO26" s="37"/>
      <c r="BZP26" s="37"/>
      <c r="BZQ26" s="38"/>
      <c r="BZR26" s="36"/>
      <c r="BZS26" s="65"/>
      <c r="BZT26" s="65"/>
      <c r="BZU26" s="65"/>
      <c r="BZV26" s="37"/>
      <c r="BZW26" s="133"/>
      <c r="BZX26" s="37"/>
      <c r="BZY26" s="37"/>
      <c r="BZZ26" s="37"/>
      <c r="CAA26" s="37"/>
      <c r="CAB26" s="37"/>
      <c r="CAC26" s="138"/>
      <c r="CAD26" s="37"/>
      <c r="CAE26" s="37"/>
      <c r="CAF26" s="37"/>
      <c r="CAG26" s="37"/>
      <c r="CAH26" s="37"/>
      <c r="CAI26" s="75"/>
      <c r="CAJ26" s="37"/>
      <c r="CAK26" s="37"/>
      <c r="CAL26" s="37"/>
      <c r="CAM26" s="37"/>
      <c r="CAN26" s="37"/>
      <c r="CAO26" s="138"/>
      <c r="CAP26" s="37"/>
      <c r="CAQ26" s="37"/>
      <c r="CAR26" s="37"/>
      <c r="CAS26" s="37"/>
      <c r="CAT26" s="37"/>
      <c r="CAU26" s="75"/>
      <c r="CAV26" s="65"/>
      <c r="CAW26" s="65"/>
      <c r="CAX26" s="65"/>
      <c r="CAY26" s="65"/>
      <c r="CAZ26" s="37"/>
      <c r="CBA26" s="138"/>
      <c r="CBB26" s="37"/>
      <c r="CBC26" s="37"/>
      <c r="CBD26" s="37"/>
      <c r="CBE26" s="37"/>
      <c r="CBF26" s="37"/>
      <c r="CBG26" s="75"/>
      <c r="CBH26" s="37"/>
      <c r="CBI26" s="37"/>
      <c r="CBJ26" s="37"/>
      <c r="CBK26" s="37"/>
      <c r="CBL26" s="37"/>
      <c r="CBM26" s="138"/>
      <c r="CBN26" s="37"/>
      <c r="CBO26" s="37"/>
      <c r="CBP26" s="37"/>
      <c r="CBQ26" s="37"/>
      <c r="CBR26" s="37"/>
      <c r="CBS26" s="75"/>
      <c r="CBT26" s="37"/>
      <c r="CBU26" s="37"/>
      <c r="CBV26" s="37"/>
      <c r="CBW26" s="37"/>
      <c r="CBX26" s="37"/>
      <c r="CBY26" s="38"/>
      <c r="CBZ26" s="36"/>
      <c r="CCA26" s="65"/>
      <c r="CCB26" s="65"/>
      <c r="CCC26" s="65"/>
      <c r="CCD26" s="37"/>
      <c r="CCE26" s="133"/>
      <c r="CCF26" s="37"/>
      <c r="CCG26" s="37"/>
      <c r="CCH26" s="37"/>
      <c r="CCI26" s="37"/>
      <c r="CCJ26" s="37"/>
      <c r="CCK26" s="138"/>
      <c r="CCL26" s="37"/>
      <c r="CCM26" s="37"/>
      <c r="CCN26" s="37"/>
      <c r="CCO26" s="37"/>
      <c r="CCP26" s="37"/>
      <c r="CCQ26" s="75"/>
      <c r="CCR26" s="37"/>
      <c r="CCS26" s="37"/>
      <c r="CCT26" s="37"/>
      <c r="CCU26" s="37"/>
      <c r="CCV26" s="37"/>
      <c r="CCW26" s="138"/>
      <c r="CCX26" s="37"/>
      <c r="CCY26" s="37"/>
      <c r="CCZ26" s="37"/>
      <c r="CDA26" s="37"/>
      <c r="CDB26" s="37"/>
      <c r="CDC26" s="75"/>
      <c r="CDD26" s="65"/>
      <c r="CDE26" s="65"/>
      <c r="CDF26" s="65"/>
      <c r="CDG26" s="65"/>
      <c r="CDH26" s="37"/>
      <c r="CDI26" s="138"/>
      <c r="CDJ26" s="37"/>
      <c r="CDK26" s="37"/>
      <c r="CDL26" s="37"/>
      <c r="CDM26" s="37"/>
      <c r="CDN26" s="37"/>
      <c r="CDO26" s="75"/>
      <c r="CDP26" s="37"/>
      <c r="CDQ26" s="37"/>
      <c r="CDR26" s="37"/>
      <c r="CDS26" s="37"/>
      <c r="CDT26" s="37"/>
      <c r="CDU26" s="138"/>
      <c r="CDV26" s="37"/>
      <c r="CDW26" s="37"/>
      <c r="CDX26" s="37"/>
      <c r="CDY26" s="37"/>
      <c r="CDZ26" s="37"/>
      <c r="CEA26" s="75"/>
      <c r="CEB26" s="37"/>
      <c r="CEC26" s="37"/>
      <c r="CED26" s="37"/>
      <c r="CEE26" s="37"/>
      <c r="CEF26" s="37"/>
      <c r="CEG26" s="38"/>
      <c r="CEH26" s="36"/>
      <c r="CEI26" s="65"/>
      <c r="CEJ26" s="65"/>
      <c r="CEK26" s="65"/>
      <c r="CEL26" s="37"/>
      <c r="CEM26" s="133"/>
      <c r="CEN26" s="37"/>
      <c r="CEO26" s="37"/>
      <c r="CEP26" s="37"/>
      <c r="CEQ26" s="37"/>
      <c r="CER26" s="37"/>
      <c r="CES26" s="138"/>
      <c r="CET26" s="37"/>
      <c r="CEU26" s="37"/>
      <c r="CEV26" s="37"/>
      <c r="CEW26" s="37"/>
      <c r="CEX26" s="37"/>
      <c r="CEY26" s="75"/>
      <c r="CEZ26" s="37"/>
      <c r="CFA26" s="37"/>
      <c r="CFB26" s="37"/>
      <c r="CFC26" s="37"/>
      <c r="CFD26" s="37"/>
      <c r="CFE26" s="138"/>
      <c r="CFF26" s="37"/>
      <c r="CFG26" s="37"/>
      <c r="CFH26" s="37"/>
      <c r="CFI26" s="37"/>
      <c r="CFJ26" s="37"/>
      <c r="CFK26" s="75"/>
      <c r="CFL26" s="65"/>
      <c r="CFM26" s="65"/>
      <c r="CFN26" s="65"/>
      <c r="CFO26" s="65"/>
      <c r="CFP26" s="37"/>
      <c r="CFQ26" s="138"/>
      <c r="CFR26" s="37"/>
      <c r="CFS26" s="37"/>
      <c r="CFT26" s="37"/>
      <c r="CFU26" s="37"/>
      <c r="CFV26" s="37"/>
      <c r="CFW26" s="75"/>
      <c r="CFX26" s="37"/>
      <c r="CFY26" s="37"/>
      <c r="CFZ26" s="37"/>
      <c r="CGA26" s="37"/>
      <c r="CGB26" s="37"/>
      <c r="CGC26" s="138"/>
      <c r="CGD26" s="37"/>
      <c r="CGE26" s="37"/>
      <c r="CGF26" s="37"/>
      <c r="CGG26" s="37"/>
      <c r="CGH26" s="37"/>
      <c r="CGI26" s="75"/>
      <c r="CGJ26" s="37"/>
      <c r="CGK26" s="37"/>
      <c r="CGL26" s="37"/>
      <c r="CGM26" s="37"/>
      <c r="CGN26" s="37"/>
      <c r="CGO26" s="38"/>
      <c r="CGP26" s="36"/>
      <c r="CGQ26" s="65"/>
      <c r="CGR26" s="65"/>
      <c r="CGS26" s="65"/>
      <c r="CGT26" s="37"/>
      <c r="CGU26" s="133"/>
      <c r="CGV26" s="37"/>
      <c r="CGW26" s="37"/>
      <c r="CGX26" s="37"/>
      <c r="CGY26" s="37"/>
      <c r="CGZ26" s="37"/>
      <c r="CHA26" s="138"/>
      <c r="CHB26" s="37"/>
      <c r="CHC26" s="37"/>
      <c r="CHD26" s="37"/>
      <c r="CHE26" s="37"/>
      <c r="CHF26" s="37"/>
      <c r="CHG26" s="75"/>
      <c r="CHH26" s="37"/>
      <c r="CHI26" s="37"/>
      <c r="CHJ26" s="37"/>
      <c r="CHK26" s="37"/>
      <c r="CHL26" s="37"/>
      <c r="CHM26" s="138"/>
      <c r="CHN26" s="37"/>
      <c r="CHO26" s="37"/>
      <c r="CHP26" s="37"/>
      <c r="CHQ26" s="37"/>
      <c r="CHR26" s="37"/>
      <c r="CHS26" s="75"/>
      <c r="CHT26" s="65"/>
      <c r="CHU26" s="65"/>
      <c r="CHV26" s="65"/>
      <c r="CHW26" s="65"/>
      <c r="CHX26" s="37"/>
      <c r="CHY26" s="138"/>
      <c r="CHZ26" s="37"/>
      <c r="CIA26" s="37"/>
      <c r="CIB26" s="37"/>
      <c r="CIC26" s="37"/>
      <c r="CID26" s="37"/>
      <c r="CIE26" s="75"/>
      <c r="CIF26" s="37"/>
      <c r="CIG26" s="37"/>
      <c r="CIH26" s="37"/>
      <c r="CII26" s="37"/>
      <c r="CIJ26" s="37"/>
      <c r="CIK26" s="138"/>
      <c r="CIL26" s="37"/>
      <c r="CIM26" s="37"/>
      <c r="CIN26" s="37"/>
      <c r="CIO26" s="37"/>
      <c r="CIP26" s="37"/>
      <c r="CIQ26" s="75"/>
      <c r="CIR26" s="37"/>
      <c r="CIS26" s="37"/>
      <c r="CIT26" s="37"/>
      <c r="CIU26" s="37"/>
      <c r="CIV26" s="37"/>
      <c r="CIW26" s="38"/>
      <c r="CIX26" s="36"/>
      <c r="CIY26" s="65"/>
      <c r="CIZ26" s="65"/>
      <c r="CJA26" s="65"/>
      <c r="CJB26" s="37"/>
      <c r="CJC26" s="133"/>
      <c r="CJD26" s="37"/>
      <c r="CJE26" s="37"/>
      <c r="CJF26" s="37"/>
      <c r="CJG26" s="37"/>
      <c r="CJH26" s="37"/>
      <c r="CJI26" s="138"/>
      <c r="CJJ26" s="37"/>
      <c r="CJK26" s="37"/>
      <c r="CJL26" s="37"/>
      <c r="CJM26" s="37"/>
      <c r="CJN26" s="37"/>
      <c r="CJO26" s="75"/>
      <c r="CJP26" s="37"/>
      <c r="CJQ26" s="37"/>
      <c r="CJR26" s="37"/>
      <c r="CJS26" s="37"/>
      <c r="CJT26" s="37"/>
      <c r="CJU26" s="138"/>
      <c r="CJV26" s="37"/>
      <c r="CJW26" s="37"/>
      <c r="CJX26" s="37"/>
      <c r="CJY26" s="37"/>
      <c r="CJZ26" s="37"/>
      <c r="CKA26" s="75"/>
      <c r="CKB26" s="65"/>
      <c r="CKC26" s="65"/>
      <c r="CKD26" s="65"/>
      <c r="CKE26" s="65"/>
      <c r="CKF26" s="37"/>
      <c r="CKG26" s="138"/>
      <c r="CKH26" s="37"/>
      <c r="CKI26" s="37"/>
      <c r="CKJ26" s="37"/>
      <c r="CKK26" s="37"/>
      <c r="CKL26" s="37"/>
      <c r="CKM26" s="75"/>
      <c r="CKN26" s="37"/>
      <c r="CKO26" s="37"/>
      <c r="CKP26" s="37"/>
      <c r="CKQ26" s="37"/>
      <c r="CKR26" s="37"/>
      <c r="CKS26" s="138"/>
      <c r="CKT26" s="37"/>
      <c r="CKU26" s="37"/>
      <c r="CKV26" s="37"/>
      <c r="CKW26" s="37"/>
      <c r="CKX26" s="37"/>
      <c r="CKY26" s="75"/>
      <c r="CKZ26" s="37"/>
      <c r="CLA26" s="37"/>
      <c r="CLB26" s="37"/>
      <c r="CLC26" s="37"/>
      <c r="CLD26" s="37"/>
      <c r="CLE26" s="38"/>
      <c r="CLF26" s="36"/>
      <c r="CLG26" s="65"/>
      <c r="CLH26" s="65"/>
      <c r="CLI26" s="65"/>
      <c r="CLJ26" s="37"/>
      <c r="CLK26" s="133"/>
      <c r="CLL26" s="37"/>
      <c r="CLM26" s="37"/>
      <c r="CLN26" s="37"/>
      <c r="CLO26" s="37"/>
      <c r="CLP26" s="37"/>
      <c r="CLQ26" s="138"/>
      <c r="CLR26" s="37"/>
      <c r="CLS26" s="37"/>
      <c r="CLT26" s="37"/>
      <c r="CLU26" s="37"/>
      <c r="CLV26" s="37"/>
      <c r="CLW26" s="75"/>
      <c r="CLX26" s="37"/>
      <c r="CLY26" s="37"/>
      <c r="CLZ26" s="37"/>
      <c r="CMA26" s="37"/>
      <c r="CMB26" s="37"/>
      <c r="CMC26" s="138"/>
      <c r="CMD26" s="37"/>
      <c r="CME26" s="37"/>
      <c r="CMF26" s="37"/>
      <c r="CMG26" s="37"/>
      <c r="CMH26" s="37"/>
      <c r="CMI26" s="75"/>
      <c r="CMJ26" s="65"/>
      <c r="CMK26" s="65"/>
      <c r="CML26" s="65"/>
      <c r="CMM26" s="65"/>
      <c r="CMN26" s="37"/>
      <c r="CMO26" s="138"/>
      <c r="CMP26" s="37"/>
      <c r="CMQ26" s="37"/>
      <c r="CMR26" s="37"/>
      <c r="CMS26" s="37"/>
      <c r="CMT26" s="37"/>
      <c r="CMU26" s="75"/>
      <c r="CMV26" s="37"/>
      <c r="CMW26" s="37"/>
      <c r="CMX26" s="37"/>
      <c r="CMY26" s="37"/>
      <c r="CMZ26" s="37"/>
      <c r="CNA26" s="138"/>
      <c r="CNB26" s="37"/>
      <c r="CNC26" s="37"/>
      <c r="CND26" s="37"/>
      <c r="CNE26" s="37"/>
      <c r="CNF26" s="37"/>
      <c r="CNG26" s="75"/>
      <c r="CNH26" s="37"/>
      <c r="CNI26" s="37"/>
      <c r="CNJ26" s="37"/>
      <c r="CNK26" s="37"/>
      <c r="CNL26" s="37"/>
      <c r="CNM26" s="38"/>
      <c r="CNN26" s="36"/>
      <c r="CNO26" s="65"/>
      <c r="CNP26" s="65"/>
      <c r="CNQ26" s="65"/>
      <c r="CNR26" s="37"/>
      <c r="CNS26" s="133"/>
      <c r="CNT26" s="37"/>
      <c r="CNU26" s="37"/>
      <c r="CNV26" s="37"/>
      <c r="CNW26" s="37"/>
      <c r="CNX26" s="37"/>
      <c r="CNY26" s="138"/>
      <c r="CNZ26" s="37"/>
      <c r="COA26" s="37"/>
      <c r="COB26" s="37"/>
      <c r="COC26" s="37"/>
      <c r="COD26" s="37"/>
      <c r="COE26" s="75"/>
      <c r="COF26" s="37"/>
      <c r="COG26" s="37"/>
      <c r="COH26" s="37"/>
      <c r="COI26" s="37"/>
      <c r="COJ26" s="37"/>
      <c r="COK26" s="138"/>
      <c r="COL26" s="37"/>
      <c r="COM26" s="37"/>
      <c r="CON26" s="37"/>
      <c r="COO26" s="37"/>
      <c r="COP26" s="37"/>
      <c r="COQ26" s="75"/>
      <c r="COR26" s="65"/>
      <c r="COS26" s="65"/>
      <c r="COT26" s="65"/>
      <c r="COU26" s="65"/>
      <c r="COV26" s="37"/>
      <c r="COW26" s="138"/>
      <c r="COX26" s="37"/>
      <c r="COY26" s="37"/>
      <c r="COZ26" s="37"/>
      <c r="CPA26" s="37"/>
      <c r="CPB26" s="37"/>
      <c r="CPC26" s="75"/>
      <c r="CPD26" s="37"/>
      <c r="CPE26" s="37"/>
      <c r="CPF26" s="37"/>
      <c r="CPG26" s="37"/>
      <c r="CPH26" s="37"/>
      <c r="CPI26" s="138"/>
      <c r="CPJ26" s="37"/>
      <c r="CPK26" s="37"/>
      <c r="CPL26" s="37"/>
      <c r="CPM26" s="37"/>
      <c r="CPN26" s="37"/>
      <c r="CPO26" s="75"/>
      <c r="CPP26" s="37"/>
      <c r="CPQ26" s="37"/>
      <c r="CPR26" s="37"/>
      <c r="CPS26" s="37"/>
      <c r="CPT26" s="37"/>
      <c r="CPU26" s="38"/>
      <c r="CPV26" s="36"/>
      <c r="CPW26" s="65"/>
      <c r="CPX26" s="65"/>
      <c r="CPY26" s="65"/>
      <c r="CPZ26" s="37"/>
      <c r="CQA26" s="133"/>
      <c r="CQB26" s="37"/>
      <c r="CQC26" s="37"/>
      <c r="CQD26" s="37"/>
      <c r="CQE26" s="37"/>
      <c r="CQF26" s="37"/>
      <c r="CQG26" s="138"/>
      <c r="CQH26" s="37"/>
      <c r="CQI26" s="37"/>
      <c r="CQJ26" s="37"/>
      <c r="CQK26" s="37"/>
      <c r="CQL26" s="37"/>
      <c r="CQM26" s="75"/>
      <c r="CQN26" s="37"/>
      <c r="CQO26" s="37"/>
      <c r="CQP26" s="37"/>
      <c r="CQQ26" s="37"/>
      <c r="CQR26" s="37"/>
      <c r="CQS26" s="138"/>
      <c r="CQT26" s="37"/>
      <c r="CQU26" s="37"/>
      <c r="CQV26" s="37"/>
      <c r="CQW26" s="37"/>
      <c r="CQX26" s="37"/>
      <c r="CQY26" s="75"/>
      <c r="CQZ26" s="65"/>
      <c r="CRA26" s="65"/>
      <c r="CRB26" s="65"/>
      <c r="CRC26" s="65"/>
      <c r="CRD26" s="37"/>
      <c r="CRE26" s="138"/>
      <c r="CRF26" s="37"/>
      <c r="CRG26" s="37"/>
      <c r="CRH26" s="37"/>
      <c r="CRI26" s="37"/>
      <c r="CRJ26" s="37"/>
      <c r="CRK26" s="75"/>
      <c r="CRL26" s="37"/>
      <c r="CRM26" s="37"/>
      <c r="CRN26" s="37"/>
      <c r="CRO26" s="37"/>
      <c r="CRP26" s="37"/>
      <c r="CRQ26" s="138"/>
      <c r="CRR26" s="37"/>
      <c r="CRS26" s="37"/>
      <c r="CRT26" s="37"/>
      <c r="CRU26" s="37"/>
      <c r="CRV26" s="37"/>
      <c r="CRW26" s="75"/>
      <c r="CRX26" s="37"/>
      <c r="CRY26" s="37"/>
      <c r="CRZ26" s="37"/>
      <c r="CSA26" s="37"/>
      <c r="CSB26" s="37"/>
      <c r="CSC26" s="38"/>
      <c r="CSD26" s="90"/>
    </row>
    <row r="27" spans="1:2526" ht="20.100000000000001" customHeight="1" x14ac:dyDescent="0.25">
      <c r="A27" s="100" t="s">
        <v>18</v>
      </c>
      <c r="B27" s="63" t="str">
        <f>IF(LEN(C39)=0,"",C39)</f>
        <v>Réalisation - Créaer des instructions</v>
      </c>
      <c r="C27" s="211" t="s">
        <v>44</v>
      </c>
      <c r="D27" s="146" t="str">
        <f t="shared" si="0"/>
        <v>3h</v>
      </c>
      <c r="E27" s="39">
        <v>36</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176"/>
      <c r="YQ27" s="175"/>
      <c r="YR27" s="175"/>
      <c r="YS27" s="175"/>
      <c r="YT27" s="171"/>
      <c r="YU27" s="177"/>
      <c r="YV27" s="171"/>
      <c r="YW27" s="171"/>
      <c r="YX27" s="171"/>
      <c r="YY27" s="171"/>
      <c r="YZ27" s="171"/>
      <c r="ZA27" s="172"/>
      <c r="ZB27" s="171"/>
      <c r="ZC27" s="171"/>
      <c r="ZD27" s="171"/>
      <c r="ZE27" s="171"/>
      <c r="ZF27" s="171"/>
      <c r="ZG27" s="173"/>
      <c r="ZH27" s="171"/>
      <c r="ZI27" s="171"/>
      <c r="ZJ27" s="171"/>
      <c r="ZK27" s="171"/>
      <c r="ZL27" s="171"/>
      <c r="ZM27" s="172"/>
      <c r="ZN27" s="171"/>
      <c r="ZO27" s="171"/>
      <c r="ZP27" s="171"/>
      <c r="ZQ27" s="171"/>
      <c r="ZR27" s="171"/>
      <c r="ZS27" s="173"/>
      <c r="ZT27" s="175"/>
      <c r="ZU27" s="175"/>
      <c r="ZV27" s="175"/>
      <c r="ZW27" s="175"/>
      <c r="ZX27" s="171"/>
      <c r="ZY27" s="172"/>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40"/>
      <c r="BLW27" s="66"/>
      <c r="BLX27" s="66"/>
      <c r="BLY27" s="66"/>
      <c r="BLZ27" s="41"/>
      <c r="BMA27" s="134"/>
      <c r="BMB27" s="41"/>
      <c r="BMC27" s="41"/>
      <c r="BMD27" s="41"/>
      <c r="BME27" s="41"/>
      <c r="BMF27" s="41"/>
      <c r="BMG27" s="139"/>
      <c r="BMH27" s="41"/>
      <c r="BMI27" s="41"/>
      <c r="BMJ27" s="41"/>
      <c r="BMK27" s="41"/>
      <c r="BML27" s="41"/>
      <c r="BMM27" s="76"/>
      <c r="BMN27" s="41"/>
      <c r="BMO27" s="41"/>
      <c r="BMP27" s="41"/>
      <c r="BMQ27" s="41"/>
      <c r="BMR27" s="41"/>
      <c r="BMS27" s="139"/>
      <c r="BMT27" s="41"/>
      <c r="BMU27" s="41"/>
      <c r="BMV27" s="41"/>
      <c r="BMW27" s="41"/>
      <c r="BMX27" s="41"/>
      <c r="BMY27" s="76"/>
      <c r="BMZ27" s="66"/>
      <c r="BNA27" s="66"/>
      <c r="BNB27" s="66"/>
      <c r="BNC27" s="66"/>
      <c r="BND27" s="41"/>
      <c r="BNE27" s="139"/>
      <c r="BNF27" s="41"/>
      <c r="BNG27" s="41"/>
      <c r="BNH27" s="41"/>
      <c r="BNI27" s="41"/>
      <c r="BNJ27" s="41"/>
      <c r="BNK27" s="76"/>
      <c r="BNL27" s="41"/>
      <c r="BNM27" s="41"/>
      <c r="BNN27" s="41"/>
      <c r="BNO27" s="41"/>
      <c r="BNP27" s="41"/>
      <c r="BNQ27" s="139"/>
      <c r="BNR27" s="41"/>
      <c r="BNS27" s="41"/>
      <c r="BNT27" s="41"/>
      <c r="BNU27" s="41"/>
      <c r="BNV27" s="41"/>
      <c r="BNW27" s="76"/>
      <c r="BNX27" s="41"/>
      <c r="BNY27" s="41"/>
      <c r="BNZ27" s="41"/>
      <c r="BOA27" s="41"/>
      <c r="BOB27" s="41"/>
      <c r="BOC27" s="42"/>
      <c r="BOD27" s="40"/>
      <c r="BOE27" s="66"/>
      <c r="BOF27" s="66"/>
      <c r="BOG27" s="66"/>
      <c r="BOH27" s="41"/>
      <c r="BOI27" s="134"/>
      <c r="BOJ27" s="41"/>
      <c r="BOK27" s="41"/>
      <c r="BOL27" s="41"/>
      <c r="BOM27" s="41"/>
      <c r="BON27" s="41"/>
      <c r="BOO27" s="139"/>
      <c r="BOP27" s="41"/>
      <c r="BOQ27" s="41"/>
      <c r="BOR27" s="41"/>
      <c r="BOS27" s="41"/>
      <c r="BOT27" s="41"/>
      <c r="BOU27" s="76"/>
      <c r="BOV27" s="41"/>
      <c r="BOW27" s="41"/>
      <c r="BOX27" s="41"/>
      <c r="BOY27" s="41"/>
      <c r="BOZ27" s="41"/>
      <c r="BPA27" s="139"/>
      <c r="BPB27" s="41"/>
      <c r="BPC27" s="41"/>
      <c r="BPD27" s="41"/>
      <c r="BPE27" s="41"/>
      <c r="BPF27" s="41"/>
      <c r="BPG27" s="76"/>
      <c r="BPH27" s="66"/>
      <c r="BPI27" s="66"/>
      <c r="BPJ27" s="66"/>
      <c r="BPK27" s="66"/>
      <c r="BPL27" s="41"/>
      <c r="BPM27" s="139"/>
      <c r="BPN27" s="41"/>
      <c r="BPO27" s="41"/>
      <c r="BPP27" s="41"/>
      <c r="BPQ27" s="41"/>
      <c r="BPR27" s="41"/>
      <c r="BPS27" s="76"/>
      <c r="BPT27" s="41"/>
      <c r="BPU27" s="41"/>
      <c r="BPV27" s="41"/>
      <c r="BPW27" s="41"/>
      <c r="BPX27" s="41"/>
      <c r="BPY27" s="139"/>
      <c r="BPZ27" s="41"/>
      <c r="BQA27" s="41"/>
      <c r="BQB27" s="41"/>
      <c r="BQC27" s="41"/>
      <c r="BQD27" s="41"/>
      <c r="BQE27" s="76"/>
      <c r="BQF27" s="41"/>
      <c r="BQG27" s="41"/>
      <c r="BQH27" s="41"/>
      <c r="BQI27" s="41"/>
      <c r="BQJ27" s="41"/>
      <c r="BQK27" s="42"/>
      <c r="BQL27" s="40"/>
      <c r="BQM27" s="66"/>
      <c r="BQN27" s="66"/>
      <c r="BQO27" s="66"/>
      <c r="BQP27" s="41"/>
      <c r="BQQ27" s="134"/>
      <c r="BQR27" s="41"/>
      <c r="BQS27" s="41"/>
      <c r="BQT27" s="41"/>
      <c r="BQU27" s="41"/>
      <c r="BQV27" s="41"/>
      <c r="BQW27" s="139"/>
      <c r="BQX27" s="41"/>
      <c r="BQY27" s="41"/>
      <c r="BQZ27" s="41"/>
      <c r="BRA27" s="41"/>
      <c r="BRB27" s="41"/>
      <c r="BRC27" s="76"/>
      <c r="BRD27" s="41"/>
      <c r="BRE27" s="41"/>
      <c r="BRF27" s="41"/>
      <c r="BRG27" s="41"/>
      <c r="BRH27" s="41"/>
      <c r="BRI27" s="139"/>
      <c r="BRJ27" s="41"/>
      <c r="BRK27" s="41"/>
      <c r="BRL27" s="41"/>
      <c r="BRM27" s="41"/>
      <c r="BRN27" s="41"/>
      <c r="BRO27" s="76"/>
      <c r="BRP27" s="66"/>
      <c r="BRQ27" s="66"/>
      <c r="BRR27" s="66"/>
      <c r="BRS27" s="66"/>
      <c r="BRT27" s="41"/>
      <c r="BRU27" s="139"/>
      <c r="BRV27" s="41"/>
      <c r="BRW27" s="41"/>
      <c r="BRX27" s="41"/>
      <c r="BRY27" s="41"/>
      <c r="BRZ27" s="41"/>
      <c r="BSA27" s="76"/>
      <c r="BSB27" s="41"/>
      <c r="BSC27" s="41"/>
      <c r="BSD27" s="41"/>
      <c r="BSE27" s="41"/>
      <c r="BSF27" s="41"/>
      <c r="BSG27" s="139"/>
      <c r="BSH27" s="41"/>
      <c r="BSI27" s="41"/>
      <c r="BSJ27" s="41"/>
      <c r="BSK27" s="41"/>
      <c r="BSL27" s="41"/>
      <c r="BSM27" s="76"/>
      <c r="BSN27" s="41"/>
      <c r="BSO27" s="41"/>
      <c r="BSP27" s="41"/>
      <c r="BSQ27" s="41"/>
      <c r="BSR27" s="41"/>
      <c r="BSS27" s="42"/>
      <c r="BST27" s="40"/>
      <c r="BSU27" s="66"/>
      <c r="BSV27" s="66"/>
      <c r="BSW27" s="66"/>
      <c r="BSX27" s="41"/>
      <c r="BSY27" s="134"/>
      <c r="BSZ27" s="41"/>
      <c r="BTA27" s="41"/>
      <c r="BTB27" s="41"/>
      <c r="BTC27" s="41"/>
      <c r="BTD27" s="41"/>
      <c r="BTE27" s="139"/>
      <c r="BTF27" s="41"/>
      <c r="BTG27" s="41"/>
      <c r="BTH27" s="41"/>
      <c r="BTI27" s="41"/>
      <c r="BTJ27" s="41"/>
      <c r="BTK27" s="76"/>
      <c r="BTL27" s="41"/>
      <c r="BTM27" s="41"/>
      <c r="BTN27" s="41"/>
      <c r="BTO27" s="41"/>
      <c r="BTP27" s="41"/>
      <c r="BTQ27" s="139"/>
      <c r="BTR27" s="41"/>
      <c r="BTS27" s="41"/>
      <c r="BTT27" s="41"/>
      <c r="BTU27" s="41"/>
      <c r="BTV27" s="41"/>
      <c r="BTW27" s="76"/>
      <c r="BTX27" s="66"/>
      <c r="BTY27" s="66"/>
      <c r="BTZ27" s="66"/>
      <c r="BUA27" s="66"/>
      <c r="BUB27" s="41"/>
      <c r="BUC27" s="139"/>
      <c r="BUD27" s="41"/>
      <c r="BUE27" s="41"/>
      <c r="BUF27" s="41"/>
      <c r="BUG27" s="41"/>
      <c r="BUH27" s="41"/>
      <c r="BUI27" s="76"/>
      <c r="BUJ27" s="41"/>
      <c r="BUK27" s="41"/>
      <c r="BUL27" s="41"/>
      <c r="BUM27" s="41"/>
      <c r="BUN27" s="41"/>
      <c r="BUO27" s="139"/>
      <c r="BUP27" s="41"/>
      <c r="BUQ27" s="41"/>
      <c r="BUR27" s="41"/>
      <c r="BUS27" s="41"/>
      <c r="BUT27" s="41"/>
      <c r="BUU27" s="76"/>
      <c r="BUV27" s="41"/>
      <c r="BUW27" s="41"/>
      <c r="BUX27" s="41"/>
      <c r="BUY27" s="41"/>
      <c r="BUZ27" s="41"/>
      <c r="BVA27" s="42"/>
      <c r="BVB27" s="40"/>
      <c r="BVC27" s="66"/>
      <c r="BVD27" s="66"/>
      <c r="BVE27" s="66"/>
      <c r="BVF27" s="41"/>
      <c r="BVG27" s="134"/>
      <c r="BVH27" s="41"/>
      <c r="BVI27" s="41"/>
      <c r="BVJ27" s="41"/>
      <c r="BVK27" s="41"/>
      <c r="BVL27" s="41"/>
      <c r="BVM27" s="139"/>
      <c r="BVN27" s="41"/>
      <c r="BVO27" s="41"/>
      <c r="BVP27" s="41"/>
      <c r="BVQ27" s="41"/>
      <c r="BVR27" s="41"/>
      <c r="BVS27" s="76"/>
      <c r="BVT27" s="41"/>
      <c r="BVU27" s="41"/>
      <c r="BVV27" s="41"/>
      <c r="BVW27" s="41"/>
      <c r="BVX27" s="41"/>
      <c r="BVY27" s="139"/>
      <c r="BVZ27" s="41"/>
      <c r="BWA27" s="41"/>
      <c r="BWB27" s="41"/>
      <c r="BWC27" s="41"/>
      <c r="BWD27" s="41"/>
      <c r="BWE27" s="76"/>
      <c r="BWF27" s="66"/>
      <c r="BWG27" s="66"/>
      <c r="BWH27" s="66"/>
      <c r="BWI27" s="66"/>
      <c r="BWJ27" s="41"/>
      <c r="BWK27" s="139"/>
      <c r="BWL27" s="41"/>
      <c r="BWM27" s="41"/>
      <c r="BWN27" s="41"/>
      <c r="BWO27" s="41"/>
      <c r="BWP27" s="41"/>
      <c r="BWQ27" s="76"/>
      <c r="BWR27" s="41"/>
      <c r="BWS27" s="41"/>
      <c r="BWT27" s="41"/>
      <c r="BWU27" s="41"/>
      <c r="BWV27" s="41"/>
      <c r="BWW27" s="139"/>
      <c r="BWX27" s="41"/>
      <c r="BWY27" s="41"/>
      <c r="BWZ27" s="41"/>
      <c r="BXA27" s="41"/>
      <c r="BXB27" s="41"/>
      <c r="BXC27" s="76"/>
      <c r="BXD27" s="41"/>
      <c r="BXE27" s="41"/>
      <c r="BXF27" s="41"/>
      <c r="BXG27" s="41"/>
      <c r="BXH27" s="41"/>
      <c r="BXI27" s="42"/>
      <c r="BXJ27" s="40"/>
      <c r="BXK27" s="66"/>
      <c r="BXL27" s="66"/>
      <c r="BXM27" s="66"/>
      <c r="BXN27" s="41"/>
      <c r="BXO27" s="134"/>
      <c r="BXP27" s="41"/>
      <c r="BXQ27" s="41"/>
      <c r="BXR27" s="41"/>
      <c r="BXS27" s="41"/>
      <c r="BXT27" s="41"/>
      <c r="BXU27" s="139"/>
      <c r="BXV27" s="41"/>
      <c r="BXW27" s="41"/>
      <c r="BXX27" s="41"/>
      <c r="BXY27" s="41"/>
      <c r="BXZ27" s="41"/>
      <c r="BYA27" s="76"/>
      <c r="BYB27" s="41"/>
      <c r="BYC27" s="41"/>
      <c r="BYD27" s="41"/>
      <c r="BYE27" s="41"/>
      <c r="BYF27" s="41"/>
      <c r="BYG27" s="139"/>
      <c r="BYH27" s="41"/>
      <c r="BYI27" s="41"/>
      <c r="BYJ27" s="41"/>
      <c r="BYK27" s="41"/>
      <c r="BYL27" s="41"/>
      <c r="BYM27" s="76"/>
      <c r="BYN27" s="66"/>
      <c r="BYO27" s="66"/>
      <c r="BYP27" s="66"/>
      <c r="BYQ27" s="66"/>
      <c r="BYR27" s="41"/>
      <c r="BYS27" s="139"/>
      <c r="BYT27" s="41"/>
      <c r="BYU27" s="41"/>
      <c r="BYV27" s="41"/>
      <c r="BYW27" s="41"/>
      <c r="BYX27" s="41"/>
      <c r="BYY27" s="76"/>
      <c r="BYZ27" s="41"/>
      <c r="BZA27" s="41"/>
      <c r="BZB27" s="41"/>
      <c r="BZC27" s="41"/>
      <c r="BZD27" s="41"/>
      <c r="BZE27" s="139"/>
      <c r="BZF27" s="41"/>
      <c r="BZG27" s="41"/>
      <c r="BZH27" s="41"/>
      <c r="BZI27" s="41"/>
      <c r="BZJ27" s="41"/>
      <c r="BZK27" s="76"/>
      <c r="BZL27" s="41"/>
      <c r="BZM27" s="41"/>
      <c r="BZN27" s="41"/>
      <c r="BZO27" s="41"/>
      <c r="BZP27" s="41"/>
      <c r="BZQ27" s="42"/>
      <c r="BZR27" s="40"/>
      <c r="BZS27" s="66"/>
      <c r="BZT27" s="66"/>
      <c r="BZU27" s="66"/>
      <c r="BZV27" s="41"/>
      <c r="BZW27" s="134"/>
      <c r="BZX27" s="41"/>
      <c r="BZY27" s="41"/>
      <c r="BZZ27" s="41"/>
      <c r="CAA27" s="41"/>
      <c r="CAB27" s="41"/>
      <c r="CAC27" s="139"/>
      <c r="CAD27" s="41"/>
      <c r="CAE27" s="41"/>
      <c r="CAF27" s="41"/>
      <c r="CAG27" s="41"/>
      <c r="CAH27" s="41"/>
      <c r="CAI27" s="76"/>
      <c r="CAJ27" s="41"/>
      <c r="CAK27" s="41"/>
      <c r="CAL27" s="41"/>
      <c r="CAM27" s="41"/>
      <c r="CAN27" s="41"/>
      <c r="CAO27" s="139"/>
      <c r="CAP27" s="41"/>
      <c r="CAQ27" s="41"/>
      <c r="CAR27" s="41"/>
      <c r="CAS27" s="41"/>
      <c r="CAT27" s="41"/>
      <c r="CAU27" s="76"/>
      <c r="CAV27" s="66"/>
      <c r="CAW27" s="66"/>
      <c r="CAX27" s="66"/>
      <c r="CAY27" s="66"/>
      <c r="CAZ27" s="41"/>
      <c r="CBA27" s="139"/>
      <c r="CBB27" s="41"/>
      <c r="CBC27" s="41"/>
      <c r="CBD27" s="41"/>
      <c r="CBE27" s="41"/>
      <c r="CBF27" s="41"/>
      <c r="CBG27" s="76"/>
      <c r="CBH27" s="41"/>
      <c r="CBI27" s="41"/>
      <c r="CBJ27" s="41"/>
      <c r="CBK27" s="41"/>
      <c r="CBL27" s="41"/>
      <c r="CBM27" s="139"/>
      <c r="CBN27" s="41"/>
      <c r="CBO27" s="41"/>
      <c r="CBP27" s="41"/>
      <c r="CBQ27" s="41"/>
      <c r="CBR27" s="41"/>
      <c r="CBS27" s="76"/>
      <c r="CBT27" s="41"/>
      <c r="CBU27" s="41"/>
      <c r="CBV27" s="41"/>
      <c r="CBW27" s="41"/>
      <c r="CBX27" s="41"/>
      <c r="CBY27" s="42"/>
      <c r="CBZ27" s="40"/>
      <c r="CCA27" s="66"/>
      <c r="CCB27" s="66"/>
      <c r="CCC27" s="66"/>
      <c r="CCD27" s="41"/>
      <c r="CCE27" s="134"/>
      <c r="CCF27" s="41"/>
      <c r="CCG27" s="41"/>
      <c r="CCH27" s="41"/>
      <c r="CCI27" s="41"/>
      <c r="CCJ27" s="41"/>
      <c r="CCK27" s="139"/>
      <c r="CCL27" s="41"/>
      <c r="CCM27" s="41"/>
      <c r="CCN27" s="41"/>
      <c r="CCO27" s="41"/>
      <c r="CCP27" s="41"/>
      <c r="CCQ27" s="76"/>
      <c r="CCR27" s="41"/>
      <c r="CCS27" s="41"/>
      <c r="CCT27" s="41"/>
      <c r="CCU27" s="41"/>
      <c r="CCV27" s="41"/>
      <c r="CCW27" s="139"/>
      <c r="CCX27" s="41"/>
      <c r="CCY27" s="41"/>
      <c r="CCZ27" s="41"/>
      <c r="CDA27" s="41"/>
      <c r="CDB27" s="41"/>
      <c r="CDC27" s="76"/>
      <c r="CDD27" s="66"/>
      <c r="CDE27" s="66"/>
      <c r="CDF27" s="66"/>
      <c r="CDG27" s="66"/>
      <c r="CDH27" s="41"/>
      <c r="CDI27" s="139"/>
      <c r="CDJ27" s="41"/>
      <c r="CDK27" s="41"/>
      <c r="CDL27" s="41"/>
      <c r="CDM27" s="41"/>
      <c r="CDN27" s="41"/>
      <c r="CDO27" s="76"/>
      <c r="CDP27" s="41"/>
      <c r="CDQ27" s="41"/>
      <c r="CDR27" s="41"/>
      <c r="CDS27" s="41"/>
      <c r="CDT27" s="41"/>
      <c r="CDU27" s="139"/>
      <c r="CDV27" s="41"/>
      <c r="CDW27" s="41"/>
      <c r="CDX27" s="41"/>
      <c r="CDY27" s="41"/>
      <c r="CDZ27" s="41"/>
      <c r="CEA27" s="76"/>
      <c r="CEB27" s="41"/>
      <c r="CEC27" s="41"/>
      <c r="CED27" s="41"/>
      <c r="CEE27" s="41"/>
      <c r="CEF27" s="41"/>
      <c r="CEG27" s="42"/>
      <c r="CEH27" s="40"/>
      <c r="CEI27" s="66"/>
      <c r="CEJ27" s="66"/>
      <c r="CEK27" s="66"/>
      <c r="CEL27" s="41"/>
      <c r="CEM27" s="134"/>
      <c r="CEN27" s="41"/>
      <c r="CEO27" s="41"/>
      <c r="CEP27" s="41"/>
      <c r="CEQ27" s="41"/>
      <c r="CER27" s="41"/>
      <c r="CES27" s="139"/>
      <c r="CET27" s="41"/>
      <c r="CEU27" s="41"/>
      <c r="CEV27" s="41"/>
      <c r="CEW27" s="41"/>
      <c r="CEX27" s="41"/>
      <c r="CEY27" s="76"/>
      <c r="CEZ27" s="41"/>
      <c r="CFA27" s="41"/>
      <c r="CFB27" s="41"/>
      <c r="CFC27" s="41"/>
      <c r="CFD27" s="41"/>
      <c r="CFE27" s="139"/>
      <c r="CFF27" s="41"/>
      <c r="CFG27" s="41"/>
      <c r="CFH27" s="41"/>
      <c r="CFI27" s="41"/>
      <c r="CFJ27" s="41"/>
      <c r="CFK27" s="76"/>
      <c r="CFL27" s="66"/>
      <c r="CFM27" s="66"/>
      <c r="CFN27" s="66"/>
      <c r="CFO27" s="66"/>
      <c r="CFP27" s="41"/>
      <c r="CFQ27" s="139"/>
      <c r="CFR27" s="41"/>
      <c r="CFS27" s="41"/>
      <c r="CFT27" s="41"/>
      <c r="CFU27" s="41"/>
      <c r="CFV27" s="41"/>
      <c r="CFW27" s="76"/>
      <c r="CFX27" s="41"/>
      <c r="CFY27" s="41"/>
      <c r="CFZ27" s="41"/>
      <c r="CGA27" s="41"/>
      <c r="CGB27" s="41"/>
      <c r="CGC27" s="139"/>
      <c r="CGD27" s="41"/>
      <c r="CGE27" s="41"/>
      <c r="CGF27" s="41"/>
      <c r="CGG27" s="41"/>
      <c r="CGH27" s="41"/>
      <c r="CGI27" s="76"/>
      <c r="CGJ27" s="41"/>
      <c r="CGK27" s="41"/>
      <c r="CGL27" s="41"/>
      <c r="CGM27" s="41"/>
      <c r="CGN27" s="41"/>
      <c r="CGO27" s="42"/>
      <c r="CGP27" s="40"/>
      <c r="CGQ27" s="66"/>
      <c r="CGR27" s="66"/>
      <c r="CGS27" s="66"/>
      <c r="CGT27" s="41"/>
      <c r="CGU27" s="134"/>
      <c r="CGV27" s="41"/>
      <c r="CGW27" s="41"/>
      <c r="CGX27" s="41"/>
      <c r="CGY27" s="41"/>
      <c r="CGZ27" s="41"/>
      <c r="CHA27" s="139"/>
      <c r="CHB27" s="41"/>
      <c r="CHC27" s="41"/>
      <c r="CHD27" s="41"/>
      <c r="CHE27" s="41"/>
      <c r="CHF27" s="41"/>
      <c r="CHG27" s="76"/>
      <c r="CHH27" s="41"/>
      <c r="CHI27" s="41"/>
      <c r="CHJ27" s="41"/>
      <c r="CHK27" s="41"/>
      <c r="CHL27" s="41"/>
      <c r="CHM27" s="139"/>
      <c r="CHN27" s="41"/>
      <c r="CHO27" s="41"/>
      <c r="CHP27" s="41"/>
      <c r="CHQ27" s="41"/>
      <c r="CHR27" s="41"/>
      <c r="CHS27" s="76"/>
      <c r="CHT27" s="66"/>
      <c r="CHU27" s="66"/>
      <c r="CHV27" s="66"/>
      <c r="CHW27" s="66"/>
      <c r="CHX27" s="41"/>
      <c r="CHY27" s="139"/>
      <c r="CHZ27" s="41"/>
      <c r="CIA27" s="41"/>
      <c r="CIB27" s="41"/>
      <c r="CIC27" s="41"/>
      <c r="CID27" s="41"/>
      <c r="CIE27" s="76"/>
      <c r="CIF27" s="41"/>
      <c r="CIG27" s="41"/>
      <c r="CIH27" s="41"/>
      <c r="CII27" s="41"/>
      <c r="CIJ27" s="41"/>
      <c r="CIK27" s="139"/>
      <c r="CIL27" s="41"/>
      <c r="CIM27" s="41"/>
      <c r="CIN27" s="41"/>
      <c r="CIO27" s="41"/>
      <c r="CIP27" s="41"/>
      <c r="CIQ27" s="76"/>
      <c r="CIR27" s="41"/>
      <c r="CIS27" s="41"/>
      <c r="CIT27" s="41"/>
      <c r="CIU27" s="41"/>
      <c r="CIV27" s="41"/>
      <c r="CIW27" s="42"/>
      <c r="CIX27" s="40"/>
      <c r="CIY27" s="66"/>
      <c r="CIZ27" s="66"/>
      <c r="CJA27" s="66"/>
      <c r="CJB27" s="41"/>
      <c r="CJC27" s="134"/>
      <c r="CJD27" s="41"/>
      <c r="CJE27" s="41"/>
      <c r="CJF27" s="41"/>
      <c r="CJG27" s="41"/>
      <c r="CJH27" s="41"/>
      <c r="CJI27" s="139"/>
      <c r="CJJ27" s="41"/>
      <c r="CJK27" s="41"/>
      <c r="CJL27" s="41"/>
      <c r="CJM27" s="41"/>
      <c r="CJN27" s="41"/>
      <c r="CJO27" s="76"/>
      <c r="CJP27" s="41"/>
      <c r="CJQ27" s="41"/>
      <c r="CJR27" s="41"/>
      <c r="CJS27" s="41"/>
      <c r="CJT27" s="41"/>
      <c r="CJU27" s="139"/>
      <c r="CJV27" s="41"/>
      <c r="CJW27" s="41"/>
      <c r="CJX27" s="41"/>
      <c r="CJY27" s="41"/>
      <c r="CJZ27" s="41"/>
      <c r="CKA27" s="76"/>
      <c r="CKB27" s="66"/>
      <c r="CKC27" s="66"/>
      <c r="CKD27" s="66"/>
      <c r="CKE27" s="66"/>
      <c r="CKF27" s="41"/>
      <c r="CKG27" s="139"/>
      <c r="CKH27" s="41"/>
      <c r="CKI27" s="41"/>
      <c r="CKJ27" s="41"/>
      <c r="CKK27" s="41"/>
      <c r="CKL27" s="41"/>
      <c r="CKM27" s="76"/>
      <c r="CKN27" s="41"/>
      <c r="CKO27" s="41"/>
      <c r="CKP27" s="41"/>
      <c r="CKQ27" s="41"/>
      <c r="CKR27" s="41"/>
      <c r="CKS27" s="139"/>
      <c r="CKT27" s="41"/>
      <c r="CKU27" s="41"/>
      <c r="CKV27" s="41"/>
      <c r="CKW27" s="41"/>
      <c r="CKX27" s="41"/>
      <c r="CKY27" s="76"/>
      <c r="CKZ27" s="41"/>
      <c r="CLA27" s="41"/>
      <c r="CLB27" s="41"/>
      <c r="CLC27" s="41"/>
      <c r="CLD27" s="41"/>
      <c r="CLE27" s="42"/>
      <c r="CLF27" s="40"/>
      <c r="CLG27" s="66"/>
      <c r="CLH27" s="66"/>
      <c r="CLI27" s="66"/>
      <c r="CLJ27" s="41"/>
      <c r="CLK27" s="134"/>
      <c r="CLL27" s="41"/>
      <c r="CLM27" s="41"/>
      <c r="CLN27" s="41"/>
      <c r="CLO27" s="41"/>
      <c r="CLP27" s="41"/>
      <c r="CLQ27" s="139"/>
      <c r="CLR27" s="41"/>
      <c r="CLS27" s="41"/>
      <c r="CLT27" s="41"/>
      <c r="CLU27" s="41"/>
      <c r="CLV27" s="41"/>
      <c r="CLW27" s="76"/>
      <c r="CLX27" s="41"/>
      <c r="CLY27" s="41"/>
      <c r="CLZ27" s="41"/>
      <c r="CMA27" s="41"/>
      <c r="CMB27" s="41"/>
      <c r="CMC27" s="139"/>
      <c r="CMD27" s="41"/>
      <c r="CME27" s="41"/>
      <c r="CMF27" s="41"/>
      <c r="CMG27" s="41"/>
      <c r="CMH27" s="41"/>
      <c r="CMI27" s="76"/>
      <c r="CMJ27" s="66"/>
      <c r="CMK27" s="66"/>
      <c r="CML27" s="66"/>
      <c r="CMM27" s="66"/>
      <c r="CMN27" s="41"/>
      <c r="CMO27" s="139"/>
      <c r="CMP27" s="41"/>
      <c r="CMQ27" s="41"/>
      <c r="CMR27" s="41"/>
      <c r="CMS27" s="41"/>
      <c r="CMT27" s="41"/>
      <c r="CMU27" s="76"/>
      <c r="CMV27" s="41"/>
      <c r="CMW27" s="41"/>
      <c r="CMX27" s="41"/>
      <c r="CMY27" s="41"/>
      <c r="CMZ27" s="41"/>
      <c r="CNA27" s="139"/>
      <c r="CNB27" s="41"/>
      <c r="CNC27" s="41"/>
      <c r="CND27" s="41"/>
      <c r="CNE27" s="41"/>
      <c r="CNF27" s="41"/>
      <c r="CNG27" s="76"/>
      <c r="CNH27" s="41"/>
      <c r="CNI27" s="41"/>
      <c r="CNJ27" s="41"/>
      <c r="CNK27" s="41"/>
      <c r="CNL27" s="41"/>
      <c r="CNM27" s="42"/>
      <c r="CNN27" s="40"/>
      <c r="CNO27" s="66"/>
      <c r="CNP27" s="66"/>
      <c r="CNQ27" s="66"/>
      <c r="CNR27" s="41"/>
      <c r="CNS27" s="134"/>
      <c r="CNT27" s="41"/>
      <c r="CNU27" s="41"/>
      <c r="CNV27" s="41"/>
      <c r="CNW27" s="41"/>
      <c r="CNX27" s="41"/>
      <c r="CNY27" s="139"/>
      <c r="CNZ27" s="41"/>
      <c r="COA27" s="41"/>
      <c r="COB27" s="41"/>
      <c r="COC27" s="41"/>
      <c r="COD27" s="41"/>
      <c r="COE27" s="76"/>
      <c r="COF27" s="41"/>
      <c r="COG27" s="41"/>
      <c r="COH27" s="41"/>
      <c r="COI27" s="41"/>
      <c r="COJ27" s="41"/>
      <c r="COK27" s="139"/>
      <c r="COL27" s="41"/>
      <c r="COM27" s="41"/>
      <c r="CON27" s="41"/>
      <c r="COO27" s="41"/>
      <c r="COP27" s="41"/>
      <c r="COQ27" s="76"/>
      <c r="COR27" s="66"/>
      <c r="COS27" s="66"/>
      <c r="COT27" s="66"/>
      <c r="COU27" s="66"/>
      <c r="COV27" s="41"/>
      <c r="COW27" s="139"/>
      <c r="COX27" s="41"/>
      <c r="COY27" s="41"/>
      <c r="COZ27" s="41"/>
      <c r="CPA27" s="41"/>
      <c r="CPB27" s="41"/>
      <c r="CPC27" s="76"/>
      <c r="CPD27" s="41"/>
      <c r="CPE27" s="41"/>
      <c r="CPF27" s="41"/>
      <c r="CPG27" s="41"/>
      <c r="CPH27" s="41"/>
      <c r="CPI27" s="139"/>
      <c r="CPJ27" s="41"/>
      <c r="CPK27" s="41"/>
      <c r="CPL27" s="41"/>
      <c r="CPM27" s="41"/>
      <c r="CPN27" s="41"/>
      <c r="CPO27" s="76"/>
      <c r="CPP27" s="41"/>
      <c r="CPQ27" s="41"/>
      <c r="CPR27" s="41"/>
      <c r="CPS27" s="41"/>
      <c r="CPT27" s="41"/>
      <c r="CPU27" s="42"/>
      <c r="CPV27" s="40"/>
      <c r="CPW27" s="66"/>
      <c r="CPX27" s="66"/>
      <c r="CPY27" s="66"/>
      <c r="CPZ27" s="41"/>
      <c r="CQA27" s="134"/>
      <c r="CQB27" s="41"/>
      <c r="CQC27" s="41"/>
      <c r="CQD27" s="41"/>
      <c r="CQE27" s="41"/>
      <c r="CQF27" s="41"/>
      <c r="CQG27" s="139"/>
      <c r="CQH27" s="41"/>
      <c r="CQI27" s="41"/>
      <c r="CQJ27" s="41"/>
      <c r="CQK27" s="41"/>
      <c r="CQL27" s="41"/>
      <c r="CQM27" s="76"/>
      <c r="CQN27" s="41"/>
      <c r="CQO27" s="41"/>
      <c r="CQP27" s="41"/>
      <c r="CQQ27" s="41"/>
      <c r="CQR27" s="41"/>
      <c r="CQS27" s="139"/>
      <c r="CQT27" s="41"/>
      <c r="CQU27" s="41"/>
      <c r="CQV27" s="41"/>
      <c r="CQW27" s="41"/>
      <c r="CQX27" s="41"/>
      <c r="CQY27" s="76"/>
      <c r="CQZ27" s="66"/>
      <c r="CRA27" s="66"/>
      <c r="CRB27" s="66"/>
      <c r="CRC27" s="66"/>
      <c r="CRD27" s="41"/>
      <c r="CRE27" s="139"/>
      <c r="CRF27" s="41"/>
      <c r="CRG27" s="41"/>
      <c r="CRH27" s="41"/>
      <c r="CRI27" s="41"/>
      <c r="CRJ27" s="41"/>
      <c r="CRK27" s="76"/>
      <c r="CRL27" s="41"/>
      <c r="CRM27" s="41"/>
      <c r="CRN27" s="41"/>
      <c r="CRO27" s="41"/>
      <c r="CRP27" s="41"/>
      <c r="CRQ27" s="139"/>
      <c r="CRR27" s="41"/>
      <c r="CRS27" s="41"/>
      <c r="CRT27" s="41"/>
      <c r="CRU27" s="41"/>
      <c r="CRV27" s="41"/>
      <c r="CRW27" s="76"/>
      <c r="CRX27" s="41"/>
      <c r="CRY27" s="41"/>
      <c r="CRZ27" s="41"/>
      <c r="CSA27" s="41"/>
      <c r="CSB27" s="41"/>
      <c r="CSC27" s="42"/>
      <c r="CSD27" s="90"/>
    </row>
    <row r="28" spans="1:2526" ht="20.100000000000001" customHeight="1" x14ac:dyDescent="0.3">
      <c r="A28" s="100" t="s">
        <v>19</v>
      </c>
      <c r="B28" s="63" t="str">
        <f>IF(LEN(C41)=0,"",C41)</f>
        <v>Réalisation - Créer un système de note à ajouter sur les instructions</v>
      </c>
      <c r="C28" s="212"/>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28"/>
      <c r="BLW28" s="67"/>
      <c r="BLX28" s="67"/>
      <c r="BLY28" s="67"/>
      <c r="BLZ28" s="29"/>
      <c r="BMA28" s="131"/>
      <c r="BMB28" s="29"/>
      <c r="BMC28" s="29"/>
      <c r="BMD28" s="29"/>
      <c r="BME28" s="29"/>
      <c r="BMF28" s="29"/>
      <c r="BMG28" s="136"/>
      <c r="BMH28" s="29"/>
      <c r="BMI28" s="29"/>
      <c r="BMJ28" s="29"/>
      <c r="BMK28" s="29"/>
      <c r="BML28" s="29"/>
      <c r="BMM28" s="73"/>
      <c r="BMN28" s="29"/>
      <c r="BMO28" s="29"/>
      <c r="BMP28" s="29"/>
      <c r="BMQ28" s="29"/>
      <c r="BMR28" s="29"/>
      <c r="BMS28" s="136"/>
      <c r="BMT28" s="29"/>
      <c r="BMU28" s="29"/>
      <c r="BMV28" s="29"/>
      <c r="BMW28" s="29"/>
      <c r="BMX28" s="29"/>
      <c r="BMY28" s="73"/>
      <c r="BMZ28" s="67"/>
      <c r="BNA28" s="67"/>
      <c r="BNB28" s="67"/>
      <c r="BNC28" s="67"/>
      <c r="BND28" s="29"/>
      <c r="BNE28" s="136"/>
      <c r="BNF28" s="29"/>
      <c r="BNG28" s="29"/>
      <c r="BNH28" s="29"/>
      <c r="BNI28" s="29"/>
      <c r="BNJ28" s="29"/>
      <c r="BNK28" s="73"/>
      <c r="BNL28" s="29"/>
      <c r="BNM28" s="29"/>
      <c r="BNN28" s="29"/>
      <c r="BNO28" s="29"/>
      <c r="BNP28" s="29"/>
      <c r="BNQ28" s="136"/>
      <c r="BNR28" s="29"/>
      <c r="BNS28" s="29"/>
      <c r="BNT28" s="29"/>
      <c r="BNU28" s="29"/>
      <c r="BNV28" s="29"/>
      <c r="BNW28" s="73"/>
      <c r="BNX28" s="29"/>
      <c r="BNY28" s="29"/>
      <c r="BNZ28" s="29"/>
      <c r="BOA28" s="29"/>
      <c r="BOB28" s="29"/>
      <c r="BOC28" s="30"/>
      <c r="BOD28" s="28"/>
      <c r="BOE28" s="67"/>
      <c r="BOF28" s="67"/>
      <c r="BOG28" s="67"/>
      <c r="BOH28" s="29"/>
      <c r="BOI28" s="131"/>
      <c r="BOJ28" s="29"/>
      <c r="BOK28" s="29"/>
      <c r="BOL28" s="29"/>
      <c r="BOM28" s="29"/>
      <c r="BON28" s="29"/>
      <c r="BOO28" s="136"/>
      <c r="BOP28" s="29"/>
      <c r="BOQ28" s="29"/>
      <c r="BOR28" s="29"/>
      <c r="BOS28" s="29"/>
      <c r="BOT28" s="29"/>
      <c r="BOU28" s="73"/>
      <c r="BOV28" s="29"/>
      <c r="BOW28" s="29"/>
      <c r="BOX28" s="29"/>
      <c r="BOY28" s="29"/>
      <c r="BOZ28" s="29"/>
      <c r="BPA28" s="136"/>
      <c r="BPB28" s="29"/>
      <c r="BPC28" s="29"/>
      <c r="BPD28" s="29"/>
      <c r="BPE28" s="29"/>
      <c r="BPF28" s="29"/>
      <c r="BPG28" s="73"/>
      <c r="BPH28" s="67"/>
      <c r="BPI28" s="67"/>
      <c r="BPJ28" s="67"/>
      <c r="BPK28" s="67"/>
      <c r="BPL28" s="29"/>
      <c r="BPM28" s="136"/>
      <c r="BPN28" s="29"/>
      <c r="BPO28" s="29"/>
      <c r="BPP28" s="29"/>
      <c r="BPQ28" s="29"/>
      <c r="BPR28" s="29"/>
      <c r="BPS28" s="73"/>
      <c r="BPT28" s="29"/>
      <c r="BPU28" s="29"/>
      <c r="BPV28" s="29"/>
      <c r="BPW28" s="29"/>
      <c r="BPX28" s="29"/>
      <c r="BPY28" s="136"/>
      <c r="BPZ28" s="29"/>
      <c r="BQA28" s="29"/>
      <c r="BQB28" s="29"/>
      <c r="BQC28" s="29"/>
      <c r="BQD28" s="29"/>
      <c r="BQE28" s="73"/>
      <c r="BQF28" s="29"/>
      <c r="BQG28" s="29"/>
      <c r="BQH28" s="29"/>
      <c r="BQI28" s="29"/>
      <c r="BQJ28" s="29"/>
      <c r="BQK28" s="30"/>
      <c r="BQL28" s="28"/>
      <c r="BQM28" s="67"/>
      <c r="BQN28" s="67"/>
      <c r="BQO28" s="67"/>
      <c r="BQP28" s="29"/>
      <c r="BQQ28" s="131"/>
      <c r="BQR28" s="29"/>
      <c r="BQS28" s="29"/>
      <c r="BQT28" s="29"/>
      <c r="BQU28" s="29"/>
      <c r="BQV28" s="29"/>
      <c r="BQW28" s="136"/>
      <c r="BQX28" s="29"/>
      <c r="BQY28" s="29"/>
      <c r="BQZ28" s="29"/>
      <c r="BRA28" s="29"/>
      <c r="BRB28" s="29"/>
      <c r="BRC28" s="73"/>
      <c r="BRD28" s="29"/>
      <c r="BRE28" s="29"/>
      <c r="BRF28" s="29"/>
      <c r="BRG28" s="29"/>
      <c r="BRH28" s="29"/>
      <c r="BRI28" s="136"/>
      <c r="BRJ28" s="29"/>
      <c r="BRK28" s="29"/>
      <c r="BRL28" s="29"/>
      <c r="BRM28" s="29"/>
      <c r="BRN28" s="29"/>
      <c r="BRO28" s="73"/>
      <c r="BRP28" s="67"/>
      <c r="BRQ28" s="67"/>
      <c r="BRR28" s="67"/>
      <c r="BRS28" s="67"/>
      <c r="BRT28" s="29"/>
      <c r="BRU28" s="136"/>
      <c r="BRV28" s="29"/>
      <c r="BRW28" s="29"/>
      <c r="BRX28" s="29"/>
      <c r="BRY28" s="29"/>
      <c r="BRZ28" s="29"/>
      <c r="BSA28" s="73"/>
      <c r="BSB28" s="29"/>
      <c r="BSC28" s="29"/>
      <c r="BSD28" s="29"/>
      <c r="BSE28" s="29"/>
      <c r="BSF28" s="29"/>
      <c r="BSG28" s="136"/>
      <c r="BSH28" s="29"/>
      <c r="BSI28" s="29"/>
      <c r="BSJ28" s="29"/>
      <c r="BSK28" s="29"/>
      <c r="BSL28" s="29"/>
      <c r="BSM28" s="73"/>
      <c r="BSN28" s="29"/>
      <c r="BSO28" s="29"/>
      <c r="BSP28" s="29"/>
      <c r="BSQ28" s="29"/>
      <c r="BSR28" s="29"/>
      <c r="BSS28" s="30"/>
      <c r="BST28" s="28"/>
      <c r="BSU28" s="67"/>
      <c r="BSV28" s="67"/>
      <c r="BSW28" s="67"/>
      <c r="BSX28" s="29"/>
      <c r="BSY28" s="131"/>
      <c r="BSZ28" s="29"/>
      <c r="BTA28" s="29"/>
      <c r="BTB28" s="29"/>
      <c r="BTC28" s="29"/>
      <c r="BTD28" s="29"/>
      <c r="BTE28" s="136"/>
      <c r="BTF28" s="29"/>
      <c r="BTG28" s="29"/>
      <c r="BTH28" s="29"/>
      <c r="BTI28" s="29"/>
      <c r="BTJ28" s="29"/>
      <c r="BTK28" s="73"/>
      <c r="BTL28" s="29"/>
      <c r="BTM28" s="29"/>
      <c r="BTN28" s="29"/>
      <c r="BTO28" s="29"/>
      <c r="BTP28" s="29"/>
      <c r="BTQ28" s="136"/>
      <c r="BTR28" s="29"/>
      <c r="BTS28" s="29"/>
      <c r="BTT28" s="29"/>
      <c r="BTU28" s="29"/>
      <c r="BTV28" s="29"/>
      <c r="BTW28" s="73"/>
      <c r="BTX28" s="67"/>
      <c r="BTY28" s="67"/>
      <c r="BTZ28" s="67"/>
      <c r="BUA28" s="67"/>
      <c r="BUB28" s="29"/>
      <c r="BUC28" s="136"/>
      <c r="BUD28" s="29"/>
      <c r="BUE28" s="29"/>
      <c r="BUF28" s="29"/>
      <c r="BUG28" s="29"/>
      <c r="BUH28" s="29"/>
      <c r="BUI28" s="73"/>
      <c r="BUJ28" s="29"/>
      <c r="BUK28" s="29"/>
      <c r="BUL28" s="29"/>
      <c r="BUM28" s="29"/>
      <c r="BUN28" s="29"/>
      <c r="BUO28" s="136"/>
      <c r="BUP28" s="29"/>
      <c r="BUQ28" s="29"/>
      <c r="BUR28" s="29"/>
      <c r="BUS28" s="29"/>
      <c r="BUT28" s="29"/>
      <c r="BUU28" s="73"/>
      <c r="BUV28" s="29"/>
      <c r="BUW28" s="29"/>
      <c r="BUX28" s="29"/>
      <c r="BUY28" s="29"/>
      <c r="BUZ28" s="29"/>
      <c r="BVA28" s="30"/>
      <c r="BVB28" s="28"/>
      <c r="BVC28" s="67"/>
      <c r="BVD28" s="67"/>
      <c r="BVE28" s="67"/>
      <c r="BVF28" s="29"/>
      <c r="BVG28" s="131"/>
      <c r="BVH28" s="29"/>
      <c r="BVI28" s="29"/>
      <c r="BVJ28" s="29"/>
      <c r="BVK28" s="29"/>
      <c r="BVL28" s="29"/>
      <c r="BVM28" s="136"/>
      <c r="BVN28" s="29"/>
      <c r="BVO28" s="29"/>
      <c r="BVP28" s="29"/>
      <c r="BVQ28" s="29"/>
      <c r="BVR28" s="29"/>
      <c r="BVS28" s="73"/>
      <c r="BVT28" s="29"/>
      <c r="BVU28" s="29"/>
      <c r="BVV28" s="29"/>
      <c r="BVW28" s="29"/>
      <c r="BVX28" s="29"/>
      <c r="BVY28" s="136"/>
      <c r="BVZ28" s="29"/>
      <c r="BWA28" s="29"/>
      <c r="BWB28" s="29"/>
      <c r="BWC28" s="29"/>
      <c r="BWD28" s="29"/>
      <c r="BWE28" s="73"/>
      <c r="BWF28" s="67"/>
      <c r="BWG28" s="67"/>
      <c r="BWH28" s="67"/>
      <c r="BWI28" s="67"/>
      <c r="BWJ28" s="29"/>
      <c r="BWK28" s="136"/>
      <c r="BWL28" s="29"/>
      <c r="BWM28" s="29"/>
      <c r="BWN28" s="29"/>
      <c r="BWO28" s="29"/>
      <c r="BWP28" s="29"/>
      <c r="BWQ28" s="73"/>
      <c r="BWR28" s="29"/>
      <c r="BWS28" s="29"/>
      <c r="BWT28" s="29"/>
      <c r="BWU28" s="29"/>
      <c r="BWV28" s="29"/>
      <c r="BWW28" s="136"/>
      <c r="BWX28" s="29"/>
      <c r="BWY28" s="29"/>
      <c r="BWZ28" s="29"/>
      <c r="BXA28" s="29"/>
      <c r="BXB28" s="29"/>
      <c r="BXC28" s="73"/>
      <c r="BXD28" s="29"/>
      <c r="BXE28" s="29"/>
      <c r="BXF28" s="29"/>
      <c r="BXG28" s="29"/>
      <c r="BXH28" s="29"/>
      <c r="BXI28" s="30"/>
      <c r="BXJ28" s="28"/>
      <c r="BXK28" s="67"/>
      <c r="BXL28" s="67"/>
      <c r="BXM28" s="67"/>
      <c r="BXN28" s="29"/>
      <c r="BXO28" s="131"/>
      <c r="BXP28" s="29"/>
      <c r="BXQ28" s="29"/>
      <c r="BXR28" s="29"/>
      <c r="BXS28" s="29"/>
      <c r="BXT28" s="29"/>
      <c r="BXU28" s="136"/>
      <c r="BXV28" s="29"/>
      <c r="BXW28" s="29"/>
      <c r="BXX28" s="29"/>
      <c r="BXY28" s="29"/>
      <c r="BXZ28" s="29"/>
      <c r="BYA28" s="73"/>
      <c r="BYB28" s="29"/>
      <c r="BYC28" s="29"/>
      <c r="BYD28" s="29"/>
      <c r="BYE28" s="29"/>
      <c r="BYF28" s="29"/>
      <c r="BYG28" s="136"/>
      <c r="BYH28" s="29"/>
      <c r="BYI28" s="29"/>
      <c r="BYJ28" s="29"/>
      <c r="BYK28" s="29"/>
      <c r="BYL28" s="29"/>
      <c r="BYM28" s="73"/>
      <c r="BYN28" s="67"/>
      <c r="BYO28" s="67"/>
      <c r="BYP28" s="67"/>
      <c r="BYQ28" s="67"/>
      <c r="BYR28" s="29"/>
      <c r="BYS28" s="136"/>
      <c r="BYT28" s="29"/>
      <c r="BYU28" s="29"/>
      <c r="BYV28" s="29"/>
      <c r="BYW28" s="29"/>
      <c r="BYX28" s="29"/>
      <c r="BYY28" s="73"/>
      <c r="BYZ28" s="29"/>
      <c r="BZA28" s="29"/>
      <c r="BZB28" s="29"/>
      <c r="BZC28" s="29"/>
      <c r="BZD28" s="29"/>
      <c r="BZE28" s="136"/>
      <c r="BZF28" s="29"/>
      <c r="BZG28" s="29"/>
      <c r="BZH28" s="29"/>
      <c r="BZI28" s="29"/>
      <c r="BZJ28" s="29"/>
      <c r="BZK28" s="73"/>
      <c r="BZL28" s="29"/>
      <c r="BZM28" s="29"/>
      <c r="BZN28" s="29"/>
      <c r="BZO28" s="29"/>
      <c r="BZP28" s="29"/>
      <c r="BZQ28" s="30"/>
      <c r="BZR28" s="28"/>
      <c r="BZS28" s="67"/>
      <c r="BZT28" s="67"/>
      <c r="BZU28" s="67"/>
      <c r="BZV28" s="29"/>
      <c r="BZW28" s="131"/>
      <c r="BZX28" s="29"/>
      <c r="BZY28" s="29"/>
      <c r="BZZ28" s="29"/>
      <c r="CAA28" s="29"/>
      <c r="CAB28" s="29"/>
      <c r="CAC28" s="136"/>
      <c r="CAD28" s="29"/>
      <c r="CAE28" s="29"/>
      <c r="CAF28" s="29"/>
      <c r="CAG28" s="29"/>
      <c r="CAH28" s="29"/>
      <c r="CAI28" s="73"/>
      <c r="CAJ28" s="29"/>
      <c r="CAK28" s="29"/>
      <c r="CAL28" s="29"/>
      <c r="CAM28" s="29"/>
      <c r="CAN28" s="29"/>
      <c r="CAO28" s="136"/>
      <c r="CAP28" s="29"/>
      <c r="CAQ28" s="29"/>
      <c r="CAR28" s="29"/>
      <c r="CAS28" s="29"/>
      <c r="CAT28" s="29"/>
      <c r="CAU28" s="73"/>
      <c r="CAV28" s="67"/>
      <c r="CAW28" s="67"/>
      <c r="CAX28" s="67"/>
      <c r="CAY28" s="67"/>
      <c r="CAZ28" s="29"/>
      <c r="CBA28" s="136"/>
      <c r="CBB28" s="29"/>
      <c r="CBC28" s="29"/>
      <c r="CBD28" s="29"/>
      <c r="CBE28" s="29"/>
      <c r="CBF28" s="29"/>
      <c r="CBG28" s="73"/>
      <c r="CBH28" s="29"/>
      <c r="CBI28" s="29"/>
      <c r="CBJ28" s="29"/>
      <c r="CBK28" s="29"/>
      <c r="CBL28" s="29"/>
      <c r="CBM28" s="136"/>
      <c r="CBN28" s="29"/>
      <c r="CBO28" s="29"/>
      <c r="CBP28" s="29"/>
      <c r="CBQ28" s="29"/>
      <c r="CBR28" s="29"/>
      <c r="CBS28" s="73"/>
      <c r="CBT28" s="29"/>
      <c r="CBU28" s="29"/>
      <c r="CBV28" s="29"/>
      <c r="CBW28" s="29"/>
      <c r="CBX28" s="29"/>
      <c r="CBY28" s="30"/>
      <c r="CBZ28" s="28"/>
      <c r="CCA28" s="67"/>
      <c r="CCB28" s="67"/>
      <c r="CCC28" s="67"/>
      <c r="CCD28" s="29"/>
      <c r="CCE28" s="131"/>
      <c r="CCF28" s="29"/>
      <c r="CCG28" s="29"/>
      <c r="CCH28" s="29"/>
      <c r="CCI28" s="29"/>
      <c r="CCJ28" s="29"/>
      <c r="CCK28" s="136"/>
      <c r="CCL28" s="29"/>
      <c r="CCM28" s="29"/>
      <c r="CCN28" s="29"/>
      <c r="CCO28" s="29"/>
      <c r="CCP28" s="29"/>
      <c r="CCQ28" s="73"/>
      <c r="CCR28" s="29"/>
      <c r="CCS28" s="29"/>
      <c r="CCT28" s="29"/>
      <c r="CCU28" s="29"/>
      <c r="CCV28" s="29"/>
      <c r="CCW28" s="136"/>
      <c r="CCX28" s="29"/>
      <c r="CCY28" s="29"/>
      <c r="CCZ28" s="29"/>
      <c r="CDA28" s="29"/>
      <c r="CDB28" s="29"/>
      <c r="CDC28" s="73"/>
      <c r="CDD28" s="67"/>
      <c r="CDE28" s="67"/>
      <c r="CDF28" s="67"/>
      <c r="CDG28" s="67"/>
      <c r="CDH28" s="29"/>
      <c r="CDI28" s="136"/>
      <c r="CDJ28" s="29"/>
      <c r="CDK28" s="29"/>
      <c r="CDL28" s="29"/>
      <c r="CDM28" s="29"/>
      <c r="CDN28" s="29"/>
      <c r="CDO28" s="73"/>
      <c r="CDP28" s="29"/>
      <c r="CDQ28" s="29"/>
      <c r="CDR28" s="29"/>
      <c r="CDS28" s="29"/>
      <c r="CDT28" s="29"/>
      <c r="CDU28" s="136"/>
      <c r="CDV28" s="29"/>
      <c r="CDW28" s="29"/>
      <c r="CDX28" s="29"/>
      <c r="CDY28" s="29"/>
      <c r="CDZ28" s="29"/>
      <c r="CEA28" s="73"/>
      <c r="CEB28" s="29"/>
      <c r="CEC28" s="29"/>
      <c r="CED28" s="29"/>
      <c r="CEE28" s="29"/>
      <c r="CEF28" s="29"/>
      <c r="CEG28" s="30"/>
      <c r="CEH28" s="28"/>
      <c r="CEI28" s="67"/>
      <c r="CEJ28" s="67"/>
      <c r="CEK28" s="67"/>
      <c r="CEL28" s="29"/>
      <c r="CEM28" s="131"/>
      <c r="CEN28" s="29"/>
      <c r="CEO28" s="29"/>
      <c r="CEP28" s="29"/>
      <c r="CEQ28" s="29"/>
      <c r="CER28" s="29"/>
      <c r="CES28" s="136"/>
      <c r="CET28" s="29"/>
      <c r="CEU28" s="29"/>
      <c r="CEV28" s="29"/>
      <c r="CEW28" s="29"/>
      <c r="CEX28" s="29"/>
      <c r="CEY28" s="73"/>
      <c r="CEZ28" s="29"/>
      <c r="CFA28" s="29"/>
      <c r="CFB28" s="29"/>
      <c r="CFC28" s="29"/>
      <c r="CFD28" s="29"/>
      <c r="CFE28" s="136"/>
      <c r="CFF28" s="29"/>
      <c r="CFG28" s="29"/>
      <c r="CFH28" s="29"/>
      <c r="CFI28" s="29"/>
      <c r="CFJ28" s="29"/>
      <c r="CFK28" s="73"/>
      <c r="CFL28" s="67"/>
      <c r="CFM28" s="67"/>
      <c r="CFN28" s="67"/>
      <c r="CFO28" s="67"/>
      <c r="CFP28" s="29"/>
      <c r="CFQ28" s="136"/>
      <c r="CFR28" s="29"/>
      <c r="CFS28" s="29"/>
      <c r="CFT28" s="29"/>
      <c r="CFU28" s="29"/>
      <c r="CFV28" s="29"/>
      <c r="CFW28" s="73"/>
      <c r="CFX28" s="29"/>
      <c r="CFY28" s="29"/>
      <c r="CFZ28" s="29"/>
      <c r="CGA28" s="29"/>
      <c r="CGB28" s="29"/>
      <c r="CGC28" s="136"/>
      <c r="CGD28" s="29"/>
      <c r="CGE28" s="29"/>
      <c r="CGF28" s="29"/>
      <c r="CGG28" s="29"/>
      <c r="CGH28" s="29"/>
      <c r="CGI28" s="73"/>
      <c r="CGJ28" s="29"/>
      <c r="CGK28" s="29"/>
      <c r="CGL28" s="29"/>
      <c r="CGM28" s="29"/>
      <c r="CGN28" s="29"/>
      <c r="CGO28" s="30"/>
      <c r="CGP28" s="28"/>
      <c r="CGQ28" s="67"/>
      <c r="CGR28" s="67"/>
      <c r="CGS28" s="67"/>
      <c r="CGT28" s="29"/>
      <c r="CGU28" s="131"/>
      <c r="CGV28" s="29"/>
      <c r="CGW28" s="29"/>
      <c r="CGX28" s="29"/>
      <c r="CGY28" s="29"/>
      <c r="CGZ28" s="29"/>
      <c r="CHA28" s="136"/>
      <c r="CHB28" s="29"/>
      <c r="CHC28" s="29"/>
      <c r="CHD28" s="29"/>
      <c r="CHE28" s="29"/>
      <c r="CHF28" s="29"/>
      <c r="CHG28" s="73"/>
      <c r="CHH28" s="29"/>
      <c r="CHI28" s="29"/>
      <c r="CHJ28" s="29"/>
      <c r="CHK28" s="29"/>
      <c r="CHL28" s="29"/>
      <c r="CHM28" s="136"/>
      <c r="CHN28" s="29"/>
      <c r="CHO28" s="29"/>
      <c r="CHP28" s="29"/>
      <c r="CHQ28" s="29"/>
      <c r="CHR28" s="29"/>
      <c r="CHS28" s="73"/>
      <c r="CHT28" s="67"/>
      <c r="CHU28" s="67"/>
      <c r="CHV28" s="67"/>
      <c r="CHW28" s="67"/>
      <c r="CHX28" s="29"/>
      <c r="CHY28" s="136"/>
      <c r="CHZ28" s="29"/>
      <c r="CIA28" s="29"/>
      <c r="CIB28" s="29"/>
      <c r="CIC28" s="29"/>
      <c r="CID28" s="29"/>
      <c r="CIE28" s="73"/>
      <c r="CIF28" s="29"/>
      <c r="CIG28" s="29"/>
      <c r="CIH28" s="29"/>
      <c r="CII28" s="29"/>
      <c r="CIJ28" s="29"/>
      <c r="CIK28" s="136"/>
      <c r="CIL28" s="29"/>
      <c r="CIM28" s="29"/>
      <c r="CIN28" s="29"/>
      <c r="CIO28" s="29"/>
      <c r="CIP28" s="29"/>
      <c r="CIQ28" s="73"/>
      <c r="CIR28" s="29"/>
      <c r="CIS28" s="29"/>
      <c r="CIT28" s="29"/>
      <c r="CIU28" s="29"/>
      <c r="CIV28" s="29"/>
      <c r="CIW28" s="30"/>
      <c r="CIX28" s="28"/>
      <c r="CIY28" s="67"/>
      <c r="CIZ28" s="67"/>
      <c r="CJA28" s="67"/>
      <c r="CJB28" s="29"/>
      <c r="CJC28" s="131"/>
      <c r="CJD28" s="29"/>
      <c r="CJE28" s="29"/>
      <c r="CJF28" s="29"/>
      <c r="CJG28" s="29"/>
      <c r="CJH28" s="29"/>
      <c r="CJI28" s="136"/>
      <c r="CJJ28" s="29"/>
      <c r="CJK28" s="29"/>
      <c r="CJL28" s="29"/>
      <c r="CJM28" s="29"/>
      <c r="CJN28" s="29"/>
      <c r="CJO28" s="73"/>
      <c r="CJP28" s="29"/>
      <c r="CJQ28" s="29"/>
      <c r="CJR28" s="29"/>
      <c r="CJS28" s="29"/>
      <c r="CJT28" s="29"/>
      <c r="CJU28" s="136"/>
      <c r="CJV28" s="29"/>
      <c r="CJW28" s="29"/>
      <c r="CJX28" s="29"/>
      <c r="CJY28" s="29"/>
      <c r="CJZ28" s="29"/>
      <c r="CKA28" s="73"/>
      <c r="CKB28" s="67"/>
      <c r="CKC28" s="67"/>
      <c r="CKD28" s="67"/>
      <c r="CKE28" s="67"/>
      <c r="CKF28" s="29"/>
      <c r="CKG28" s="136"/>
      <c r="CKH28" s="29"/>
      <c r="CKI28" s="29"/>
      <c r="CKJ28" s="29"/>
      <c r="CKK28" s="29"/>
      <c r="CKL28" s="29"/>
      <c r="CKM28" s="73"/>
      <c r="CKN28" s="29"/>
      <c r="CKO28" s="29"/>
      <c r="CKP28" s="29"/>
      <c r="CKQ28" s="29"/>
      <c r="CKR28" s="29"/>
      <c r="CKS28" s="136"/>
      <c r="CKT28" s="29"/>
      <c r="CKU28" s="29"/>
      <c r="CKV28" s="29"/>
      <c r="CKW28" s="29"/>
      <c r="CKX28" s="29"/>
      <c r="CKY28" s="73"/>
      <c r="CKZ28" s="29"/>
      <c r="CLA28" s="29"/>
      <c r="CLB28" s="29"/>
      <c r="CLC28" s="29"/>
      <c r="CLD28" s="29"/>
      <c r="CLE28" s="30"/>
      <c r="CLF28" s="28"/>
      <c r="CLG28" s="67"/>
      <c r="CLH28" s="67"/>
      <c r="CLI28" s="67"/>
      <c r="CLJ28" s="29"/>
      <c r="CLK28" s="131"/>
      <c r="CLL28" s="29"/>
      <c r="CLM28" s="29"/>
      <c r="CLN28" s="29"/>
      <c r="CLO28" s="29"/>
      <c r="CLP28" s="29"/>
      <c r="CLQ28" s="136"/>
      <c r="CLR28" s="29"/>
      <c r="CLS28" s="29"/>
      <c r="CLT28" s="29"/>
      <c r="CLU28" s="29"/>
      <c r="CLV28" s="29"/>
      <c r="CLW28" s="73"/>
      <c r="CLX28" s="29"/>
      <c r="CLY28" s="29"/>
      <c r="CLZ28" s="29"/>
      <c r="CMA28" s="29"/>
      <c r="CMB28" s="29"/>
      <c r="CMC28" s="136"/>
      <c r="CMD28" s="29"/>
      <c r="CME28" s="29"/>
      <c r="CMF28" s="29"/>
      <c r="CMG28" s="29"/>
      <c r="CMH28" s="29"/>
      <c r="CMI28" s="73"/>
      <c r="CMJ28" s="67"/>
      <c r="CMK28" s="67"/>
      <c r="CML28" s="67"/>
      <c r="CMM28" s="67"/>
      <c r="CMN28" s="29"/>
      <c r="CMO28" s="136"/>
      <c r="CMP28" s="29"/>
      <c r="CMQ28" s="29"/>
      <c r="CMR28" s="29"/>
      <c r="CMS28" s="29"/>
      <c r="CMT28" s="29"/>
      <c r="CMU28" s="73"/>
      <c r="CMV28" s="29"/>
      <c r="CMW28" s="29"/>
      <c r="CMX28" s="29"/>
      <c r="CMY28" s="29"/>
      <c r="CMZ28" s="29"/>
      <c r="CNA28" s="136"/>
      <c r="CNB28" s="29"/>
      <c r="CNC28" s="29"/>
      <c r="CND28" s="29"/>
      <c r="CNE28" s="29"/>
      <c r="CNF28" s="29"/>
      <c r="CNG28" s="73"/>
      <c r="CNH28" s="29"/>
      <c r="CNI28" s="29"/>
      <c r="CNJ28" s="29"/>
      <c r="CNK28" s="29"/>
      <c r="CNL28" s="29"/>
      <c r="CNM28" s="30"/>
      <c r="CNN28" s="28"/>
      <c r="CNO28" s="67"/>
      <c r="CNP28" s="67"/>
      <c r="CNQ28" s="67"/>
      <c r="CNR28" s="29"/>
      <c r="CNS28" s="131"/>
      <c r="CNT28" s="29"/>
      <c r="CNU28" s="29"/>
      <c r="CNV28" s="29"/>
      <c r="CNW28" s="29"/>
      <c r="CNX28" s="29"/>
      <c r="CNY28" s="136"/>
      <c r="CNZ28" s="29"/>
      <c r="COA28" s="29"/>
      <c r="COB28" s="29"/>
      <c r="COC28" s="29"/>
      <c r="COD28" s="29"/>
      <c r="COE28" s="73"/>
      <c r="COF28" s="29"/>
      <c r="COG28" s="29"/>
      <c r="COH28" s="29"/>
      <c r="COI28" s="29"/>
      <c r="COJ28" s="29"/>
      <c r="COK28" s="136"/>
      <c r="COL28" s="29"/>
      <c r="COM28" s="29"/>
      <c r="CON28" s="29"/>
      <c r="COO28" s="29"/>
      <c r="COP28" s="29"/>
      <c r="COQ28" s="73"/>
      <c r="COR28" s="67"/>
      <c r="COS28" s="67"/>
      <c r="COT28" s="67"/>
      <c r="COU28" s="67"/>
      <c r="COV28" s="29"/>
      <c r="COW28" s="136"/>
      <c r="COX28" s="29"/>
      <c r="COY28" s="29"/>
      <c r="COZ28" s="29"/>
      <c r="CPA28" s="29"/>
      <c r="CPB28" s="29"/>
      <c r="CPC28" s="73"/>
      <c r="CPD28" s="29"/>
      <c r="CPE28" s="29"/>
      <c r="CPF28" s="29"/>
      <c r="CPG28" s="29"/>
      <c r="CPH28" s="29"/>
      <c r="CPI28" s="136"/>
      <c r="CPJ28" s="29"/>
      <c r="CPK28" s="29"/>
      <c r="CPL28" s="29"/>
      <c r="CPM28" s="29"/>
      <c r="CPN28" s="29"/>
      <c r="CPO28" s="73"/>
      <c r="CPP28" s="29"/>
      <c r="CPQ28" s="29"/>
      <c r="CPR28" s="29"/>
      <c r="CPS28" s="29"/>
      <c r="CPT28" s="29"/>
      <c r="CPU28" s="30"/>
      <c r="CPV28" s="28"/>
      <c r="CPW28" s="67"/>
      <c r="CPX28" s="67"/>
      <c r="CPY28" s="67"/>
      <c r="CPZ28" s="29"/>
      <c r="CQA28" s="131"/>
      <c r="CQB28" s="29"/>
      <c r="CQC28" s="29"/>
      <c r="CQD28" s="29"/>
      <c r="CQE28" s="29"/>
      <c r="CQF28" s="29"/>
      <c r="CQG28" s="136"/>
      <c r="CQH28" s="29"/>
      <c r="CQI28" s="29"/>
      <c r="CQJ28" s="29"/>
      <c r="CQK28" s="29"/>
      <c r="CQL28" s="29"/>
      <c r="CQM28" s="73"/>
      <c r="CQN28" s="29"/>
      <c r="CQO28" s="29"/>
      <c r="CQP28" s="29"/>
      <c r="CQQ28" s="29"/>
      <c r="CQR28" s="29"/>
      <c r="CQS28" s="136"/>
      <c r="CQT28" s="29"/>
      <c r="CQU28" s="29"/>
      <c r="CQV28" s="29"/>
      <c r="CQW28" s="29"/>
      <c r="CQX28" s="29"/>
      <c r="CQY28" s="73"/>
      <c r="CQZ28" s="67"/>
      <c r="CRA28" s="67"/>
      <c r="CRB28" s="67"/>
      <c r="CRC28" s="67"/>
      <c r="CRD28" s="29"/>
      <c r="CRE28" s="136"/>
      <c r="CRF28" s="29"/>
      <c r="CRG28" s="29"/>
      <c r="CRH28" s="29"/>
      <c r="CRI28" s="29"/>
      <c r="CRJ28" s="29"/>
      <c r="CRK28" s="73"/>
      <c r="CRL28" s="29"/>
      <c r="CRM28" s="29"/>
      <c r="CRN28" s="29"/>
      <c r="CRO28" s="29"/>
      <c r="CRP28" s="29"/>
      <c r="CRQ28" s="136"/>
      <c r="CRR28" s="29"/>
      <c r="CRS28" s="29"/>
      <c r="CRT28" s="29"/>
      <c r="CRU28" s="29"/>
      <c r="CRV28" s="29"/>
      <c r="CRW28" s="73"/>
      <c r="CRX28" s="29"/>
      <c r="CRY28" s="29"/>
      <c r="CRZ28" s="29"/>
      <c r="CSA28" s="29"/>
      <c r="CSB28" s="29"/>
      <c r="CSC28" s="30"/>
      <c r="CSD28" s="90"/>
    </row>
    <row r="29" spans="1:2526" ht="20.100000000000001" customHeight="1" x14ac:dyDescent="0.25">
      <c r="A29" s="100" t="s">
        <v>18</v>
      </c>
      <c r="B29" s="63" t="str">
        <f>IF(LEN(C43)=0,"",C43)</f>
        <v>Réalisation - Créer un .exe pour installer le gabarit dans Visio</v>
      </c>
      <c r="C29" s="211" t="s">
        <v>47</v>
      </c>
      <c r="D29" s="146"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32"/>
      <c r="BLW29" s="64"/>
      <c r="BLX29" s="64"/>
      <c r="BLY29" s="64"/>
      <c r="BLZ29" s="33"/>
      <c r="BMA29" s="132"/>
      <c r="BMB29" s="33"/>
      <c r="BMC29" s="33"/>
      <c r="BMD29" s="33"/>
      <c r="BME29" s="33"/>
      <c r="BMF29" s="33"/>
      <c r="BMG29" s="137"/>
      <c r="BMH29" s="33"/>
      <c r="BMI29" s="33"/>
      <c r="BMJ29" s="33"/>
      <c r="BMK29" s="33"/>
      <c r="BML29" s="33"/>
      <c r="BMM29" s="74"/>
      <c r="BMN29" s="33"/>
      <c r="BMO29" s="33"/>
      <c r="BMP29" s="33"/>
      <c r="BMQ29" s="33"/>
      <c r="BMR29" s="33"/>
      <c r="BMS29" s="137"/>
      <c r="BMT29" s="33"/>
      <c r="BMU29" s="33"/>
      <c r="BMV29" s="33"/>
      <c r="BMW29" s="33"/>
      <c r="BMX29" s="33"/>
      <c r="BMY29" s="74"/>
      <c r="BMZ29" s="64"/>
      <c r="BNA29" s="64"/>
      <c r="BNB29" s="64"/>
      <c r="BNC29" s="64"/>
      <c r="BND29" s="33"/>
      <c r="BNE29" s="137"/>
      <c r="BNF29" s="33"/>
      <c r="BNG29" s="33"/>
      <c r="BNH29" s="33"/>
      <c r="BNI29" s="33"/>
      <c r="BNJ29" s="33"/>
      <c r="BNK29" s="74"/>
      <c r="BNL29" s="33"/>
      <c r="BNM29" s="33"/>
      <c r="BNN29" s="33"/>
      <c r="BNO29" s="33"/>
      <c r="BNP29" s="33"/>
      <c r="BNQ29" s="137"/>
      <c r="BNR29" s="33"/>
      <c r="BNS29" s="33"/>
      <c r="BNT29" s="33"/>
      <c r="BNU29" s="33"/>
      <c r="BNV29" s="33"/>
      <c r="BNW29" s="74"/>
      <c r="BNX29" s="33"/>
      <c r="BNY29" s="33"/>
      <c r="BNZ29" s="33"/>
      <c r="BOA29" s="33"/>
      <c r="BOB29" s="33"/>
      <c r="BOC29" s="34"/>
      <c r="BOD29" s="32"/>
      <c r="BOE29" s="64"/>
      <c r="BOF29" s="64"/>
      <c r="BOG29" s="64"/>
      <c r="BOH29" s="33"/>
      <c r="BOI29" s="132"/>
      <c r="BOJ29" s="33"/>
      <c r="BOK29" s="33"/>
      <c r="BOL29" s="33"/>
      <c r="BOM29" s="33"/>
      <c r="BON29" s="33"/>
      <c r="BOO29" s="137"/>
      <c r="BOP29" s="33"/>
      <c r="BOQ29" s="33"/>
      <c r="BOR29" s="33"/>
      <c r="BOS29" s="33"/>
      <c r="BOT29" s="33"/>
      <c r="BOU29" s="74"/>
      <c r="BOV29" s="33"/>
      <c r="BOW29" s="33"/>
      <c r="BOX29" s="33"/>
      <c r="BOY29" s="33"/>
      <c r="BOZ29" s="33"/>
      <c r="BPA29" s="137"/>
      <c r="BPB29" s="33"/>
      <c r="BPC29" s="33"/>
      <c r="BPD29" s="33"/>
      <c r="BPE29" s="33"/>
      <c r="BPF29" s="33"/>
      <c r="BPG29" s="74"/>
      <c r="BPH29" s="64"/>
      <c r="BPI29" s="64"/>
      <c r="BPJ29" s="64"/>
      <c r="BPK29" s="64"/>
      <c r="BPL29" s="33"/>
      <c r="BPM29" s="137"/>
      <c r="BPN29" s="33"/>
      <c r="BPO29" s="33"/>
      <c r="BPP29" s="33"/>
      <c r="BPQ29" s="33"/>
      <c r="BPR29" s="33"/>
      <c r="BPS29" s="74"/>
      <c r="BPT29" s="33"/>
      <c r="BPU29" s="33"/>
      <c r="BPV29" s="33"/>
      <c r="BPW29" s="33"/>
      <c r="BPX29" s="33"/>
      <c r="BPY29" s="137"/>
      <c r="BPZ29" s="33"/>
      <c r="BQA29" s="33"/>
      <c r="BQB29" s="33"/>
      <c r="BQC29" s="33"/>
      <c r="BQD29" s="33"/>
      <c r="BQE29" s="74"/>
      <c r="BQF29" s="33"/>
      <c r="BQG29" s="33"/>
      <c r="BQH29" s="33"/>
      <c r="BQI29" s="33"/>
      <c r="BQJ29" s="33"/>
      <c r="BQK29" s="34"/>
      <c r="BQL29" s="32"/>
      <c r="BQM29" s="64"/>
      <c r="BQN29" s="64"/>
      <c r="BQO29" s="64"/>
      <c r="BQP29" s="33"/>
      <c r="BQQ29" s="132"/>
      <c r="BQR29" s="33"/>
      <c r="BQS29" s="33"/>
      <c r="BQT29" s="33"/>
      <c r="BQU29" s="33"/>
      <c r="BQV29" s="33"/>
      <c r="BQW29" s="137"/>
      <c r="BQX29" s="33"/>
      <c r="BQY29" s="33"/>
      <c r="BQZ29" s="33"/>
      <c r="BRA29" s="33"/>
      <c r="BRB29" s="33"/>
      <c r="BRC29" s="74"/>
      <c r="BRD29" s="33"/>
      <c r="BRE29" s="33"/>
      <c r="BRF29" s="33"/>
      <c r="BRG29" s="33"/>
      <c r="BRH29" s="33"/>
      <c r="BRI29" s="137"/>
      <c r="BRJ29" s="33"/>
      <c r="BRK29" s="33"/>
      <c r="BRL29" s="33"/>
      <c r="BRM29" s="33"/>
      <c r="BRN29" s="33"/>
      <c r="BRO29" s="74"/>
      <c r="BRP29" s="64"/>
      <c r="BRQ29" s="64"/>
      <c r="BRR29" s="64"/>
      <c r="BRS29" s="64"/>
      <c r="BRT29" s="33"/>
      <c r="BRU29" s="137"/>
      <c r="BRV29" s="33"/>
      <c r="BRW29" s="33"/>
      <c r="BRX29" s="33"/>
      <c r="BRY29" s="33"/>
      <c r="BRZ29" s="33"/>
      <c r="BSA29" s="74"/>
      <c r="BSB29" s="33"/>
      <c r="BSC29" s="33"/>
      <c r="BSD29" s="33"/>
      <c r="BSE29" s="33"/>
      <c r="BSF29" s="33"/>
      <c r="BSG29" s="137"/>
      <c r="BSH29" s="33"/>
      <c r="BSI29" s="33"/>
      <c r="BSJ29" s="33"/>
      <c r="BSK29" s="33"/>
      <c r="BSL29" s="33"/>
      <c r="BSM29" s="74"/>
      <c r="BSN29" s="33"/>
      <c r="BSO29" s="33"/>
      <c r="BSP29" s="33"/>
      <c r="BSQ29" s="33"/>
      <c r="BSR29" s="33"/>
      <c r="BSS29" s="34"/>
      <c r="BST29" s="32"/>
      <c r="BSU29" s="64"/>
      <c r="BSV29" s="64"/>
      <c r="BSW29" s="64"/>
      <c r="BSX29" s="33"/>
      <c r="BSY29" s="132"/>
      <c r="BSZ29" s="33"/>
      <c r="BTA29" s="33"/>
      <c r="BTB29" s="33"/>
      <c r="BTC29" s="33"/>
      <c r="BTD29" s="33"/>
      <c r="BTE29" s="137"/>
      <c r="BTF29" s="33"/>
      <c r="BTG29" s="33"/>
      <c r="BTH29" s="33"/>
      <c r="BTI29" s="33"/>
      <c r="BTJ29" s="33"/>
      <c r="BTK29" s="74"/>
      <c r="BTL29" s="33"/>
      <c r="BTM29" s="33"/>
      <c r="BTN29" s="33"/>
      <c r="BTO29" s="33"/>
      <c r="BTP29" s="33"/>
      <c r="BTQ29" s="137"/>
      <c r="BTR29" s="33"/>
      <c r="BTS29" s="33"/>
      <c r="BTT29" s="33"/>
      <c r="BTU29" s="33"/>
      <c r="BTV29" s="33"/>
      <c r="BTW29" s="74"/>
      <c r="BTX29" s="64"/>
      <c r="BTY29" s="64"/>
      <c r="BTZ29" s="64"/>
      <c r="BUA29" s="64"/>
      <c r="BUB29" s="33"/>
      <c r="BUC29" s="137"/>
      <c r="BUD29" s="33"/>
      <c r="BUE29" s="33"/>
      <c r="BUF29" s="33"/>
      <c r="BUG29" s="33"/>
      <c r="BUH29" s="33"/>
      <c r="BUI29" s="74"/>
      <c r="BUJ29" s="33"/>
      <c r="BUK29" s="33"/>
      <c r="BUL29" s="33"/>
      <c r="BUM29" s="33"/>
      <c r="BUN29" s="33"/>
      <c r="BUO29" s="137"/>
      <c r="BUP29" s="33"/>
      <c r="BUQ29" s="33"/>
      <c r="BUR29" s="33"/>
      <c r="BUS29" s="33"/>
      <c r="BUT29" s="33"/>
      <c r="BUU29" s="74"/>
      <c r="BUV29" s="33"/>
      <c r="BUW29" s="33"/>
      <c r="BUX29" s="33"/>
      <c r="BUY29" s="33"/>
      <c r="BUZ29" s="33"/>
      <c r="BVA29" s="34"/>
      <c r="BVB29" s="32"/>
      <c r="BVC29" s="64"/>
      <c r="BVD29" s="64"/>
      <c r="BVE29" s="64"/>
      <c r="BVF29" s="33"/>
      <c r="BVG29" s="132"/>
      <c r="BVH29" s="33"/>
      <c r="BVI29" s="33"/>
      <c r="BVJ29" s="33"/>
      <c r="BVK29" s="33"/>
      <c r="BVL29" s="33"/>
      <c r="BVM29" s="137"/>
      <c r="BVN29" s="33"/>
      <c r="BVO29" s="33"/>
      <c r="BVP29" s="33"/>
      <c r="BVQ29" s="33"/>
      <c r="BVR29" s="33"/>
      <c r="BVS29" s="74"/>
      <c r="BVT29" s="33"/>
      <c r="BVU29" s="33"/>
      <c r="BVV29" s="33"/>
      <c r="BVW29" s="33"/>
      <c r="BVX29" s="33"/>
      <c r="BVY29" s="137"/>
      <c r="BVZ29" s="33"/>
      <c r="BWA29" s="33"/>
      <c r="BWB29" s="33"/>
      <c r="BWC29" s="33"/>
      <c r="BWD29" s="33"/>
      <c r="BWE29" s="74"/>
      <c r="BWF29" s="64"/>
      <c r="BWG29" s="64"/>
      <c r="BWH29" s="64"/>
      <c r="BWI29" s="64"/>
      <c r="BWJ29" s="33"/>
      <c r="BWK29" s="137"/>
      <c r="BWL29" s="33"/>
      <c r="BWM29" s="33"/>
      <c r="BWN29" s="33"/>
      <c r="BWO29" s="33"/>
      <c r="BWP29" s="33"/>
      <c r="BWQ29" s="74"/>
      <c r="BWR29" s="33"/>
      <c r="BWS29" s="33"/>
      <c r="BWT29" s="33"/>
      <c r="BWU29" s="33"/>
      <c r="BWV29" s="33"/>
      <c r="BWW29" s="137"/>
      <c r="BWX29" s="33"/>
      <c r="BWY29" s="33"/>
      <c r="BWZ29" s="33"/>
      <c r="BXA29" s="33"/>
      <c r="BXB29" s="33"/>
      <c r="BXC29" s="74"/>
      <c r="BXD29" s="33"/>
      <c r="BXE29" s="33"/>
      <c r="BXF29" s="33"/>
      <c r="BXG29" s="33"/>
      <c r="BXH29" s="33"/>
      <c r="BXI29" s="34"/>
      <c r="BXJ29" s="32"/>
      <c r="BXK29" s="64"/>
      <c r="BXL29" s="64"/>
      <c r="BXM29" s="64"/>
      <c r="BXN29" s="33"/>
      <c r="BXO29" s="132"/>
      <c r="BXP29" s="33"/>
      <c r="BXQ29" s="33"/>
      <c r="BXR29" s="33"/>
      <c r="BXS29" s="33"/>
      <c r="BXT29" s="33"/>
      <c r="BXU29" s="137"/>
      <c r="BXV29" s="33"/>
      <c r="BXW29" s="33"/>
      <c r="BXX29" s="33"/>
      <c r="BXY29" s="33"/>
      <c r="BXZ29" s="33"/>
      <c r="BYA29" s="74"/>
      <c r="BYB29" s="33"/>
      <c r="BYC29" s="33"/>
      <c r="BYD29" s="33"/>
      <c r="BYE29" s="33"/>
      <c r="BYF29" s="33"/>
      <c r="BYG29" s="137"/>
      <c r="BYH29" s="33"/>
      <c r="BYI29" s="33"/>
      <c r="BYJ29" s="33"/>
      <c r="BYK29" s="33"/>
      <c r="BYL29" s="33"/>
      <c r="BYM29" s="74"/>
      <c r="BYN29" s="64"/>
      <c r="BYO29" s="64"/>
      <c r="BYP29" s="64"/>
      <c r="BYQ29" s="64"/>
      <c r="BYR29" s="33"/>
      <c r="BYS29" s="137"/>
      <c r="BYT29" s="33"/>
      <c r="BYU29" s="33"/>
      <c r="BYV29" s="33"/>
      <c r="BYW29" s="33"/>
      <c r="BYX29" s="33"/>
      <c r="BYY29" s="74"/>
      <c r="BYZ29" s="33"/>
      <c r="BZA29" s="33"/>
      <c r="BZB29" s="33"/>
      <c r="BZC29" s="33"/>
      <c r="BZD29" s="33"/>
      <c r="BZE29" s="137"/>
      <c r="BZF29" s="33"/>
      <c r="BZG29" s="33"/>
      <c r="BZH29" s="33"/>
      <c r="BZI29" s="33"/>
      <c r="BZJ29" s="33"/>
      <c r="BZK29" s="74"/>
      <c r="BZL29" s="33"/>
      <c r="BZM29" s="33"/>
      <c r="BZN29" s="33"/>
      <c r="BZO29" s="33"/>
      <c r="BZP29" s="33"/>
      <c r="BZQ29" s="34"/>
      <c r="BZR29" s="32"/>
      <c r="BZS29" s="64"/>
      <c r="BZT29" s="64"/>
      <c r="BZU29" s="64"/>
      <c r="BZV29" s="33"/>
      <c r="BZW29" s="132"/>
      <c r="BZX29" s="33"/>
      <c r="BZY29" s="33"/>
      <c r="BZZ29" s="33"/>
      <c r="CAA29" s="33"/>
      <c r="CAB29" s="33"/>
      <c r="CAC29" s="137"/>
      <c r="CAD29" s="33"/>
      <c r="CAE29" s="33"/>
      <c r="CAF29" s="33"/>
      <c r="CAG29" s="33"/>
      <c r="CAH29" s="33"/>
      <c r="CAI29" s="74"/>
      <c r="CAJ29" s="33"/>
      <c r="CAK29" s="33"/>
      <c r="CAL29" s="33"/>
      <c r="CAM29" s="33"/>
      <c r="CAN29" s="33"/>
      <c r="CAO29" s="137"/>
      <c r="CAP29" s="33"/>
      <c r="CAQ29" s="33"/>
      <c r="CAR29" s="33"/>
      <c r="CAS29" s="33"/>
      <c r="CAT29" s="33"/>
      <c r="CAU29" s="74"/>
      <c r="CAV29" s="64"/>
      <c r="CAW29" s="64"/>
      <c r="CAX29" s="64"/>
      <c r="CAY29" s="64"/>
      <c r="CAZ29" s="33"/>
      <c r="CBA29" s="137"/>
      <c r="CBB29" s="33"/>
      <c r="CBC29" s="33"/>
      <c r="CBD29" s="33"/>
      <c r="CBE29" s="33"/>
      <c r="CBF29" s="33"/>
      <c r="CBG29" s="74"/>
      <c r="CBH29" s="33"/>
      <c r="CBI29" s="33"/>
      <c r="CBJ29" s="33"/>
      <c r="CBK29" s="33"/>
      <c r="CBL29" s="33"/>
      <c r="CBM29" s="137"/>
      <c r="CBN29" s="33"/>
      <c r="CBO29" s="33"/>
      <c r="CBP29" s="33"/>
      <c r="CBQ29" s="33"/>
      <c r="CBR29" s="33"/>
      <c r="CBS29" s="74"/>
      <c r="CBT29" s="33"/>
      <c r="CBU29" s="33"/>
      <c r="CBV29" s="33"/>
      <c r="CBW29" s="33"/>
      <c r="CBX29" s="33"/>
      <c r="CBY29" s="34"/>
      <c r="CBZ29" s="32"/>
      <c r="CCA29" s="64"/>
      <c r="CCB29" s="64"/>
      <c r="CCC29" s="64"/>
      <c r="CCD29" s="33"/>
      <c r="CCE29" s="132"/>
      <c r="CCF29" s="33"/>
      <c r="CCG29" s="33"/>
      <c r="CCH29" s="33"/>
      <c r="CCI29" s="33"/>
      <c r="CCJ29" s="33"/>
      <c r="CCK29" s="137"/>
      <c r="CCL29" s="33"/>
      <c r="CCM29" s="33"/>
      <c r="CCN29" s="33"/>
      <c r="CCO29" s="33"/>
      <c r="CCP29" s="33"/>
      <c r="CCQ29" s="74"/>
      <c r="CCR29" s="33"/>
      <c r="CCS29" s="33"/>
      <c r="CCT29" s="33"/>
      <c r="CCU29" s="33"/>
      <c r="CCV29" s="33"/>
      <c r="CCW29" s="137"/>
      <c r="CCX29" s="33"/>
      <c r="CCY29" s="33"/>
      <c r="CCZ29" s="33"/>
      <c r="CDA29" s="33"/>
      <c r="CDB29" s="33"/>
      <c r="CDC29" s="74"/>
      <c r="CDD29" s="64"/>
      <c r="CDE29" s="64"/>
      <c r="CDF29" s="64"/>
      <c r="CDG29" s="64"/>
      <c r="CDH29" s="33"/>
      <c r="CDI29" s="137"/>
      <c r="CDJ29" s="33"/>
      <c r="CDK29" s="33"/>
      <c r="CDL29" s="33"/>
      <c r="CDM29" s="33"/>
      <c r="CDN29" s="33"/>
      <c r="CDO29" s="74"/>
      <c r="CDP29" s="33"/>
      <c r="CDQ29" s="33"/>
      <c r="CDR29" s="33"/>
      <c r="CDS29" s="33"/>
      <c r="CDT29" s="33"/>
      <c r="CDU29" s="137"/>
      <c r="CDV29" s="33"/>
      <c r="CDW29" s="33"/>
      <c r="CDX29" s="33"/>
      <c r="CDY29" s="33"/>
      <c r="CDZ29" s="33"/>
      <c r="CEA29" s="74"/>
      <c r="CEB29" s="33"/>
      <c r="CEC29" s="33"/>
      <c r="CED29" s="33"/>
      <c r="CEE29" s="33"/>
      <c r="CEF29" s="33"/>
      <c r="CEG29" s="34"/>
      <c r="CEH29" s="32"/>
      <c r="CEI29" s="64"/>
      <c r="CEJ29" s="64"/>
      <c r="CEK29" s="64"/>
      <c r="CEL29" s="33"/>
      <c r="CEM29" s="132"/>
      <c r="CEN29" s="33"/>
      <c r="CEO29" s="33"/>
      <c r="CEP29" s="33"/>
      <c r="CEQ29" s="33"/>
      <c r="CER29" s="33"/>
      <c r="CES29" s="137"/>
      <c r="CET29" s="33"/>
      <c r="CEU29" s="33"/>
      <c r="CEV29" s="33"/>
      <c r="CEW29" s="33"/>
      <c r="CEX29" s="33"/>
      <c r="CEY29" s="74"/>
      <c r="CEZ29" s="33"/>
      <c r="CFA29" s="33"/>
      <c r="CFB29" s="33"/>
      <c r="CFC29" s="33"/>
      <c r="CFD29" s="33"/>
      <c r="CFE29" s="137"/>
      <c r="CFF29" s="33"/>
      <c r="CFG29" s="33"/>
      <c r="CFH29" s="33"/>
      <c r="CFI29" s="33"/>
      <c r="CFJ29" s="33"/>
      <c r="CFK29" s="74"/>
      <c r="CFL29" s="64"/>
      <c r="CFM29" s="64"/>
      <c r="CFN29" s="64"/>
      <c r="CFO29" s="64"/>
      <c r="CFP29" s="33"/>
      <c r="CFQ29" s="137"/>
      <c r="CFR29" s="33"/>
      <c r="CFS29" s="33"/>
      <c r="CFT29" s="33"/>
      <c r="CFU29" s="33"/>
      <c r="CFV29" s="33"/>
      <c r="CFW29" s="74"/>
      <c r="CFX29" s="33"/>
      <c r="CFY29" s="33"/>
      <c r="CFZ29" s="33"/>
      <c r="CGA29" s="33"/>
      <c r="CGB29" s="33"/>
      <c r="CGC29" s="137"/>
      <c r="CGD29" s="33"/>
      <c r="CGE29" s="33"/>
      <c r="CGF29" s="33"/>
      <c r="CGG29" s="33"/>
      <c r="CGH29" s="33"/>
      <c r="CGI29" s="74"/>
      <c r="CGJ29" s="33"/>
      <c r="CGK29" s="33"/>
      <c r="CGL29" s="33"/>
      <c r="CGM29" s="33"/>
      <c r="CGN29" s="33"/>
      <c r="CGO29" s="34"/>
      <c r="CGP29" s="32"/>
      <c r="CGQ29" s="64"/>
      <c r="CGR29" s="64"/>
      <c r="CGS29" s="64"/>
      <c r="CGT29" s="33"/>
      <c r="CGU29" s="132"/>
      <c r="CGV29" s="33"/>
      <c r="CGW29" s="33"/>
      <c r="CGX29" s="33"/>
      <c r="CGY29" s="33"/>
      <c r="CGZ29" s="33"/>
      <c r="CHA29" s="137"/>
      <c r="CHB29" s="33"/>
      <c r="CHC29" s="33"/>
      <c r="CHD29" s="33"/>
      <c r="CHE29" s="33"/>
      <c r="CHF29" s="33"/>
      <c r="CHG29" s="74"/>
      <c r="CHH29" s="33"/>
      <c r="CHI29" s="33"/>
      <c r="CHJ29" s="33"/>
      <c r="CHK29" s="33"/>
      <c r="CHL29" s="33"/>
      <c r="CHM29" s="137"/>
      <c r="CHN29" s="33"/>
      <c r="CHO29" s="33"/>
      <c r="CHP29" s="33"/>
      <c r="CHQ29" s="33"/>
      <c r="CHR29" s="33"/>
      <c r="CHS29" s="74"/>
      <c r="CHT29" s="64"/>
      <c r="CHU29" s="64"/>
      <c r="CHV29" s="64"/>
      <c r="CHW29" s="64"/>
      <c r="CHX29" s="33"/>
      <c r="CHY29" s="137"/>
      <c r="CHZ29" s="33"/>
      <c r="CIA29" s="33"/>
      <c r="CIB29" s="33"/>
      <c r="CIC29" s="33"/>
      <c r="CID29" s="33"/>
      <c r="CIE29" s="74"/>
      <c r="CIF29" s="33"/>
      <c r="CIG29" s="33"/>
      <c r="CIH29" s="33"/>
      <c r="CII29" s="33"/>
      <c r="CIJ29" s="33"/>
      <c r="CIK29" s="137"/>
      <c r="CIL29" s="33"/>
      <c r="CIM29" s="33"/>
      <c r="CIN29" s="33"/>
      <c r="CIO29" s="33"/>
      <c r="CIP29" s="33"/>
      <c r="CIQ29" s="74"/>
      <c r="CIR29" s="33"/>
      <c r="CIS29" s="33"/>
      <c r="CIT29" s="33"/>
      <c r="CIU29" s="33"/>
      <c r="CIV29" s="33"/>
      <c r="CIW29" s="34"/>
      <c r="CIX29" s="32"/>
      <c r="CIY29" s="64"/>
      <c r="CIZ29" s="64"/>
      <c r="CJA29" s="64"/>
      <c r="CJB29" s="33"/>
      <c r="CJC29" s="132"/>
      <c r="CJD29" s="33"/>
      <c r="CJE29" s="33"/>
      <c r="CJF29" s="33"/>
      <c r="CJG29" s="33"/>
      <c r="CJH29" s="33"/>
      <c r="CJI29" s="137"/>
      <c r="CJJ29" s="33"/>
      <c r="CJK29" s="33"/>
      <c r="CJL29" s="33"/>
      <c r="CJM29" s="33"/>
      <c r="CJN29" s="33"/>
      <c r="CJO29" s="74"/>
      <c r="CJP29" s="33"/>
      <c r="CJQ29" s="33"/>
      <c r="CJR29" s="33"/>
      <c r="CJS29" s="33"/>
      <c r="CJT29" s="33"/>
      <c r="CJU29" s="137"/>
      <c r="CJV29" s="33"/>
      <c r="CJW29" s="33"/>
      <c r="CJX29" s="33"/>
      <c r="CJY29" s="33"/>
      <c r="CJZ29" s="33"/>
      <c r="CKA29" s="74"/>
      <c r="CKB29" s="64"/>
      <c r="CKC29" s="64"/>
      <c r="CKD29" s="64"/>
      <c r="CKE29" s="64"/>
      <c r="CKF29" s="33"/>
      <c r="CKG29" s="137"/>
      <c r="CKH29" s="33"/>
      <c r="CKI29" s="33"/>
      <c r="CKJ29" s="33"/>
      <c r="CKK29" s="33"/>
      <c r="CKL29" s="33"/>
      <c r="CKM29" s="74"/>
      <c r="CKN29" s="33"/>
      <c r="CKO29" s="33"/>
      <c r="CKP29" s="33"/>
      <c r="CKQ29" s="33"/>
      <c r="CKR29" s="33"/>
      <c r="CKS29" s="137"/>
      <c r="CKT29" s="33"/>
      <c r="CKU29" s="33"/>
      <c r="CKV29" s="33"/>
      <c r="CKW29" s="33"/>
      <c r="CKX29" s="33"/>
      <c r="CKY29" s="74"/>
      <c r="CKZ29" s="33"/>
      <c r="CLA29" s="33"/>
      <c r="CLB29" s="33"/>
      <c r="CLC29" s="33"/>
      <c r="CLD29" s="33"/>
      <c r="CLE29" s="34"/>
      <c r="CLF29" s="32"/>
      <c r="CLG29" s="64"/>
      <c r="CLH29" s="64"/>
      <c r="CLI29" s="64"/>
      <c r="CLJ29" s="33"/>
      <c r="CLK29" s="132"/>
      <c r="CLL29" s="33"/>
      <c r="CLM29" s="33"/>
      <c r="CLN29" s="33"/>
      <c r="CLO29" s="33"/>
      <c r="CLP29" s="33"/>
      <c r="CLQ29" s="137"/>
      <c r="CLR29" s="33"/>
      <c r="CLS29" s="33"/>
      <c r="CLT29" s="33"/>
      <c r="CLU29" s="33"/>
      <c r="CLV29" s="33"/>
      <c r="CLW29" s="74"/>
      <c r="CLX29" s="33"/>
      <c r="CLY29" s="33"/>
      <c r="CLZ29" s="33"/>
      <c r="CMA29" s="33"/>
      <c r="CMB29" s="33"/>
      <c r="CMC29" s="137"/>
      <c r="CMD29" s="33"/>
      <c r="CME29" s="33"/>
      <c r="CMF29" s="33"/>
      <c r="CMG29" s="33"/>
      <c r="CMH29" s="33"/>
      <c r="CMI29" s="74"/>
      <c r="CMJ29" s="64"/>
      <c r="CMK29" s="64"/>
      <c r="CML29" s="64"/>
      <c r="CMM29" s="64"/>
      <c r="CMN29" s="33"/>
      <c r="CMO29" s="137"/>
      <c r="CMP29" s="33"/>
      <c r="CMQ29" s="33"/>
      <c r="CMR29" s="33"/>
      <c r="CMS29" s="33"/>
      <c r="CMT29" s="33"/>
      <c r="CMU29" s="74"/>
      <c r="CMV29" s="33"/>
      <c r="CMW29" s="33"/>
      <c r="CMX29" s="33"/>
      <c r="CMY29" s="33"/>
      <c r="CMZ29" s="33"/>
      <c r="CNA29" s="137"/>
      <c r="CNB29" s="33"/>
      <c r="CNC29" s="33"/>
      <c r="CND29" s="33"/>
      <c r="CNE29" s="33"/>
      <c r="CNF29" s="33"/>
      <c r="CNG29" s="74"/>
      <c r="CNH29" s="33"/>
      <c r="CNI29" s="33"/>
      <c r="CNJ29" s="33"/>
      <c r="CNK29" s="33"/>
      <c r="CNL29" s="33"/>
      <c r="CNM29" s="34"/>
      <c r="CNN29" s="32"/>
      <c r="CNO29" s="64"/>
      <c r="CNP29" s="64"/>
      <c r="CNQ29" s="64"/>
      <c r="CNR29" s="33"/>
      <c r="CNS29" s="132"/>
      <c r="CNT29" s="33"/>
      <c r="CNU29" s="33"/>
      <c r="CNV29" s="33"/>
      <c r="CNW29" s="33"/>
      <c r="CNX29" s="33"/>
      <c r="CNY29" s="137"/>
      <c r="CNZ29" s="33"/>
      <c r="COA29" s="33"/>
      <c r="COB29" s="33"/>
      <c r="COC29" s="33"/>
      <c r="COD29" s="33"/>
      <c r="COE29" s="74"/>
      <c r="COF29" s="33"/>
      <c r="COG29" s="33"/>
      <c r="COH29" s="33"/>
      <c r="COI29" s="33"/>
      <c r="COJ29" s="33"/>
      <c r="COK29" s="137"/>
      <c r="COL29" s="33"/>
      <c r="COM29" s="33"/>
      <c r="CON29" s="33"/>
      <c r="COO29" s="33"/>
      <c r="COP29" s="33"/>
      <c r="COQ29" s="74"/>
      <c r="COR29" s="64"/>
      <c r="COS29" s="64"/>
      <c r="COT29" s="64"/>
      <c r="COU29" s="64"/>
      <c r="COV29" s="33"/>
      <c r="COW29" s="137"/>
      <c r="COX29" s="33"/>
      <c r="COY29" s="33"/>
      <c r="COZ29" s="33"/>
      <c r="CPA29" s="33"/>
      <c r="CPB29" s="33"/>
      <c r="CPC29" s="74"/>
      <c r="CPD29" s="33"/>
      <c r="CPE29" s="33"/>
      <c r="CPF29" s="33"/>
      <c r="CPG29" s="33"/>
      <c r="CPH29" s="33"/>
      <c r="CPI29" s="137"/>
      <c r="CPJ29" s="33"/>
      <c r="CPK29" s="33"/>
      <c r="CPL29" s="33"/>
      <c r="CPM29" s="33"/>
      <c r="CPN29" s="33"/>
      <c r="CPO29" s="74"/>
      <c r="CPP29" s="33"/>
      <c r="CPQ29" s="33"/>
      <c r="CPR29" s="33"/>
      <c r="CPS29" s="33"/>
      <c r="CPT29" s="33"/>
      <c r="CPU29" s="34"/>
      <c r="CPV29" s="32"/>
      <c r="CPW29" s="64"/>
      <c r="CPX29" s="64"/>
      <c r="CPY29" s="64"/>
      <c r="CPZ29" s="33"/>
      <c r="CQA29" s="132"/>
      <c r="CQB29" s="33"/>
      <c r="CQC29" s="33"/>
      <c r="CQD29" s="33"/>
      <c r="CQE29" s="33"/>
      <c r="CQF29" s="33"/>
      <c r="CQG29" s="137"/>
      <c r="CQH29" s="33"/>
      <c r="CQI29" s="33"/>
      <c r="CQJ29" s="33"/>
      <c r="CQK29" s="33"/>
      <c r="CQL29" s="33"/>
      <c r="CQM29" s="74"/>
      <c r="CQN29" s="33"/>
      <c r="CQO29" s="33"/>
      <c r="CQP29" s="33"/>
      <c r="CQQ29" s="33"/>
      <c r="CQR29" s="33"/>
      <c r="CQS29" s="137"/>
      <c r="CQT29" s="33"/>
      <c r="CQU29" s="33"/>
      <c r="CQV29" s="33"/>
      <c r="CQW29" s="33"/>
      <c r="CQX29" s="33"/>
      <c r="CQY29" s="74"/>
      <c r="CQZ29" s="64"/>
      <c r="CRA29" s="64"/>
      <c r="CRB29" s="64"/>
      <c r="CRC29" s="64"/>
      <c r="CRD29" s="33"/>
      <c r="CRE29" s="137"/>
      <c r="CRF29" s="33"/>
      <c r="CRG29" s="33"/>
      <c r="CRH29" s="33"/>
      <c r="CRI29" s="33"/>
      <c r="CRJ29" s="33"/>
      <c r="CRK29" s="74"/>
      <c r="CRL29" s="33"/>
      <c r="CRM29" s="33"/>
      <c r="CRN29" s="33"/>
      <c r="CRO29" s="33"/>
      <c r="CRP29" s="33"/>
      <c r="CRQ29" s="137"/>
      <c r="CRR29" s="33"/>
      <c r="CRS29" s="33"/>
      <c r="CRT29" s="33"/>
      <c r="CRU29" s="33"/>
      <c r="CRV29" s="33"/>
      <c r="CRW29" s="74"/>
      <c r="CRX29" s="33"/>
      <c r="CRY29" s="33"/>
      <c r="CRZ29" s="33"/>
      <c r="CSA29" s="33"/>
      <c r="CSB29" s="33"/>
      <c r="CSC29" s="34"/>
      <c r="CSD29" s="90"/>
    </row>
    <row r="30" spans="1:2526" ht="20.100000000000001" customHeight="1" x14ac:dyDescent="0.3">
      <c r="A30" s="100" t="s">
        <v>19</v>
      </c>
      <c r="B30" s="63" t="str">
        <f>IF(LEN(C45)=0,"",C45)</f>
        <v>Réalisation - Extraire les données en fichier Excel</v>
      </c>
      <c r="C30" s="213"/>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36"/>
      <c r="BLW30" s="65"/>
      <c r="BLX30" s="65"/>
      <c r="BLY30" s="65"/>
      <c r="BLZ30" s="37"/>
      <c r="BMA30" s="133"/>
      <c r="BMB30" s="37"/>
      <c r="BMC30" s="37"/>
      <c r="BMD30" s="37"/>
      <c r="BME30" s="37"/>
      <c r="BMF30" s="37"/>
      <c r="BMG30" s="138"/>
      <c r="BMH30" s="37"/>
      <c r="BMI30" s="37"/>
      <c r="BMJ30" s="37"/>
      <c r="BMK30" s="37"/>
      <c r="BML30" s="37"/>
      <c r="BMM30" s="75"/>
      <c r="BMN30" s="37"/>
      <c r="BMO30" s="37"/>
      <c r="BMP30" s="37"/>
      <c r="BMQ30" s="37"/>
      <c r="BMR30" s="37"/>
      <c r="BMS30" s="138"/>
      <c r="BMT30" s="37"/>
      <c r="BMU30" s="37"/>
      <c r="BMV30" s="37"/>
      <c r="BMW30" s="37"/>
      <c r="BMX30" s="37"/>
      <c r="BMY30" s="75"/>
      <c r="BMZ30" s="65"/>
      <c r="BNA30" s="65"/>
      <c r="BNB30" s="65"/>
      <c r="BNC30" s="65"/>
      <c r="BND30" s="37"/>
      <c r="BNE30" s="138"/>
      <c r="BNF30" s="37"/>
      <c r="BNG30" s="37"/>
      <c r="BNH30" s="37"/>
      <c r="BNI30" s="37"/>
      <c r="BNJ30" s="37"/>
      <c r="BNK30" s="75"/>
      <c r="BNL30" s="37"/>
      <c r="BNM30" s="37"/>
      <c r="BNN30" s="37"/>
      <c r="BNO30" s="37"/>
      <c r="BNP30" s="37"/>
      <c r="BNQ30" s="138"/>
      <c r="BNR30" s="37"/>
      <c r="BNS30" s="37"/>
      <c r="BNT30" s="37"/>
      <c r="BNU30" s="37"/>
      <c r="BNV30" s="37"/>
      <c r="BNW30" s="75"/>
      <c r="BNX30" s="37"/>
      <c r="BNY30" s="37"/>
      <c r="BNZ30" s="37"/>
      <c r="BOA30" s="37"/>
      <c r="BOB30" s="37"/>
      <c r="BOC30" s="38"/>
      <c r="BOD30" s="36"/>
      <c r="BOE30" s="65"/>
      <c r="BOF30" s="65"/>
      <c r="BOG30" s="65"/>
      <c r="BOH30" s="37"/>
      <c r="BOI30" s="133"/>
      <c r="BOJ30" s="37"/>
      <c r="BOK30" s="37"/>
      <c r="BOL30" s="37"/>
      <c r="BOM30" s="37"/>
      <c r="BON30" s="37"/>
      <c r="BOO30" s="138"/>
      <c r="BOP30" s="37"/>
      <c r="BOQ30" s="37"/>
      <c r="BOR30" s="37"/>
      <c r="BOS30" s="37"/>
      <c r="BOT30" s="37"/>
      <c r="BOU30" s="75"/>
      <c r="BOV30" s="37"/>
      <c r="BOW30" s="37"/>
      <c r="BOX30" s="37"/>
      <c r="BOY30" s="37"/>
      <c r="BOZ30" s="37"/>
      <c r="BPA30" s="138"/>
      <c r="BPB30" s="37"/>
      <c r="BPC30" s="37"/>
      <c r="BPD30" s="37"/>
      <c r="BPE30" s="37"/>
      <c r="BPF30" s="37"/>
      <c r="BPG30" s="75"/>
      <c r="BPH30" s="65"/>
      <c r="BPI30" s="65"/>
      <c r="BPJ30" s="65"/>
      <c r="BPK30" s="65"/>
      <c r="BPL30" s="37"/>
      <c r="BPM30" s="138"/>
      <c r="BPN30" s="37"/>
      <c r="BPO30" s="37"/>
      <c r="BPP30" s="37"/>
      <c r="BPQ30" s="37"/>
      <c r="BPR30" s="37"/>
      <c r="BPS30" s="75"/>
      <c r="BPT30" s="37"/>
      <c r="BPU30" s="37"/>
      <c r="BPV30" s="37"/>
      <c r="BPW30" s="37"/>
      <c r="BPX30" s="37"/>
      <c r="BPY30" s="138"/>
      <c r="BPZ30" s="37"/>
      <c r="BQA30" s="37"/>
      <c r="BQB30" s="37"/>
      <c r="BQC30" s="37"/>
      <c r="BQD30" s="37"/>
      <c r="BQE30" s="75"/>
      <c r="BQF30" s="37"/>
      <c r="BQG30" s="37"/>
      <c r="BQH30" s="37"/>
      <c r="BQI30" s="37"/>
      <c r="BQJ30" s="37"/>
      <c r="BQK30" s="38"/>
      <c r="BQL30" s="36"/>
      <c r="BQM30" s="65"/>
      <c r="BQN30" s="65"/>
      <c r="BQO30" s="65"/>
      <c r="BQP30" s="37"/>
      <c r="BQQ30" s="133"/>
      <c r="BQR30" s="37"/>
      <c r="BQS30" s="37"/>
      <c r="BQT30" s="37"/>
      <c r="BQU30" s="37"/>
      <c r="BQV30" s="37"/>
      <c r="BQW30" s="138"/>
      <c r="BQX30" s="37"/>
      <c r="BQY30" s="37"/>
      <c r="BQZ30" s="37"/>
      <c r="BRA30" s="37"/>
      <c r="BRB30" s="37"/>
      <c r="BRC30" s="75"/>
      <c r="BRD30" s="37"/>
      <c r="BRE30" s="37"/>
      <c r="BRF30" s="37"/>
      <c r="BRG30" s="37"/>
      <c r="BRH30" s="37"/>
      <c r="BRI30" s="138"/>
      <c r="BRJ30" s="37"/>
      <c r="BRK30" s="37"/>
      <c r="BRL30" s="37"/>
      <c r="BRM30" s="37"/>
      <c r="BRN30" s="37"/>
      <c r="BRO30" s="75"/>
      <c r="BRP30" s="65"/>
      <c r="BRQ30" s="65"/>
      <c r="BRR30" s="65"/>
      <c r="BRS30" s="65"/>
      <c r="BRT30" s="37"/>
      <c r="BRU30" s="138"/>
      <c r="BRV30" s="37"/>
      <c r="BRW30" s="37"/>
      <c r="BRX30" s="37"/>
      <c r="BRY30" s="37"/>
      <c r="BRZ30" s="37"/>
      <c r="BSA30" s="75"/>
      <c r="BSB30" s="37"/>
      <c r="BSC30" s="37"/>
      <c r="BSD30" s="37"/>
      <c r="BSE30" s="37"/>
      <c r="BSF30" s="37"/>
      <c r="BSG30" s="138"/>
      <c r="BSH30" s="37"/>
      <c r="BSI30" s="37"/>
      <c r="BSJ30" s="37"/>
      <c r="BSK30" s="37"/>
      <c r="BSL30" s="37"/>
      <c r="BSM30" s="75"/>
      <c r="BSN30" s="37"/>
      <c r="BSO30" s="37"/>
      <c r="BSP30" s="37"/>
      <c r="BSQ30" s="37"/>
      <c r="BSR30" s="37"/>
      <c r="BSS30" s="38"/>
      <c r="BST30" s="36"/>
      <c r="BSU30" s="65"/>
      <c r="BSV30" s="65"/>
      <c r="BSW30" s="65"/>
      <c r="BSX30" s="37"/>
      <c r="BSY30" s="133"/>
      <c r="BSZ30" s="37"/>
      <c r="BTA30" s="37"/>
      <c r="BTB30" s="37"/>
      <c r="BTC30" s="37"/>
      <c r="BTD30" s="37"/>
      <c r="BTE30" s="138"/>
      <c r="BTF30" s="37"/>
      <c r="BTG30" s="37"/>
      <c r="BTH30" s="37"/>
      <c r="BTI30" s="37"/>
      <c r="BTJ30" s="37"/>
      <c r="BTK30" s="75"/>
      <c r="BTL30" s="37"/>
      <c r="BTM30" s="37"/>
      <c r="BTN30" s="37"/>
      <c r="BTO30" s="37"/>
      <c r="BTP30" s="37"/>
      <c r="BTQ30" s="138"/>
      <c r="BTR30" s="37"/>
      <c r="BTS30" s="37"/>
      <c r="BTT30" s="37"/>
      <c r="BTU30" s="37"/>
      <c r="BTV30" s="37"/>
      <c r="BTW30" s="75"/>
      <c r="BTX30" s="65"/>
      <c r="BTY30" s="65"/>
      <c r="BTZ30" s="65"/>
      <c r="BUA30" s="65"/>
      <c r="BUB30" s="37"/>
      <c r="BUC30" s="138"/>
      <c r="BUD30" s="37"/>
      <c r="BUE30" s="37"/>
      <c r="BUF30" s="37"/>
      <c r="BUG30" s="37"/>
      <c r="BUH30" s="37"/>
      <c r="BUI30" s="75"/>
      <c r="BUJ30" s="37"/>
      <c r="BUK30" s="37"/>
      <c r="BUL30" s="37"/>
      <c r="BUM30" s="37"/>
      <c r="BUN30" s="37"/>
      <c r="BUO30" s="138"/>
      <c r="BUP30" s="37"/>
      <c r="BUQ30" s="37"/>
      <c r="BUR30" s="37"/>
      <c r="BUS30" s="37"/>
      <c r="BUT30" s="37"/>
      <c r="BUU30" s="75"/>
      <c r="BUV30" s="37"/>
      <c r="BUW30" s="37"/>
      <c r="BUX30" s="37"/>
      <c r="BUY30" s="37"/>
      <c r="BUZ30" s="37"/>
      <c r="BVA30" s="38"/>
      <c r="BVB30" s="36"/>
      <c r="BVC30" s="65"/>
      <c r="BVD30" s="65"/>
      <c r="BVE30" s="65"/>
      <c r="BVF30" s="37"/>
      <c r="BVG30" s="133"/>
      <c r="BVH30" s="37"/>
      <c r="BVI30" s="37"/>
      <c r="BVJ30" s="37"/>
      <c r="BVK30" s="37"/>
      <c r="BVL30" s="37"/>
      <c r="BVM30" s="138"/>
      <c r="BVN30" s="37"/>
      <c r="BVO30" s="37"/>
      <c r="BVP30" s="37"/>
      <c r="BVQ30" s="37"/>
      <c r="BVR30" s="37"/>
      <c r="BVS30" s="75"/>
      <c r="BVT30" s="37"/>
      <c r="BVU30" s="37"/>
      <c r="BVV30" s="37"/>
      <c r="BVW30" s="37"/>
      <c r="BVX30" s="37"/>
      <c r="BVY30" s="138"/>
      <c r="BVZ30" s="37"/>
      <c r="BWA30" s="37"/>
      <c r="BWB30" s="37"/>
      <c r="BWC30" s="37"/>
      <c r="BWD30" s="37"/>
      <c r="BWE30" s="75"/>
      <c r="BWF30" s="65"/>
      <c r="BWG30" s="65"/>
      <c r="BWH30" s="65"/>
      <c r="BWI30" s="65"/>
      <c r="BWJ30" s="37"/>
      <c r="BWK30" s="138"/>
      <c r="BWL30" s="37"/>
      <c r="BWM30" s="37"/>
      <c r="BWN30" s="37"/>
      <c r="BWO30" s="37"/>
      <c r="BWP30" s="37"/>
      <c r="BWQ30" s="75"/>
      <c r="BWR30" s="37"/>
      <c r="BWS30" s="37"/>
      <c r="BWT30" s="37"/>
      <c r="BWU30" s="37"/>
      <c r="BWV30" s="37"/>
      <c r="BWW30" s="138"/>
      <c r="BWX30" s="37"/>
      <c r="BWY30" s="37"/>
      <c r="BWZ30" s="37"/>
      <c r="BXA30" s="37"/>
      <c r="BXB30" s="37"/>
      <c r="BXC30" s="75"/>
      <c r="BXD30" s="37"/>
      <c r="BXE30" s="37"/>
      <c r="BXF30" s="37"/>
      <c r="BXG30" s="37"/>
      <c r="BXH30" s="37"/>
      <c r="BXI30" s="38"/>
      <c r="BXJ30" s="36"/>
      <c r="BXK30" s="65"/>
      <c r="BXL30" s="65"/>
      <c r="BXM30" s="65"/>
      <c r="BXN30" s="37"/>
      <c r="BXO30" s="133"/>
      <c r="BXP30" s="37"/>
      <c r="BXQ30" s="37"/>
      <c r="BXR30" s="37"/>
      <c r="BXS30" s="37"/>
      <c r="BXT30" s="37"/>
      <c r="BXU30" s="138"/>
      <c r="BXV30" s="37"/>
      <c r="BXW30" s="37"/>
      <c r="BXX30" s="37"/>
      <c r="BXY30" s="37"/>
      <c r="BXZ30" s="37"/>
      <c r="BYA30" s="75"/>
      <c r="BYB30" s="37"/>
      <c r="BYC30" s="37"/>
      <c r="BYD30" s="37"/>
      <c r="BYE30" s="37"/>
      <c r="BYF30" s="37"/>
      <c r="BYG30" s="138"/>
      <c r="BYH30" s="37"/>
      <c r="BYI30" s="37"/>
      <c r="BYJ30" s="37"/>
      <c r="BYK30" s="37"/>
      <c r="BYL30" s="37"/>
      <c r="BYM30" s="75"/>
      <c r="BYN30" s="65"/>
      <c r="BYO30" s="65"/>
      <c r="BYP30" s="65"/>
      <c r="BYQ30" s="65"/>
      <c r="BYR30" s="37"/>
      <c r="BYS30" s="138"/>
      <c r="BYT30" s="37"/>
      <c r="BYU30" s="37"/>
      <c r="BYV30" s="37"/>
      <c r="BYW30" s="37"/>
      <c r="BYX30" s="37"/>
      <c r="BYY30" s="75"/>
      <c r="BYZ30" s="37"/>
      <c r="BZA30" s="37"/>
      <c r="BZB30" s="37"/>
      <c r="BZC30" s="37"/>
      <c r="BZD30" s="37"/>
      <c r="BZE30" s="138"/>
      <c r="BZF30" s="37"/>
      <c r="BZG30" s="37"/>
      <c r="BZH30" s="37"/>
      <c r="BZI30" s="37"/>
      <c r="BZJ30" s="37"/>
      <c r="BZK30" s="75"/>
      <c r="BZL30" s="37"/>
      <c r="BZM30" s="37"/>
      <c r="BZN30" s="37"/>
      <c r="BZO30" s="37"/>
      <c r="BZP30" s="37"/>
      <c r="BZQ30" s="38"/>
      <c r="BZR30" s="36"/>
      <c r="BZS30" s="65"/>
      <c r="BZT30" s="65"/>
      <c r="BZU30" s="65"/>
      <c r="BZV30" s="37"/>
      <c r="BZW30" s="133"/>
      <c r="BZX30" s="37"/>
      <c r="BZY30" s="37"/>
      <c r="BZZ30" s="37"/>
      <c r="CAA30" s="37"/>
      <c r="CAB30" s="37"/>
      <c r="CAC30" s="138"/>
      <c r="CAD30" s="37"/>
      <c r="CAE30" s="37"/>
      <c r="CAF30" s="37"/>
      <c r="CAG30" s="37"/>
      <c r="CAH30" s="37"/>
      <c r="CAI30" s="75"/>
      <c r="CAJ30" s="37"/>
      <c r="CAK30" s="37"/>
      <c r="CAL30" s="37"/>
      <c r="CAM30" s="37"/>
      <c r="CAN30" s="37"/>
      <c r="CAO30" s="138"/>
      <c r="CAP30" s="37"/>
      <c r="CAQ30" s="37"/>
      <c r="CAR30" s="37"/>
      <c r="CAS30" s="37"/>
      <c r="CAT30" s="37"/>
      <c r="CAU30" s="75"/>
      <c r="CAV30" s="65"/>
      <c r="CAW30" s="65"/>
      <c r="CAX30" s="65"/>
      <c r="CAY30" s="65"/>
      <c r="CAZ30" s="37"/>
      <c r="CBA30" s="138"/>
      <c r="CBB30" s="37"/>
      <c r="CBC30" s="37"/>
      <c r="CBD30" s="37"/>
      <c r="CBE30" s="37"/>
      <c r="CBF30" s="37"/>
      <c r="CBG30" s="75"/>
      <c r="CBH30" s="37"/>
      <c r="CBI30" s="37"/>
      <c r="CBJ30" s="37"/>
      <c r="CBK30" s="37"/>
      <c r="CBL30" s="37"/>
      <c r="CBM30" s="138"/>
      <c r="CBN30" s="37"/>
      <c r="CBO30" s="37"/>
      <c r="CBP30" s="37"/>
      <c r="CBQ30" s="37"/>
      <c r="CBR30" s="37"/>
      <c r="CBS30" s="75"/>
      <c r="CBT30" s="37"/>
      <c r="CBU30" s="37"/>
      <c r="CBV30" s="37"/>
      <c r="CBW30" s="37"/>
      <c r="CBX30" s="37"/>
      <c r="CBY30" s="38"/>
      <c r="CBZ30" s="36"/>
      <c r="CCA30" s="65"/>
      <c r="CCB30" s="65"/>
      <c r="CCC30" s="65"/>
      <c r="CCD30" s="37"/>
      <c r="CCE30" s="133"/>
      <c r="CCF30" s="37"/>
      <c r="CCG30" s="37"/>
      <c r="CCH30" s="37"/>
      <c r="CCI30" s="37"/>
      <c r="CCJ30" s="37"/>
      <c r="CCK30" s="138"/>
      <c r="CCL30" s="37"/>
      <c r="CCM30" s="37"/>
      <c r="CCN30" s="37"/>
      <c r="CCO30" s="37"/>
      <c r="CCP30" s="37"/>
      <c r="CCQ30" s="75"/>
      <c r="CCR30" s="37"/>
      <c r="CCS30" s="37"/>
      <c r="CCT30" s="37"/>
      <c r="CCU30" s="37"/>
      <c r="CCV30" s="37"/>
      <c r="CCW30" s="138"/>
      <c r="CCX30" s="37"/>
      <c r="CCY30" s="37"/>
      <c r="CCZ30" s="37"/>
      <c r="CDA30" s="37"/>
      <c r="CDB30" s="37"/>
      <c r="CDC30" s="75"/>
      <c r="CDD30" s="65"/>
      <c r="CDE30" s="65"/>
      <c r="CDF30" s="65"/>
      <c r="CDG30" s="65"/>
      <c r="CDH30" s="37"/>
      <c r="CDI30" s="138"/>
      <c r="CDJ30" s="37"/>
      <c r="CDK30" s="37"/>
      <c r="CDL30" s="37"/>
      <c r="CDM30" s="37"/>
      <c r="CDN30" s="37"/>
      <c r="CDO30" s="75"/>
      <c r="CDP30" s="37"/>
      <c r="CDQ30" s="37"/>
      <c r="CDR30" s="37"/>
      <c r="CDS30" s="37"/>
      <c r="CDT30" s="37"/>
      <c r="CDU30" s="138"/>
      <c r="CDV30" s="37"/>
      <c r="CDW30" s="37"/>
      <c r="CDX30" s="37"/>
      <c r="CDY30" s="37"/>
      <c r="CDZ30" s="37"/>
      <c r="CEA30" s="75"/>
      <c r="CEB30" s="37"/>
      <c r="CEC30" s="37"/>
      <c r="CED30" s="37"/>
      <c r="CEE30" s="37"/>
      <c r="CEF30" s="37"/>
      <c r="CEG30" s="38"/>
      <c r="CEH30" s="36"/>
      <c r="CEI30" s="65"/>
      <c r="CEJ30" s="65"/>
      <c r="CEK30" s="65"/>
      <c r="CEL30" s="37"/>
      <c r="CEM30" s="133"/>
      <c r="CEN30" s="37"/>
      <c r="CEO30" s="37"/>
      <c r="CEP30" s="37"/>
      <c r="CEQ30" s="37"/>
      <c r="CER30" s="37"/>
      <c r="CES30" s="138"/>
      <c r="CET30" s="37"/>
      <c r="CEU30" s="37"/>
      <c r="CEV30" s="37"/>
      <c r="CEW30" s="37"/>
      <c r="CEX30" s="37"/>
      <c r="CEY30" s="75"/>
      <c r="CEZ30" s="37"/>
      <c r="CFA30" s="37"/>
      <c r="CFB30" s="37"/>
      <c r="CFC30" s="37"/>
      <c r="CFD30" s="37"/>
      <c r="CFE30" s="138"/>
      <c r="CFF30" s="37"/>
      <c r="CFG30" s="37"/>
      <c r="CFH30" s="37"/>
      <c r="CFI30" s="37"/>
      <c r="CFJ30" s="37"/>
      <c r="CFK30" s="75"/>
      <c r="CFL30" s="65"/>
      <c r="CFM30" s="65"/>
      <c r="CFN30" s="65"/>
      <c r="CFO30" s="65"/>
      <c r="CFP30" s="37"/>
      <c r="CFQ30" s="138"/>
      <c r="CFR30" s="37"/>
      <c r="CFS30" s="37"/>
      <c r="CFT30" s="37"/>
      <c r="CFU30" s="37"/>
      <c r="CFV30" s="37"/>
      <c r="CFW30" s="75"/>
      <c r="CFX30" s="37"/>
      <c r="CFY30" s="37"/>
      <c r="CFZ30" s="37"/>
      <c r="CGA30" s="37"/>
      <c r="CGB30" s="37"/>
      <c r="CGC30" s="138"/>
      <c r="CGD30" s="37"/>
      <c r="CGE30" s="37"/>
      <c r="CGF30" s="37"/>
      <c r="CGG30" s="37"/>
      <c r="CGH30" s="37"/>
      <c r="CGI30" s="75"/>
      <c r="CGJ30" s="37"/>
      <c r="CGK30" s="37"/>
      <c r="CGL30" s="37"/>
      <c r="CGM30" s="37"/>
      <c r="CGN30" s="37"/>
      <c r="CGO30" s="38"/>
      <c r="CGP30" s="36"/>
      <c r="CGQ30" s="65"/>
      <c r="CGR30" s="65"/>
      <c r="CGS30" s="65"/>
      <c r="CGT30" s="37"/>
      <c r="CGU30" s="133"/>
      <c r="CGV30" s="37"/>
      <c r="CGW30" s="37"/>
      <c r="CGX30" s="37"/>
      <c r="CGY30" s="37"/>
      <c r="CGZ30" s="37"/>
      <c r="CHA30" s="138"/>
      <c r="CHB30" s="37"/>
      <c r="CHC30" s="37"/>
      <c r="CHD30" s="37"/>
      <c r="CHE30" s="37"/>
      <c r="CHF30" s="37"/>
      <c r="CHG30" s="75"/>
      <c r="CHH30" s="37"/>
      <c r="CHI30" s="37"/>
      <c r="CHJ30" s="37"/>
      <c r="CHK30" s="37"/>
      <c r="CHL30" s="37"/>
      <c r="CHM30" s="138"/>
      <c r="CHN30" s="37"/>
      <c r="CHO30" s="37"/>
      <c r="CHP30" s="37"/>
      <c r="CHQ30" s="37"/>
      <c r="CHR30" s="37"/>
      <c r="CHS30" s="75"/>
      <c r="CHT30" s="65"/>
      <c r="CHU30" s="65"/>
      <c r="CHV30" s="65"/>
      <c r="CHW30" s="65"/>
      <c r="CHX30" s="37"/>
      <c r="CHY30" s="138"/>
      <c r="CHZ30" s="37"/>
      <c r="CIA30" s="37"/>
      <c r="CIB30" s="37"/>
      <c r="CIC30" s="37"/>
      <c r="CID30" s="37"/>
      <c r="CIE30" s="75"/>
      <c r="CIF30" s="37"/>
      <c r="CIG30" s="37"/>
      <c r="CIH30" s="37"/>
      <c r="CII30" s="37"/>
      <c r="CIJ30" s="37"/>
      <c r="CIK30" s="138"/>
      <c r="CIL30" s="37"/>
      <c r="CIM30" s="37"/>
      <c r="CIN30" s="37"/>
      <c r="CIO30" s="37"/>
      <c r="CIP30" s="37"/>
      <c r="CIQ30" s="75"/>
      <c r="CIR30" s="37"/>
      <c r="CIS30" s="37"/>
      <c r="CIT30" s="37"/>
      <c r="CIU30" s="37"/>
      <c r="CIV30" s="37"/>
      <c r="CIW30" s="38"/>
      <c r="CIX30" s="36"/>
      <c r="CIY30" s="65"/>
      <c r="CIZ30" s="65"/>
      <c r="CJA30" s="65"/>
      <c r="CJB30" s="37"/>
      <c r="CJC30" s="133"/>
      <c r="CJD30" s="37"/>
      <c r="CJE30" s="37"/>
      <c r="CJF30" s="37"/>
      <c r="CJG30" s="37"/>
      <c r="CJH30" s="37"/>
      <c r="CJI30" s="138"/>
      <c r="CJJ30" s="37"/>
      <c r="CJK30" s="37"/>
      <c r="CJL30" s="37"/>
      <c r="CJM30" s="37"/>
      <c r="CJN30" s="37"/>
      <c r="CJO30" s="75"/>
      <c r="CJP30" s="37"/>
      <c r="CJQ30" s="37"/>
      <c r="CJR30" s="37"/>
      <c r="CJS30" s="37"/>
      <c r="CJT30" s="37"/>
      <c r="CJU30" s="138"/>
      <c r="CJV30" s="37"/>
      <c r="CJW30" s="37"/>
      <c r="CJX30" s="37"/>
      <c r="CJY30" s="37"/>
      <c r="CJZ30" s="37"/>
      <c r="CKA30" s="75"/>
      <c r="CKB30" s="65"/>
      <c r="CKC30" s="65"/>
      <c r="CKD30" s="65"/>
      <c r="CKE30" s="65"/>
      <c r="CKF30" s="37"/>
      <c r="CKG30" s="138"/>
      <c r="CKH30" s="37"/>
      <c r="CKI30" s="37"/>
      <c r="CKJ30" s="37"/>
      <c r="CKK30" s="37"/>
      <c r="CKL30" s="37"/>
      <c r="CKM30" s="75"/>
      <c r="CKN30" s="37"/>
      <c r="CKO30" s="37"/>
      <c r="CKP30" s="37"/>
      <c r="CKQ30" s="37"/>
      <c r="CKR30" s="37"/>
      <c r="CKS30" s="138"/>
      <c r="CKT30" s="37"/>
      <c r="CKU30" s="37"/>
      <c r="CKV30" s="37"/>
      <c r="CKW30" s="37"/>
      <c r="CKX30" s="37"/>
      <c r="CKY30" s="75"/>
      <c r="CKZ30" s="37"/>
      <c r="CLA30" s="37"/>
      <c r="CLB30" s="37"/>
      <c r="CLC30" s="37"/>
      <c r="CLD30" s="37"/>
      <c r="CLE30" s="38"/>
      <c r="CLF30" s="36"/>
      <c r="CLG30" s="65"/>
      <c r="CLH30" s="65"/>
      <c r="CLI30" s="65"/>
      <c r="CLJ30" s="37"/>
      <c r="CLK30" s="133"/>
      <c r="CLL30" s="37"/>
      <c r="CLM30" s="37"/>
      <c r="CLN30" s="37"/>
      <c r="CLO30" s="37"/>
      <c r="CLP30" s="37"/>
      <c r="CLQ30" s="138"/>
      <c r="CLR30" s="37"/>
      <c r="CLS30" s="37"/>
      <c r="CLT30" s="37"/>
      <c r="CLU30" s="37"/>
      <c r="CLV30" s="37"/>
      <c r="CLW30" s="75"/>
      <c r="CLX30" s="37"/>
      <c r="CLY30" s="37"/>
      <c r="CLZ30" s="37"/>
      <c r="CMA30" s="37"/>
      <c r="CMB30" s="37"/>
      <c r="CMC30" s="138"/>
      <c r="CMD30" s="37"/>
      <c r="CME30" s="37"/>
      <c r="CMF30" s="37"/>
      <c r="CMG30" s="37"/>
      <c r="CMH30" s="37"/>
      <c r="CMI30" s="75"/>
      <c r="CMJ30" s="65"/>
      <c r="CMK30" s="65"/>
      <c r="CML30" s="65"/>
      <c r="CMM30" s="65"/>
      <c r="CMN30" s="37"/>
      <c r="CMO30" s="138"/>
      <c r="CMP30" s="37"/>
      <c r="CMQ30" s="37"/>
      <c r="CMR30" s="37"/>
      <c r="CMS30" s="37"/>
      <c r="CMT30" s="37"/>
      <c r="CMU30" s="75"/>
      <c r="CMV30" s="37"/>
      <c r="CMW30" s="37"/>
      <c r="CMX30" s="37"/>
      <c r="CMY30" s="37"/>
      <c r="CMZ30" s="37"/>
      <c r="CNA30" s="138"/>
      <c r="CNB30" s="37"/>
      <c r="CNC30" s="37"/>
      <c r="CND30" s="37"/>
      <c r="CNE30" s="37"/>
      <c r="CNF30" s="37"/>
      <c r="CNG30" s="75"/>
      <c r="CNH30" s="37"/>
      <c r="CNI30" s="37"/>
      <c r="CNJ30" s="37"/>
      <c r="CNK30" s="37"/>
      <c r="CNL30" s="37"/>
      <c r="CNM30" s="38"/>
      <c r="CNN30" s="36"/>
      <c r="CNO30" s="65"/>
      <c r="CNP30" s="65"/>
      <c r="CNQ30" s="65"/>
      <c r="CNR30" s="37"/>
      <c r="CNS30" s="133"/>
      <c r="CNT30" s="37"/>
      <c r="CNU30" s="37"/>
      <c r="CNV30" s="37"/>
      <c r="CNW30" s="37"/>
      <c r="CNX30" s="37"/>
      <c r="CNY30" s="138"/>
      <c r="CNZ30" s="37"/>
      <c r="COA30" s="37"/>
      <c r="COB30" s="37"/>
      <c r="COC30" s="37"/>
      <c r="COD30" s="37"/>
      <c r="COE30" s="75"/>
      <c r="COF30" s="37"/>
      <c r="COG30" s="37"/>
      <c r="COH30" s="37"/>
      <c r="COI30" s="37"/>
      <c r="COJ30" s="37"/>
      <c r="COK30" s="138"/>
      <c r="COL30" s="37"/>
      <c r="COM30" s="37"/>
      <c r="CON30" s="37"/>
      <c r="COO30" s="37"/>
      <c r="COP30" s="37"/>
      <c r="COQ30" s="75"/>
      <c r="COR30" s="65"/>
      <c r="COS30" s="65"/>
      <c r="COT30" s="65"/>
      <c r="COU30" s="65"/>
      <c r="COV30" s="37"/>
      <c r="COW30" s="138"/>
      <c r="COX30" s="37"/>
      <c r="COY30" s="37"/>
      <c r="COZ30" s="37"/>
      <c r="CPA30" s="37"/>
      <c r="CPB30" s="37"/>
      <c r="CPC30" s="75"/>
      <c r="CPD30" s="37"/>
      <c r="CPE30" s="37"/>
      <c r="CPF30" s="37"/>
      <c r="CPG30" s="37"/>
      <c r="CPH30" s="37"/>
      <c r="CPI30" s="138"/>
      <c r="CPJ30" s="37"/>
      <c r="CPK30" s="37"/>
      <c r="CPL30" s="37"/>
      <c r="CPM30" s="37"/>
      <c r="CPN30" s="37"/>
      <c r="CPO30" s="75"/>
      <c r="CPP30" s="37"/>
      <c r="CPQ30" s="37"/>
      <c r="CPR30" s="37"/>
      <c r="CPS30" s="37"/>
      <c r="CPT30" s="37"/>
      <c r="CPU30" s="38"/>
      <c r="CPV30" s="36"/>
      <c r="CPW30" s="65"/>
      <c r="CPX30" s="65"/>
      <c r="CPY30" s="65"/>
      <c r="CPZ30" s="37"/>
      <c r="CQA30" s="133"/>
      <c r="CQB30" s="37"/>
      <c r="CQC30" s="37"/>
      <c r="CQD30" s="37"/>
      <c r="CQE30" s="37"/>
      <c r="CQF30" s="37"/>
      <c r="CQG30" s="138"/>
      <c r="CQH30" s="37"/>
      <c r="CQI30" s="37"/>
      <c r="CQJ30" s="37"/>
      <c r="CQK30" s="37"/>
      <c r="CQL30" s="37"/>
      <c r="CQM30" s="75"/>
      <c r="CQN30" s="37"/>
      <c r="CQO30" s="37"/>
      <c r="CQP30" s="37"/>
      <c r="CQQ30" s="37"/>
      <c r="CQR30" s="37"/>
      <c r="CQS30" s="138"/>
      <c r="CQT30" s="37"/>
      <c r="CQU30" s="37"/>
      <c r="CQV30" s="37"/>
      <c r="CQW30" s="37"/>
      <c r="CQX30" s="37"/>
      <c r="CQY30" s="75"/>
      <c r="CQZ30" s="65"/>
      <c r="CRA30" s="65"/>
      <c r="CRB30" s="65"/>
      <c r="CRC30" s="65"/>
      <c r="CRD30" s="37"/>
      <c r="CRE30" s="138"/>
      <c r="CRF30" s="37"/>
      <c r="CRG30" s="37"/>
      <c r="CRH30" s="37"/>
      <c r="CRI30" s="37"/>
      <c r="CRJ30" s="37"/>
      <c r="CRK30" s="75"/>
      <c r="CRL30" s="37"/>
      <c r="CRM30" s="37"/>
      <c r="CRN30" s="37"/>
      <c r="CRO30" s="37"/>
      <c r="CRP30" s="37"/>
      <c r="CRQ30" s="138"/>
      <c r="CRR30" s="37"/>
      <c r="CRS30" s="37"/>
      <c r="CRT30" s="37"/>
      <c r="CRU30" s="37"/>
      <c r="CRV30" s="37"/>
      <c r="CRW30" s="75"/>
      <c r="CRX30" s="37"/>
      <c r="CRY30" s="37"/>
      <c r="CRZ30" s="37"/>
      <c r="CSA30" s="37"/>
      <c r="CSB30" s="37"/>
      <c r="CSC30" s="38"/>
      <c r="CSD30" s="90"/>
    </row>
    <row r="31" spans="1:2526" ht="20.100000000000001" customHeight="1" x14ac:dyDescent="0.25">
      <c r="A31" s="100" t="s">
        <v>18</v>
      </c>
      <c r="B31" s="63" t="str">
        <f>IF(LEN(C47)=0,"",C47)</f>
        <v>Réalisation - Mise en commun du code</v>
      </c>
      <c r="C31" s="211" t="s">
        <v>48</v>
      </c>
      <c r="D31" s="146" t="str">
        <f t="shared" si="0"/>
        <v>9h</v>
      </c>
      <c r="E31" s="39">
        <v>108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176"/>
      <c r="ADG31" s="175"/>
      <c r="ADH31" s="175"/>
      <c r="ADI31" s="175"/>
      <c r="ADJ31" s="171"/>
      <c r="ADK31" s="177"/>
      <c r="ADL31" s="171"/>
      <c r="ADM31" s="171"/>
      <c r="ADN31" s="171"/>
      <c r="ADO31" s="171"/>
      <c r="ADP31" s="171"/>
      <c r="ADQ31" s="172"/>
      <c r="ADR31" s="171"/>
      <c r="ADS31" s="171"/>
      <c r="ADT31" s="171"/>
      <c r="ADU31" s="171"/>
      <c r="ADV31" s="171"/>
      <c r="ADW31" s="173"/>
      <c r="ADX31" s="171"/>
      <c r="ADY31" s="171"/>
      <c r="ADZ31" s="171"/>
      <c r="AEA31" s="171"/>
      <c r="AEB31" s="171"/>
      <c r="AEC31" s="172"/>
      <c r="AED31" s="171"/>
      <c r="AEE31" s="171"/>
      <c r="AEF31" s="171"/>
      <c r="AEG31" s="171"/>
      <c r="AEH31" s="171"/>
      <c r="AEI31" s="173"/>
      <c r="AEJ31" s="175"/>
      <c r="AEK31" s="175"/>
      <c r="AEL31" s="175"/>
      <c r="AEM31" s="175"/>
      <c r="AEN31" s="171"/>
      <c r="AEO31" s="172"/>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176"/>
      <c r="AFO31" s="175"/>
      <c r="AFP31" s="175"/>
      <c r="AFQ31" s="175"/>
      <c r="AFR31" s="171"/>
      <c r="AFS31" s="177"/>
      <c r="AFT31" s="171"/>
      <c r="AFU31" s="171"/>
      <c r="AFV31" s="171"/>
      <c r="AFW31" s="171"/>
      <c r="AFX31" s="171"/>
      <c r="AFY31" s="172"/>
      <c r="AFZ31" s="171"/>
      <c r="AGA31" s="171"/>
      <c r="AGB31" s="171"/>
      <c r="AGC31" s="171"/>
      <c r="AGD31" s="171"/>
      <c r="AGE31" s="173"/>
      <c r="AGF31" s="171"/>
      <c r="AGG31" s="171"/>
      <c r="AGH31" s="171"/>
      <c r="AGI31" s="171"/>
      <c r="AGJ31" s="171"/>
      <c r="AGK31" s="172"/>
      <c r="AGL31" s="171"/>
      <c r="AGM31" s="171"/>
      <c r="AGN31" s="171"/>
      <c r="AGO31" s="171"/>
      <c r="AGP31" s="171"/>
      <c r="AGQ31" s="173"/>
      <c r="AGR31" s="175"/>
      <c r="AGS31" s="175"/>
      <c r="AGT31" s="175"/>
      <c r="AGU31" s="175"/>
      <c r="AGV31" s="171"/>
      <c r="AGW31" s="172"/>
      <c r="AGX31" s="171"/>
      <c r="AGY31" s="171"/>
      <c r="AGZ31" s="171"/>
      <c r="AHA31" s="171"/>
      <c r="AHB31" s="171"/>
      <c r="AHC31" s="173"/>
      <c r="AHD31" s="171"/>
      <c r="AHE31" s="171"/>
      <c r="AHF31" s="171"/>
      <c r="AHG31" s="41"/>
      <c r="AHH31" s="41"/>
      <c r="AHI31" s="139"/>
      <c r="AHJ31" s="41"/>
      <c r="AHK31" s="41"/>
      <c r="AHL31" s="41"/>
      <c r="AHM31" s="41"/>
      <c r="AHN31" s="41"/>
      <c r="AHO31" s="76"/>
      <c r="AHP31" s="41"/>
      <c r="AHQ31" s="41"/>
      <c r="AHR31" s="41"/>
      <c r="AHS31" s="41"/>
      <c r="AHT31" s="41"/>
      <c r="AHU31" s="42"/>
      <c r="AHV31" s="176"/>
      <c r="AHW31" s="175"/>
      <c r="AHX31" s="175"/>
      <c r="AHY31" s="175"/>
      <c r="AHZ31" s="171"/>
      <c r="AIA31" s="177"/>
      <c r="AIB31" s="171"/>
      <c r="AIC31" s="171"/>
      <c r="AID31" s="171"/>
      <c r="AIE31" s="171"/>
      <c r="AIF31" s="171"/>
      <c r="AIG31" s="172"/>
      <c r="AIH31" s="171"/>
      <c r="AII31" s="171"/>
      <c r="AIJ31" s="171"/>
      <c r="AIK31" s="171"/>
      <c r="AIL31" s="171"/>
      <c r="AIM31" s="173"/>
      <c r="AIN31" s="171"/>
      <c r="AIO31" s="171"/>
      <c r="AIP31" s="171"/>
      <c r="AIQ31" s="171"/>
      <c r="AIR31" s="171"/>
      <c r="AIS31" s="172"/>
      <c r="AIT31" s="171"/>
      <c r="AIU31" s="171"/>
      <c r="AIV31" s="17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40"/>
      <c r="BLW31" s="66"/>
      <c r="BLX31" s="66"/>
      <c r="BLY31" s="66"/>
      <c r="BLZ31" s="41"/>
      <c r="BMA31" s="134"/>
      <c r="BMB31" s="41"/>
      <c r="BMC31" s="41"/>
      <c r="BMD31" s="41"/>
      <c r="BME31" s="41"/>
      <c r="BMF31" s="41"/>
      <c r="BMG31" s="139"/>
      <c r="BMH31" s="41"/>
      <c r="BMI31" s="41"/>
      <c r="BMJ31" s="41"/>
      <c r="BMK31" s="41"/>
      <c r="BML31" s="41"/>
      <c r="BMM31" s="76"/>
      <c r="BMN31" s="41"/>
      <c r="BMO31" s="41"/>
      <c r="BMP31" s="41"/>
      <c r="BMQ31" s="41"/>
      <c r="BMR31" s="41"/>
      <c r="BMS31" s="139"/>
      <c r="BMT31" s="41"/>
      <c r="BMU31" s="41"/>
      <c r="BMV31" s="41"/>
      <c r="BMW31" s="41"/>
      <c r="BMX31" s="41"/>
      <c r="BMY31" s="76"/>
      <c r="BMZ31" s="66"/>
      <c r="BNA31" s="66"/>
      <c r="BNB31" s="66"/>
      <c r="BNC31" s="66"/>
      <c r="BND31" s="41"/>
      <c r="BNE31" s="139"/>
      <c r="BNF31" s="41"/>
      <c r="BNG31" s="41"/>
      <c r="BNH31" s="41"/>
      <c r="BNI31" s="41"/>
      <c r="BNJ31" s="41"/>
      <c r="BNK31" s="76"/>
      <c r="BNL31" s="41"/>
      <c r="BNM31" s="41"/>
      <c r="BNN31" s="41"/>
      <c r="BNO31" s="41"/>
      <c r="BNP31" s="41"/>
      <c r="BNQ31" s="139"/>
      <c r="BNR31" s="41"/>
      <c r="BNS31" s="41"/>
      <c r="BNT31" s="41"/>
      <c r="BNU31" s="41"/>
      <c r="BNV31" s="41"/>
      <c r="BNW31" s="76"/>
      <c r="BNX31" s="41"/>
      <c r="BNY31" s="41"/>
      <c r="BNZ31" s="41"/>
      <c r="BOA31" s="41"/>
      <c r="BOB31" s="41"/>
      <c r="BOC31" s="42"/>
      <c r="BOD31" s="40"/>
      <c r="BOE31" s="66"/>
      <c r="BOF31" s="66"/>
      <c r="BOG31" s="66"/>
      <c r="BOH31" s="41"/>
      <c r="BOI31" s="134"/>
      <c r="BOJ31" s="41"/>
      <c r="BOK31" s="41"/>
      <c r="BOL31" s="41"/>
      <c r="BOM31" s="41"/>
      <c r="BON31" s="41"/>
      <c r="BOO31" s="139"/>
      <c r="BOP31" s="41"/>
      <c r="BOQ31" s="41"/>
      <c r="BOR31" s="41"/>
      <c r="BOS31" s="41"/>
      <c r="BOT31" s="41"/>
      <c r="BOU31" s="76"/>
      <c r="BOV31" s="41"/>
      <c r="BOW31" s="41"/>
      <c r="BOX31" s="41"/>
      <c r="BOY31" s="41"/>
      <c r="BOZ31" s="41"/>
      <c r="BPA31" s="139"/>
      <c r="BPB31" s="41"/>
      <c r="BPC31" s="41"/>
      <c r="BPD31" s="41"/>
      <c r="BPE31" s="41"/>
      <c r="BPF31" s="41"/>
      <c r="BPG31" s="76"/>
      <c r="BPH31" s="66"/>
      <c r="BPI31" s="66"/>
      <c r="BPJ31" s="66"/>
      <c r="BPK31" s="66"/>
      <c r="BPL31" s="41"/>
      <c r="BPM31" s="139"/>
      <c r="BPN31" s="41"/>
      <c r="BPO31" s="41"/>
      <c r="BPP31" s="41"/>
      <c r="BPQ31" s="41"/>
      <c r="BPR31" s="41"/>
      <c r="BPS31" s="76"/>
      <c r="BPT31" s="41"/>
      <c r="BPU31" s="41"/>
      <c r="BPV31" s="41"/>
      <c r="BPW31" s="41"/>
      <c r="BPX31" s="41"/>
      <c r="BPY31" s="139"/>
      <c r="BPZ31" s="41"/>
      <c r="BQA31" s="41"/>
      <c r="BQB31" s="41"/>
      <c r="BQC31" s="41"/>
      <c r="BQD31" s="41"/>
      <c r="BQE31" s="76"/>
      <c r="BQF31" s="41"/>
      <c r="BQG31" s="41"/>
      <c r="BQH31" s="41"/>
      <c r="BQI31" s="41"/>
      <c r="BQJ31" s="41"/>
      <c r="BQK31" s="42"/>
      <c r="BQL31" s="40"/>
      <c r="BQM31" s="66"/>
      <c r="BQN31" s="66"/>
      <c r="BQO31" s="66"/>
      <c r="BQP31" s="41"/>
      <c r="BQQ31" s="134"/>
      <c r="BQR31" s="41"/>
      <c r="BQS31" s="41"/>
      <c r="BQT31" s="41"/>
      <c r="BQU31" s="41"/>
      <c r="BQV31" s="41"/>
      <c r="BQW31" s="139"/>
      <c r="BQX31" s="41"/>
      <c r="BQY31" s="41"/>
      <c r="BQZ31" s="41"/>
      <c r="BRA31" s="41"/>
      <c r="BRB31" s="41"/>
      <c r="BRC31" s="76"/>
      <c r="BRD31" s="41"/>
      <c r="BRE31" s="41"/>
      <c r="BRF31" s="41"/>
      <c r="BRG31" s="41"/>
      <c r="BRH31" s="41"/>
      <c r="BRI31" s="139"/>
      <c r="BRJ31" s="41"/>
      <c r="BRK31" s="41"/>
      <c r="BRL31" s="41"/>
      <c r="BRM31" s="41"/>
      <c r="BRN31" s="41"/>
      <c r="BRO31" s="76"/>
      <c r="BRP31" s="66"/>
      <c r="BRQ31" s="66"/>
      <c r="BRR31" s="66"/>
      <c r="BRS31" s="66"/>
      <c r="BRT31" s="41"/>
      <c r="BRU31" s="139"/>
      <c r="BRV31" s="41"/>
      <c r="BRW31" s="41"/>
      <c r="BRX31" s="41"/>
      <c r="BRY31" s="41"/>
      <c r="BRZ31" s="41"/>
      <c r="BSA31" s="76"/>
      <c r="BSB31" s="41"/>
      <c r="BSC31" s="41"/>
      <c r="BSD31" s="41"/>
      <c r="BSE31" s="41"/>
      <c r="BSF31" s="41"/>
      <c r="BSG31" s="139"/>
      <c r="BSH31" s="41"/>
      <c r="BSI31" s="41"/>
      <c r="BSJ31" s="41"/>
      <c r="BSK31" s="41"/>
      <c r="BSL31" s="41"/>
      <c r="BSM31" s="76"/>
      <c r="BSN31" s="41"/>
      <c r="BSO31" s="41"/>
      <c r="BSP31" s="41"/>
      <c r="BSQ31" s="41"/>
      <c r="BSR31" s="41"/>
      <c r="BSS31" s="42"/>
      <c r="BST31" s="40"/>
      <c r="BSU31" s="66"/>
      <c r="BSV31" s="66"/>
      <c r="BSW31" s="66"/>
      <c r="BSX31" s="41"/>
      <c r="BSY31" s="134"/>
      <c r="BSZ31" s="41"/>
      <c r="BTA31" s="41"/>
      <c r="BTB31" s="41"/>
      <c r="BTC31" s="41"/>
      <c r="BTD31" s="41"/>
      <c r="BTE31" s="139"/>
      <c r="BTF31" s="41"/>
      <c r="BTG31" s="41"/>
      <c r="BTH31" s="41"/>
      <c r="BTI31" s="41"/>
      <c r="BTJ31" s="41"/>
      <c r="BTK31" s="76"/>
      <c r="BTL31" s="41"/>
      <c r="BTM31" s="41"/>
      <c r="BTN31" s="41"/>
      <c r="BTO31" s="41"/>
      <c r="BTP31" s="41"/>
      <c r="BTQ31" s="139"/>
      <c r="BTR31" s="41"/>
      <c r="BTS31" s="41"/>
      <c r="BTT31" s="41"/>
      <c r="BTU31" s="41"/>
      <c r="BTV31" s="41"/>
      <c r="BTW31" s="76"/>
      <c r="BTX31" s="66"/>
      <c r="BTY31" s="66"/>
      <c r="BTZ31" s="66"/>
      <c r="BUA31" s="66"/>
      <c r="BUB31" s="41"/>
      <c r="BUC31" s="139"/>
      <c r="BUD31" s="41"/>
      <c r="BUE31" s="41"/>
      <c r="BUF31" s="41"/>
      <c r="BUG31" s="41"/>
      <c r="BUH31" s="41"/>
      <c r="BUI31" s="76"/>
      <c r="BUJ31" s="41"/>
      <c r="BUK31" s="41"/>
      <c r="BUL31" s="41"/>
      <c r="BUM31" s="41"/>
      <c r="BUN31" s="41"/>
      <c r="BUO31" s="139"/>
      <c r="BUP31" s="41"/>
      <c r="BUQ31" s="41"/>
      <c r="BUR31" s="41"/>
      <c r="BUS31" s="41"/>
      <c r="BUT31" s="41"/>
      <c r="BUU31" s="76"/>
      <c r="BUV31" s="41"/>
      <c r="BUW31" s="41"/>
      <c r="BUX31" s="41"/>
      <c r="BUY31" s="41"/>
      <c r="BUZ31" s="41"/>
      <c r="BVA31" s="42"/>
      <c r="BVB31" s="40"/>
      <c r="BVC31" s="66"/>
      <c r="BVD31" s="66"/>
      <c r="BVE31" s="66"/>
      <c r="BVF31" s="41"/>
      <c r="BVG31" s="134"/>
      <c r="BVH31" s="41"/>
      <c r="BVI31" s="41"/>
      <c r="BVJ31" s="41"/>
      <c r="BVK31" s="41"/>
      <c r="BVL31" s="41"/>
      <c r="BVM31" s="139"/>
      <c r="BVN31" s="41"/>
      <c r="BVO31" s="41"/>
      <c r="BVP31" s="41"/>
      <c r="BVQ31" s="41"/>
      <c r="BVR31" s="41"/>
      <c r="BVS31" s="76"/>
      <c r="BVT31" s="41"/>
      <c r="BVU31" s="41"/>
      <c r="BVV31" s="41"/>
      <c r="BVW31" s="41"/>
      <c r="BVX31" s="41"/>
      <c r="BVY31" s="139"/>
      <c r="BVZ31" s="41"/>
      <c r="BWA31" s="41"/>
      <c r="BWB31" s="41"/>
      <c r="BWC31" s="41"/>
      <c r="BWD31" s="41"/>
      <c r="BWE31" s="76"/>
      <c r="BWF31" s="66"/>
      <c r="BWG31" s="66"/>
      <c r="BWH31" s="66"/>
      <c r="BWI31" s="66"/>
      <c r="BWJ31" s="41"/>
      <c r="BWK31" s="139"/>
      <c r="BWL31" s="41"/>
      <c r="BWM31" s="41"/>
      <c r="BWN31" s="41"/>
      <c r="BWO31" s="41"/>
      <c r="BWP31" s="41"/>
      <c r="BWQ31" s="76"/>
      <c r="BWR31" s="41"/>
      <c r="BWS31" s="41"/>
      <c r="BWT31" s="41"/>
      <c r="BWU31" s="41"/>
      <c r="BWV31" s="41"/>
      <c r="BWW31" s="139"/>
      <c r="BWX31" s="41"/>
      <c r="BWY31" s="41"/>
      <c r="BWZ31" s="41"/>
      <c r="BXA31" s="41"/>
      <c r="BXB31" s="41"/>
      <c r="BXC31" s="76"/>
      <c r="BXD31" s="41"/>
      <c r="BXE31" s="41"/>
      <c r="BXF31" s="41"/>
      <c r="BXG31" s="41"/>
      <c r="BXH31" s="41"/>
      <c r="BXI31" s="42"/>
      <c r="BXJ31" s="40"/>
      <c r="BXK31" s="66"/>
      <c r="BXL31" s="66"/>
      <c r="BXM31" s="66"/>
      <c r="BXN31" s="41"/>
      <c r="BXO31" s="134"/>
      <c r="BXP31" s="41"/>
      <c r="BXQ31" s="41"/>
      <c r="BXR31" s="41"/>
      <c r="BXS31" s="41"/>
      <c r="BXT31" s="41"/>
      <c r="BXU31" s="139"/>
      <c r="BXV31" s="41"/>
      <c r="BXW31" s="41"/>
      <c r="BXX31" s="41"/>
      <c r="BXY31" s="41"/>
      <c r="BXZ31" s="41"/>
      <c r="BYA31" s="76"/>
      <c r="BYB31" s="41"/>
      <c r="BYC31" s="41"/>
      <c r="BYD31" s="41"/>
      <c r="BYE31" s="41"/>
      <c r="BYF31" s="41"/>
      <c r="BYG31" s="139"/>
      <c r="BYH31" s="41"/>
      <c r="BYI31" s="41"/>
      <c r="BYJ31" s="41"/>
      <c r="BYK31" s="41"/>
      <c r="BYL31" s="41"/>
      <c r="BYM31" s="76"/>
      <c r="BYN31" s="66"/>
      <c r="BYO31" s="66"/>
      <c r="BYP31" s="66"/>
      <c r="BYQ31" s="66"/>
      <c r="BYR31" s="41"/>
      <c r="BYS31" s="139"/>
      <c r="BYT31" s="41"/>
      <c r="BYU31" s="41"/>
      <c r="BYV31" s="41"/>
      <c r="BYW31" s="41"/>
      <c r="BYX31" s="41"/>
      <c r="BYY31" s="76"/>
      <c r="BYZ31" s="41"/>
      <c r="BZA31" s="41"/>
      <c r="BZB31" s="41"/>
      <c r="BZC31" s="41"/>
      <c r="BZD31" s="41"/>
      <c r="BZE31" s="139"/>
      <c r="BZF31" s="41"/>
      <c r="BZG31" s="41"/>
      <c r="BZH31" s="41"/>
      <c r="BZI31" s="41"/>
      <c r="BZJ31" s="41"/>
      <c r="BZK31" s="76"/>
      <c r="BZL31" s="41"/>
      <c r="BZM31" s="41"/>
      <c r="BZN31" s="41"/>
      <c r="BZO31" s="41"/>
      <c r="BZP31" s="41"/>
      <c r="BZQ31" s="42"/>
      <c r="BZR31" s="40"/>
      <c r="BZS31" s="66"/>
      <c r="BZT31" s="66"/>
      <c r="BZU31" s="66"/>
      <c r="BZV31" s="41"/>
      <c r="BZW31" s="134"/>
      <c r="BZX31" s="41"/>
      <c r="BZY31" s="41"/>
      <c r="BZZ31" s="41"/>
      <c r="CAA31" s="41"/>
      <c r="CAB31" s="41"/>
      <c r="CAC31" s="139"/>
      <c r="CAD31" s="41"/>
      <c r="CAE31" s="41"/>
      <c r="CAF31" s="41"/>
      <c r="CAG31" s="41"/>
      <c r="CAH31" s="41"/>
      <c r="CAI31" s="76"/>
      <c r="CAJ31" s="41"/>
      <c r="CAK31" s="41"/>
      <c r="CAL31" s="41"/>
      <c r="CAM31" s="41"/>
      <c r="CAN31" s="41"/>
      <c r="CAO31" s="139"/>
      <c r="CAP31" s="41"/>
      <c r="CAQ31" s="41"/>
      <c r="CAR31" s="41"/>
      <c r="CAS31" s="41"/>
      <c r="CAT31" s="41"/>
      <c r="CAU31" s="76"/>
      <c r="CAV31" s="66"/>
      <c r="CAW31" s="66"/>
      <c r="CAX31" s="66"/>
      <c r="CAY31" s="66"/>
      <c r="CAZ31" s="41"/>
      <c r="CBA31" s="139"/>
      <c r="CBB31" s="41"/>
      <c r="CBC31" s="41"/>
      <c r="CBD31" s="41"/>
      <c r="CBE31" s="41"/>
      <c r="CBF31" s="41"/>
      <c r="CBG31" s="76"/>
      <c r="CBH31" s="41"/>
      <c r="CBI31" s="41"/>
      <c r="CBJ31" s="41"/>
      <c r="CBK31" s="41"/>
      <c r="CBL31" s="41"/>
      <c r="CBM31" s="139"/>
      <c r="CBN31" s="41"/>
      <c r="CBO31" s="41"/>
      <c r="CBP31" s="41"/>
      <c r="CBQ31" s="41"/>
      <c r="CBR31" s="41"/>
      <c r="CBS31" s="76"/>
      <c r="CBT31" s="41"/>
      <c r="CBU31" s="41"/>
      <c r="CBV31" s="41"/>
      <c r="CBW31" s="41"/>
      <c r="CBX31" s="41"/>
      <c r="CBY31" s="42"/>
      <c r="CBZ31" s="40"/>
      <c r="CCA31" s="66"/>
      <c r="CCB31" s="66"/>
      <c r="CCC31" s="66"/>
      <c r="CCD31" s="41"/>
      <c r="CCE31" s="134"/>
      <c r="CCF31" s="41"/>
      <c r="CCG31" s="41"/>
      <c r="CCH31" s="41"/>
      <c r="CCI31" s="41"/>
      <c r="CCJ31" s="41"/>
      <c r="CCK31" s="139"/>
      <c r="CCL31" s="41"/>
      <c r="CCM31" s="41"/>
      <c r="CCN31" s="41"/>
      <c r="CCO31" s="41"/>
      <c r="CCP31" s="41"/>
      <c r="CCQ31" s="76"/>
      <c r="CCR31" s="41"/>
      <c r="CCS31" s="41"/>
      <c r="CCT31" s="41"/>
      <c r="CCU31" s="41"/>
      <c r="CCV31" s="41"/>
      <c r="CCW31" s="139"/>
      <c r="CCX31" s="41"/>
      <c r="CCY31" s="41"/>
      <c r="CCZ31" s="41"/>
      <c r="CDA31" s="41"/>
      <c r="CDB31" s="41"/>
      <c r="CDC31" s="76"/>
      <c r="CDD31" s="66"/>
      <c r="CDE31" s="66"/>
      <c r="CDF31" s="66"/>
      <c r="CDG31" s="66"/>
      <c r="CDH31" s="41"/>
      <c r="CDI31" s="139"/>
      <c r="CDJ31" s="41"/>
      <c r="CDK31" s="41"/>
      <c r="CDL31" s="41"/>
      <c r="CDM31" s="41"/>
      <c r="CDN31" s="41"/>
      <c r="CDO31" s="76"/>
      <c r="CDP31" s="41"/>
      <c r="CDQ31" s="41"/>
      <c r="CDR31" s="41"/>
      <c r="CDS31" s="41"/>
      <c r="CDT31" s="41"/>
      <c r="CDU31" s="139"/>
      <c r="CDV31" s="41"/>
      <c r="CDW31" s="41"/>
      <c r="CDX31" s="41"/>
      <c r="CDY31" s="41"/>
      <c r="CDZ31" s="41"/>
      <c r="CEA31" s="76"/>
      <c r="CEB31" s="41"/>
      <c r="CEC31" s="41"/>
      <c r="CED31" s="41"/>
      <c r="CEE31" s="41"/>
      <c r="CEF31" s="41"/>
      <c r="CEG31" s="42"/>
      <c r="CEH31" s="40"/>
      <c r="CEI31" s="66"/>
      <c r="CEJ31" s="66"/>
      <c r="CEK31" s="66"/>
      <c r="CEL31" s="41"/>
      <c r="CEM31" s="134"/>
      <c r="CEN31" s="41"/>
      <c r="CEO31" s="41"/>
      <c r="CEP31" s="41"/>
      <c r="CEQ31" s="41"/>
      <c r="CER31" s="41"/>
      <c r="CES31" s="139"/>
      <c r="CET31" s="41"/>
      <c r="CEU31" s="41"/>
      <c r="CEV31" s="41"/>
      <c r="CEW31" s="41"/>
      <c r="CEX31" s="41"/>
      <c r="CEY31" s="76"/>
      <c r="CEZ31" s="41"/>
      <c r="CFA31" s="41"/>
      <c r="CFB31" s="41"/>
      <c r="CFC31" s="41"/>
      <c r="CFD31" s="41"/>
      <c r="CFE31" s="139"/>
      <c r="CFF31" s="41"/>
      <c r="CFG31" s="41"/>
      <c r="CFH31" s="41"/>
      <c r="CFI31" s="41"/>
      <c r="CFJ31" s="41"/>
      <c r="CFK31" s="76"/>
      <c r="CFL31" s="66"/>
      <c r="CFM31" s="66"/>
      <c r="CFN31" s="66"/>
      <c r="CFO31" s="66"/>
      <c r="CFP31" s="41"/>
      <c r="CFQ31" s="139"/>
      <c r="CFR31" s="41"/>
      <c r="CFS31" s="41"/>
      <c r="CFT31" s="41"/>
      <c r="CFU31" s="41"/>
      <c r="CFV31" s="41"/>
      <c r="CFW31" s="76"/>
      <c r="CFX31" s="41"/>
      <c r="CFY31" s="41"/>
      <c r="CFZ31" s="41"/>
      <c r="CGA31" s="41"/>
      <c r="CGB31" s="41"/>
      <c r="CGC31" s="139"/>
      <c r="CGD31" s="41"/>
      <c r="CGE31" s="41"/>
      <c r="CGF31" s="41"/>
      <c r="CGG31" s="41"/>
      <c r="CGH31" s="41"/>
      <c r="CGI31" s="76"/>
      <c r="CGJ31" s="41"/>
      <c r="CGK31" s="41"/>
      <c r="CGL31" s="41"/>
      <c r="CGM31" s="41"/>
      <c r="CGN31" s="41"/>
      <c r="CGO31" s="42"/>
      <c r="CGP31" s="40"/>
      <c r="CGQ31" s="66"/>
      <c r="CGR31" s="66"/>
      <c r="CGS31" s="66"/>
      <c r="CGT31" s="41"/>
      <c r="CGU31" s="134"/>
      <c r="CGV31" s="41"/>
      <c r="CGW31" s="41"/>
      <c r="CGX31" s="41"/>
      <c r="CGY31" s="41"/>
      <c r="CGZ31" s="41"/>
      <c r="CHA31" s="139"/>
      <c r="CHB31" s="41"/>
      <c r="CHC31" s="41"/>
      <c r="CHD31" s="41"/>
      <c r="CHE31" s="41"/>
      <c r="CHF31" s="41"/>
      <c r="CHG31" s="76"/>
      <c r="CHH31" s="41"/>
      <c r="CHI31" s="41"/>
      <c r="CHJ31" s="41"/>
      <c r="CHK31" s="41"/>
      <c r="CHL31" s="41"/>
      <c r="CHM31" s="139"/>
      <c r="CHN31" s="41"/>
      <c r="CHO31" s="41"/>
      <c r="CHP31" s="41"/>
      <c r="CHQ31" s="41"/>
      <c r="CHR31" s="41"/>
      <c r="CHS31" s="76"/>
      <c r="CHT31" s="66"/>
      <c r="CHU31" s="66"/>
      <c r="CHV31" s="66"/>
      <c r="CHW31" s="66"/>
      <c r="CHX31" s="41"/>
      <c r="CHY31" s="139"/>
      <c r="CHZ31" s="41"/>
      <c r="CIA31" s="41"/>
      <c r="CIB31" s="41"/>
      <c r="CIC31" s="41"/>
      <c r="CID31" s="41"/>
      <c r="CIE31" s="76"/>
      <c r="CIF31" s="41"/>
      <c r="CIG31" s="41"/>
      <c r="CIH31" s="41"/>
      <c r="CII31" s="41"/>
      <c r="CIJ31" s="41"/>
      <c r="CIK31" s="139"/>
      <c r="CIL31" s="41"/>
      <c r="CIM31" s="41"/>
      <c r="CIN31" s="41"/>
      <c r="CIO31" s="41"/>
      <c r="CIP31" s="41"/>
      <c r="CIQ31" s="76"/>
      <c r="CIR31" s="41"/>
      <c r="CIS31" s="41"/>
      <c r="CIT31" s="41"/>
      <c r="CIU31" s="41"/>
      <c r="CIV31" s="41"/>
      <c r="CIW31" s="42"/>
      <c r="CIX31" s="40"/>
      <c r="CIY31" s="66"/>
      <c r="CIZ31" s="66"/>
      <c r="CJA31" s="66"/>
      <c r="CJB31" s="41"/>
      <c r="CJC31" s="134"/>
      <c r="CJD31" s="41"/>
      <c r="CJE31" s="41"/>
      <c r="CJF31" s="41"/>
      <c r="CJG31" s="41"/>
      <c r="CJH31" s="41"/>
      <c r="CJI31" s="139"/>
      <c r="CJJ31" s="41"/>
      <c r="CJK31" s="41"/>
      <c r="CJL31" s="41"/>
      <c r="CJM31" s="41"/>
      <c r="CJN31" s="41"/>
      <c r="CJO31" s="76"/>
      <c r="CJP31" s="41"/>
      <c r="CJQ31" s="41"/>
      <c r="CJR31" s="41"/>
      <c r="CJS31" s="41"/>
      <c r="CJT31" s="41"/>
      <c r="CJU31" s="139"/>
      <c r="CJV31" s="41"/>
      <c r="CJW31" s="41"/>
      <c r="CJX31" s="41"/>
      <c r="CJY31" s="41"/>
      <c r="CJZ31" s="41"/>
      <c r="CKA31" s="76"/>
      <c r="CKB31" s="66"/>
      <c r="CKC31" s="66"/>
      <c r="CKD31" s="66"/>
      <c r="CKE31" s="66"/>
      <c r="CKF31" s="41"/>
      <c r="CKG31" s="139"/>
      <c r="CKH31" s="41"/>
      <c r="CKI31" s="41"/>
      <c r="CKJ31" s="41"/>
      <c r="CKK31" s="41"/>
      <c r="CKL31" s="41"/>
      <c r="CKM31" s="76"/>
      <c r="CKN31" s="41"/>
      <c r="CKO31" s="41"/>
      <c r="CKP31" s="41"/>
      <c r="CKQ31" s="41"/>
      <c r="CKR31" s="41"/>
      <c r="CKS31" s="139"/>
      <c r="CKT31" s="41"/>
      <c r="CKU31" s="41"/>
      <c r="CKV31" s="41"/>
      <c r="CKW31" s="41"/>
      <c r="CKX31" s="41"/>
      <c r="CKY31" s="76"/>
      <c r="CKZ31" s="41"/>
      <c r="CLA31" s="41"/>
      <c r="CLB31" s="41"/>
      <c r="CLC31" s="41"/>
      <c r="CLD31" s="41"/>
      <c r="CLE31" s="42"/>
      <c r="CLF31" s="40"/>
      <c r="CLG31" s="66"/>
      <c r="CLH31" s="66"/>
      <c r="CLI31" s="66"/>
      <c r="CLJ31" s="41"/>
      <c r="CLK31" s="134"/>
      <c r="CLL31" s="41"/>
      <c r="CLM31" s="41"/>
      <c r="CLN31" s="41"/>
      <c r="CLO31" s="41"/>
      <c r="CLP31" s="41"/>
      <c r="CLQ31" s="139"/>
      <c r="CLR31" s="41"/>
      <c r="CLS31" s="41"/>
      <c r="CLT31" s="41"/>
      <c r="CLU31" s="41"/>
      <c r="CLV31" s="41"/>
      <c r="CLW31" s="76"/>
      <c r="CLX31" s="41"/>
      <c r="CLY31" s="41"/>
      <c r="CLZ31" s="41"/>
      <c r="CMA31" s="41"/>
      <c r="CMB31" s="41"/>
      <c r="CMC31" s="139"/>
      <c r="CMD31" s="41"/>
      <c r="CME31" s="41"/>
      <c r="CMF31" s="41"/>
      <c r="CMG31" s="41"/>
      <c r="CMH31" s="41"/>
      <c r="CMI31" s="76"/>
      <c r="CMJ31" s="66"/>
      <c r="CMK31" s="66"/>
      <c r="CML31" s="66"/>
      <c r="CMM31" s="66"/>
      <c r="CMN31" s="41"/>
      <c r="CMO31" s="139"/>
      <c r="CMP31" s="41"/>
      <c r="CMQ31" s="41"/>
      <c r="CMR31" s="41"/>
      <c r="CMS31" s="41"/>
      <c r="CMT31" s="41"/>
      <c r="CMU31" s="76"/>
      <c r="CMV31" s="41"/>
      <c r="CMW31" s="41"/>
      <c r="CMX31" s="41"/>
      <c r="CMY31" s="41"/>
      <c r="CMZ31" s="41"/>
      <c r="CNA31" s="139"/>
      <c r="CNB31" s="41"/>
      <c r="CNC31" s="41"/>
      <c r="CND31" s="41"/>
      <c r="CNE31" s="41"/>
      <c r="CNF31" s="41"/>
      <c r="CNG31" s="76"/>
      <c r="CNH31" s="41"/>
      <c r="CNI31" s="41"/>
      <c r="CNJ31" s="41"/>
      <c r="CNK31" s="41"/>
      <c r="CNL31" s="41"/>
      <c r="CNM31" s="42"/>
      <c r="CNN31" s="40"/>
      <c r="CNO31" s="66"/>
      <c r="CNP31" s="66"/>
      <c r="CNQ31" s="66"/>
      <c r="CNR31" s="41"/>
      <c r="CNS31" s="134"/>
      <c r="CNT31" s="41"/>
      <c r="CNU31" s="41"/>
      <c r="CNV31" s="41"/>
      <c r="CNW31" s="41"/>
      <c r="CNX31" s="41"/>
      <c r="CNY31" s="139"/>
      <c r="CNZ31" s="41"/>
      <c r="COA31" s="41"/>
      <c r="COB31" s="41"/>
      <c r="COC31" s="41"/>
      <c r="COD31" s="41"/>
      <c r="COE31" s="76"/>
      <c r="COF31" s="41"/>
      <c r="COG31" s="41"/>
      <c r="COH31" s="41"/>
      <c r="COI31" s="41"/>
      <c r="COJ31" s="41"/>
      <c r="COK31" s="139"/>
      <c r="COL31" s="41"/>
      <c r="COM31" s="41"/>
      <c r="CON31" s="41"/>
      <c r="COO31" s="41"/>
      <c r="COP31" s="41"/>
      <c r="COQ31" s="76"/>
      <c r="COR31" s="66"/>
      <c r="COS31" s="66"/>
      <c r="COT31" s="66"/>
      <c r="COU31" s="66"/>
      <c r="COV31" s="41"/>
      <c r="COW31" s="139"/>
      <c r="COX31" s="41"/>
      <c r="COY31" s="41"/>
      <c r="COZ31" s="41"/>
      <c r="CPA31" s="41"/>
      <c r="CPB31" s="41"/>
      <c r="CPC31" s="76"/>
      <c r="CPD31" s="41"/>
      <c r="CPE31" s="41"/>
      <c r="CPF31" s="41"/>
      <c r="CPG31" s="41"/>
      <c r="CPH31" s="41"/>
      <c r="CPI31" s="139"/>
      <c r="CPJ31" s="41"/>
      <c r="CPK31" s="41"/>
      <c r="CPL31" s="41"/>
      <c r="CPM31" s="41"/>
      <c r="CPN31" s="41"/>
      <c r="CPO31" s="76"/>
      <c r="CPP31" s="41"/>
      <c r="CPQ31" s="41"/>
      <c r="CPR31" s="41"/>
      <c r="CPS31" s="41"/>
      <c r="CPT31" s="41"/>
      <c r="CPU31" s="42"/>
      <c r="CPV31" s="40"/>
      <c r="CPW31" s="66"/>
      <c r="CPX31" s="66"/>
      <c r="CPY31" s="66"/>
      <c r="CPZ31" s="41"/>
      <c r="CQA31" s="134"/>
      <c r="CQB31" s="41"/>
      <c r="CQC31" s="41"/>
      <c r="CQD31" s="41"/>
      <c r="CQE31" s="41"/>
      <c r="CQF31" s="41"/>
      <c r="CQG31" s="139"/>
      <c r="CQH31" s="41"/>
      <c r="CQI31" s="41"/>
      <c r="CQJ31" s="41"/>
      <c r="CQK31" s="41"/>
      <c r="CQL31" s="41"/>
      <c r="CQM31" s="76"/>
      <c r="CQN31" s="41"/>
      <c r="CQO31" s="41"/>
      <c r="CQP31" s="41"/>
      <c r="CQQ31" s="41"/>
      <c r="CQR31" s="41"/>
      <c r="CQS31" s="139"/>
      <c r="CQT31" s="41"/>
      <c r="CQU31" s="41"/>
      <c r="CQV31" s="41"/>
      <c r="CQW31" s="41"/>
      <c r="CQX31" s="41"/>
      <c r="CQY31" s="76"/>
      <c r="CQZ31" s="66"/>
      <c r="CRA31" s="66"/>
      <c r="CRB31" s="66"/>
      <c r="CRC31" s="66"/>
      <c r="CRD31" s="41"/>
      <c r="CRE31" s="139"/>
      <c r="CRF31" s="41"/>
      <c r="CRG31" s="41"/>
      <c r="CRH31" s="41"/>
      <c r="CRI31" s="41"/>
      <c r="CRJ31" s="41"/>
      <c r="CRK31" s="76"/>
      <c r="CRL31" s="41"/>
      <c r="CRM31" s="41"/>
      <c r="CRN31" s="41"/>
      <c r="CRO31" s="41"/>
      <c r="CRP31" s="41"/>
      <c r="CRQ31" s="139"/>
      <c r="CRR31" s="41"/>
      <c r="CRS31" s="41"/>
      <c r="CRT31" s="41"/>
      <c r="CRU31" s="41"/>
      <c r="CRV31" s="41"/>
      <c r="CRW31" s="76"/>
      <c r="CRX31" s="41"/>
      <c r="CRY31" s="41"/>
      <c r="CRZ31" s="41"/>
      <c r="CSA31" s="41"/>
      <c r="CSB31" s="41"/>
      <c r="CSC31" s="42"/>
      <c r="CSD31" s="90"/>
    </row>
    <row r="32" spans="1:2526" ht="20.100000000000001" customHeight="1" x14ac:dyDescent="0.3">
      <c r="A32" s="100" t="s">
        <v>19</v>
      </c>
      <c r="B32" s="63" t="str">
        <f>IF(LEN(C49)=0,"",C49)</f>
        <v>Test - Test du projet</v>
      </c>
      <c r="C32" s="213"/>
      <c r="D32" s="148" t="str">
        <f t="shared" si="0"/>
        <v>0h45min</v>
      </c>
      <c r="E32" s="27">
        <v>9</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190"/>
      <c r="ABQ32" s="190"/>
      <c r="ABR32" s="190"/>
      <c r="ABS32" s="190"/>
      <c r="ABT32" s="190"/>
      <c r="ABU32" s="191"/>
      <c r="ABV32" s="190"/>
      <c r="ABW32" s="190"/>
      <c r="ABX32" s="190"/>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28"/>
      <c r="BLW32" s="67"/>
      <c r="BLX32" s="67"/>
      <c r="BLY32" s="67"/>
      <c r="BLZ32" s="29"/>
      <c r="BMA32" s="131"/>
      <c r="BMB32" s="29"/>
      <c r="BMC32" s="29"/>
      <c r="BMD32" s="29"/>
      <c r="BME32" s="29"/>
      <c r="BMF32" s="29"/>
      <c r="BMG32" s="136"/>
      <c r="BMH32" s="29"/>
      <c r="BMI32" s="29"/>
      <c r="BMJ32" s="29"/>
      <c r="BMK32" s="29"/>
      <c r="BML32" s="29"/>
      <c r="BMM32" s="73"/>
      <c r="BMN32" s="29"/>
      <c r="BMO32" s="29"/>
      <c r="BMP32" s="29"/>
      <c r="BMQ32" s="29"/>
      <c r="BMR32" s="29"/>
      <c r="BMS32" s="136"/>
      <c r="BMT32" s="29"/>
      <c r="BMU32" s="29"/>
      <c r="BMV32" s="29"/>
      <c r="BMW32" s="29"/>
      <c r="BMX32" s="29"/>
      <c r="BMY32" s="73"/>
      <c r="BMZ32" s="67"/>
      <c r="BNA32" s="67"/>
      <c r="BNB32" s="67"/>
      <c r="BNC32" s="67"/>
      <c r="BND32" s="29"/>
      <c r="BNE32" s="136"/>
      <c r="BNF32" s="29"/>
      <c r="BNG32" s="29"/>
      <c r="BNH32" s="29"/>
      <c r="BNI32" s="29"/>
      <c r="BNJ32" s="29"/>
      <c r="BNK32" s="73"/>
      <c r="BNL32" s="29"/>
      <c r="BNM32" s="29"/>
      <c r="BNN32" s="29"/>
      <c r="BNO32" s="29"/>
      <c r="BNP32" s="29"/>
      <c r="BNQ32" s="136"/>
      <c r="BNR32" s="29"/>
      <c r="BNS32" s="29"/>
      <c r="BNT32" s="29"/>
      <c r="BNU32" s="29"/>
      <c r="BNV32" s="29"/>
      <c r="BNW32" s="73"/>
      <c r="BNX32" s="29"/>
      <c r="BNY32" s="29"/>
      <c r="BNZ32" s="29"/>
      <c r="BOA32" s="29"/>
      <c r="BOB32" s="29"/>
      <c r="BOC32" s="30"/>
      <c r="BOD32" s="28"/>
      <c r="BOE32" s="67"/>
      <c r="BOF32" s="67"/>
      <c r="BOG32" s="67"/>
      <c r="BOH32" s="29"/>
      <c r="BOI32" s="131"/>
      <c r="BOJ32" s="29"/>
      <c r="BOK32" s="29"/>
      <c r="BOL32" s="29"/>
      <c r="BOM32" s="29"/>
      <c r="BON32" s="29"/>
      <c r="BOO32" s="136"/>
      <c r="BOP32" s="29"/>
      <c r="BOQ32" s="29"/>
      <c r="BOR32" s="29"/>
      <c r="BOS32" s="29"/>
      <c r="BOT32" s="29"/>
      <c r="BOU32" s="73"/>
      <c r="BOV32" s="29"/>
      <c r="BOW32" s="29"/>
      <c r="BOX32" s="29"/>
      <c r="BOY32" s="29"/>
      <c r="BOZ32" s="29"/>
      <c r="BPA32" s="136"/>
      <c r="BPB32" s="29"/>
      <c r="BPC32" s="29"/>
      <c r="BPD32" s="29"/>
      <c r="BPE32" s="29"/>
      <c r="BPF32" s="29"/>
      <c r="BPG32" s="73"/>
      <c r="BPH32" s="67"/>
      <c r="BPI32" s="67"/>
      <c r="BPJ32" s="67"/>
      <c r="BPK32" s="67"/>
      <c r="BPL32" s="29"/>
      <c r="BPM32" s="136"/>
      <c r="BPN32" s="29"/>
      <c r="BPO32" s="29"/>
      <c r="BPP32" s="29"/>
      <c r="BPQ32" s="29"/>
      <c r="BPR32" s="29"/>
      <c r="BPS32" s="73"/>
      <c r="BPT32" s="29"/>
      <c r="BPU32" s="29"/>
      <c r="BPV32" s="29"/>
      <c r="BPW32" s="29"/>
      <c r="BPX32" s="29"/>
      <c r="BPY32" s="136"/>
      <c r="BPZ32" s="29"/>
      <c r="BQA32" s="29"/>
      <c r="BQB32" s="29"/>
      <c r="BQC32" s="29"/>
      <c r="BQD32" s="29"/>
      <c r="BQE32" s="73"/>
      <c r="BQF32" s="29"/>
      <c r="BQG32" s="29"/>
      <c r="BQH32" s="29"/>
      <c r="BQI32" s="29"/>
      <c r="BQJ32" s="29"/>
      <c r="BQK32" s="30"/>
      <c r="BQL32" s="28"/>
      <c r="BQM32" s="67"/>
      <c r="BQN32" s="67"/>
      <c r="BQO32" s="67"/>
      <c r="BQP32" s="29"/>
      <c r="BQQ32" s="131"/>
      <c r="BQR32" s="29"/>
      <c r="BQS32" s="29"/>
      <c r="BQT32" s="29"/>
      <c r="BQU32" s="29"/>
      <c r="BQV32" s="29"/>
      <c r="BQW32" s="136"/>
      <c r="BQX32" s="29"/>
      <c r="BQY32" s="29"/>
      <c r="BQZ32" s="29"/>
      <c r="BRA32" s="29"/>
      <c r="BRB32" s="29"/>
      <c r="BRC32" s="73"/>
      <c r="BRD32" s="29"/>
      <c r="BRE32" s="29"/>
      <c r="BRF32" s="29"/>
      <c r="BRG32" s="29"/>
      <c r="BRH32" s="29"/>
      <c r="BRI32" s="136"/>
      <c r="BRJ32" s="29"/>
      <c r="BRK32" s="29"/>
      <c r="BRL32" s="29"/>
      <c r="BRM32" s="29"/>
      <c r="BRN32" s="29"/>
      <c r="BRO32" s="73"/>
      <c r="BRP32" s="67"/>
      <c r="BRQ32" s="67"/>
      <c r="BRR32" s="67"/>
      <c r="BRS32" s="67"/>
      <c r="BRT32" s="29"/>
      <c r="BRU32" s="136"/>
      <c r="BRV32" s="29"/>
      <c r="BRW32" s="29"/>
      <c r="BRX32" s="29"/>
      <c r="BRY32" s="29"/>
      <c r="BRZ32" s="29"/>
      <c r="BSA32" s="73"/>
      <c r="BSB32" s="29"/>
      <c r="BSC32" s="29"/>
      <c r="BSD32" s="29"/>
      <c r="BSE32" s="29"/>
      <c r="BSF32" s="29"/>
      <c r="BSG32" s="136"/>
      <c r="BSH32" s="29"/>
      <c r="BSI32" s="29"/>
      <c r="BSJ32" s="29"/>
      <c r="BSK32" s="29"/>
      <c r="BSL32" s="29"/>
      <c r="BSM32" s="73"/>
      <c r="BSN32" s="29"/>
      <c r="BSO32" s="29"/>
      <c r="BSP32" s="29"/>
      <c r="BSQ32" s="29"/>
      <c r="BSR32" s="29"/>
      <c r="BSS32" s="30"/>
      <c r="BST32" s="28"/>
      <c r="BSU32" s="67"/>
      <c r="BSV32" s="67"/>
      <c r="BSW32" s="67"/>
      <c r="BSX32" s="29"/>
      <c r="BSY32" s="131"/>
      <c r="BSZ32" s="29"/>
      <c r="BTA32" s="29"/>
      <c r="BTB32" s="29"/>
      <c r="BTC32" s="29"/>
      <c r="BTD32" s="29"/>
      <c r="BTE32" s="136"/>
      <c r="BTF32" s="29"/>
      <c r="BTG32" s="29"/>
      <c r="BTH32" s="29"/>
      <c r="BTI32" s="29"/>
      <c r="BTJ32" s="29"/>
      <c r="BTK32" s="73"/>
      <c r="BTL32" s="29"/>
      <c r="BTM32" s="29"/>
      <c r="BTN32" s="29"/>
      <c r="BTO32" s="29"/>
      <c r="BTP32" s="29"/>
      <c r="BTQ32" s="136"/>
      <c r="BTR32" s="29"/>
      <c r="BTS32" s="29"/>
      <c r="BTT32" s="29"/>
      <c r="BTU32" s="29"/>
      <c r="BTV32" s="29"/>
      <c r="BTW32" s="73"/>
      <c r="BTX32" s="67"/>
      <c r="BTY32" s="67"/>
      <c r="BTZ32" s="67"/>
      <c r="BUA32" s="67"/>
      <c r="BUB32" s="29"/>
      <c r="BUC32" s="136"/>
      <c r="BUD32" s="29"/>
      <c r="BUE32" s="29"/>
      <c r="BUF32" s="29"/>
      <c r="BUG32" s="29"/>
      <c r="BUH32" s="29"/>
      <c r="BUI32" s="73"/>
      <c r="BUJ32" s="29"/>
      <c r="BUK32" s="29"/>
      <c r="BUL32" s="29"/>
      <c r="BUM32" s="29"/>
      <c r="BUN32" s="29"/>
      <c r="BUO32" s="136"/>
      <c r="BUP32" s="29"/>
      <c r="BUQ32" s="29"/>
      <c r="BUR32" s="29"/>
      <c r="BUS32" s="29"/>
      <c r="BUT32" s="29"/>
      <c r="BUU32" s="73"/>
      <c r="BUV32" s="29"/>
      <c r="BUW32" s="29"/>
      <c r="BUX32" s="29"/>
      <c r="BUY32" s="29"/>
      <c r="BUZ32" s="29"/>
      <c r="BVA32" s="30"/>
      <c r="BVB32" s="28"/>
      <c r="BVC32" s="67"/>
      <c r="BVD32" s="67"/>
      <c r="BVE32" s="67"/>
      <c r="BVF32" s="29"/>
      <c r="BVG32" s="131"/>
      <c r="BVH32" s="29"/>
      <c r="BVI32" s="29"/>
      <c r="BVJ32" s="29"/>
      <c r="BVK32" s="29"/>
      <c r="BVL32" s="29"/>
      <c r="BVM32" s="136"/>
      <c r="BVN32" s="29"/>
      <c r="BVO32" s="29"/>
      <c r="BVP32" s="29"/>
      <c r="BVQ32" s="29"/>
      <c r="BVR32" s="29"/>
      <c r="BVS32" s="73"/>
      <c r="BVT32" s="29"/>
      <c r="BVU32" s="29"/>
      <c r="BVV32" s="29"/>
      <c r="BVW32" s="29"/>
      <c r="BVX32" s="29"/>
      <c r="BVY32" s="136"/>
      <c r="BVZ32" s="29"/>
      <c r="BWA32" s="29"/>
      <c r="BWB32" s="29"/>
      <c r="BWC32" s="29"/>
      <c r="BWD32" s="29"/>
      <c r="BWE32" s="73"/>
      <c r="BWF32" s="67"/>
      <c r="BWG32" s="67"/>
      <c r="BWH32" s="67"/>
      <c r="BWI32" s="67"/>
      <c r="BWJ32" s="29"/>
      <c r="BWK32" s="136"/>
      <c r="BWL32" s="29"/>
      <c r="BWM32" s="29"/>
      <c r="BWN32" s="29"/>
      <c r="BWO32" s="29"/>
      <c r="BWP32" s="29"/>
      <c r="BWQ32" s="73"/>
      <c r="BWR32" s="29"/>
      <c r="BWS32" s="29"/>
      <c r="BWT32" s="29"/>
      <c r="BWU32" s="29"/>
      <c r="BWV32" s="29"/>
      <c r="BWW32" s="136"/>
      <c r="BWX32" s="29"/>
      <c r="BWY32" s="29"/>
      <c r="BWZ32" s="29"/>
      <c r="BXA32" s="29"/>
      <c r="BXB32" s="29"/>
      <c r="BXC32" s="73"/>
      <c r="BXD32" s="29"/>
      <c r="BXE32" s="29"/>
      <c r="BXF32" s="29"/>
      <c r="BXG32" s="29"/>
      <c r="BXH32" s="29"/>
      <c r="BXI32" s="30"/>
      <c r="BXJ32" s="28"/>
      <c r="BXK32" s="67"/>
      <c r="BXL32" s="67"/>
      <c r="BXM32" s="67"/>
      <c r="BXN32" s="29"/>
      <c r="BXO32" s="131"/>
      <c r="BXP32" s="29"/>
      <c r="BXQ32" s="29"/>
      <c r="BXR32" s="29"/>
      <c r="BXS32" s="29"/>
      <c r="BXT32" s="29"/>
      <c r="BXU32" s="136"/>
      <c r="BXV32" s="29"/>
      <c r="BXW32" s="29"/>
      <c r="BXX32" s="29"/>
      <c r="BXY32" s="29"/>
      <c r="BXZ32" s="29"/>
      <c r="BYA32" s="73"/>
      <c r="BYB32" s="29"/>
      <c r="BYC32" s="29"/>
      <c r="BYD32" s="29"/>
      <c r="BYE32" s="29"/>
      <c r="BYF32" s="29"/>
      <c r="BYG32" s="136"/>
      <c r="BYH32" s="29"/>
      <c r="BYI32" s="29"/>
      <c r="BYJ32" s="29"/>
      <c r="BYK32" s="29"/>
      <c r="BYL32" s="29"/>
      <c r="BYM32" s="73"/>
      <c r="BYN32" s="67"/>
      <c r="BYO32" s="67"/>
      <c r="BYP32" s="67"/>
      <c r="BYQ32" s="67"/>
      <c r="BYR32" s="29"/>
      <c r="BYS32" s="136"/>
      <c r="BYT32" s="29"/>
      <c r="BYU32" s="29"/>
      <c r="BYV32" s="29"/>
      <c r="BYW32" s="29"/>
      <c r="BYX32" s="29"/>
      <c r="BYY32" s="73"/>
      <c r="BYZ32" s="29"/>
      <c r="BZA32" s="29"/>
      <c r="BZB32" s="29"/>
      <c r="BZC32" s="29"/>
      <c r="BZD32" s="29"/>
      <c r="BZE32" s="136"/>
      <c r="BZF32" s="29"/>
      <c r="BZG32" s="29"/>
      <c r="BZH32" s="29"/>
      <c r="BZI32" s="29"/>
      <c r="BZJ32" s="29"/>
      <c r="BZK32" s="73"/>
      <c r="BZL32" s="29"/>
      <c r="BZM32" s="29"/>
      <c r="BZN32" s="29"/>
      <c r="BZO32" s="29"/>
      <c r="BZP32" s="29"/>
      <c r="BZQ32" s="30"/>
      <c r="BZR32" s="28"/>
      <c r="BZS32" s="67"/>
      <c r="BZT32" s="67"/>
      <c r="BZU32" s="67"/>
      <c r="BZV32" s="29"/>
      <c r="BZW32" s="131"/>
      <c r="BZX32" s="29"/>
      <c r="BZY32" s="29"/>
      <c r="BZZ32" s="29"/>
      <c r="CAA32" s="29"/>
      <c r="CAB32" s="29"/>
      <c r="CAC32" s="136"/>
      <c r="CAD32" s="29"/>
      <c r="CAE32" s="29"/>
      <c r="CAF32" s="29"/>
      <c r="CAG32" s="29"/>
      <c r="CAH32" s="29"/>
      <c r="CAI32" s="73"/>
      <c r="CAJ32" s="29"/>
      <c r="CAK32" s="29"/>
      <c r="CAL32" s="29"/>
      <c r="CAM32" s="29"/>
      <c r="CAN32" s="29"/>
      <c r="CAO32" s="136"/>
      <c r="CAP32" s="29"/>
      <c r="CAQ32" s="29"/>
      <c r="CAR32" s="29"/>
      <c r="CAS32" s="29"/>
      <c r="CAT32" s="29"/>
      <c r="CAU32" s="73"/>
      <c r="CAV32" s="67"/>
      <c r="CAW32" s="67"/>
      <c r="CAX32" s="67"/>
      <c r="CAY32" s="67"/>
      <c r="CAZ32" s="29"/>
      <c r="CBA32" s="136"/>
      <c r="CBB32" s="29"/>
      <c r="CBC32" s="29"/>
      <c r="CBD32" s="29"/>
      <c r="CBE32" s="29"/>
      <c r="CBF32" s="29"/>
      <c r="CBG32" s="73"/>
      <c r="CBH32" s="29"/>
      <c r="CBI32" s="29"/>
      <c r="CBJ32" s="29"/>
      <c r="CBK32" s="29"/>
      <c r="CBL32" s="29"/>
      <c r="CBM32" s="136"/>
      <c r="CBN32" s="29"/>
      <c r="CBO32" s="29"/>
      <c r="CBP32" s="29"/>
      <c r="CBQ32" s="29"/>
      <c r="CBR32" s="29"/>
      <c r="CBS32" s="73"/>
      <c r="CBT32" s="29"/>
      <c r="CBU32" s="29"/>
      <c r="CBV32" s="29"/>
      <c r="CBW32" s="29"/>
      <c r="CBX32" s="29"/>
      <c r="CBY32" s="30"/>
      <c r="CBZ32" s="28"/>
      <c r="CCA32" s="67"/>
      <c r="CCB32" s="67"/>
      <c r="CCC32" s="67"/>
      <c r="CCD32" s="29"/>
      <c r="CCE32" s="131"/>
      <c r="CCF32" s="29"/>
      <c r="CCG32" s="29"/>
      <c r="CCH32" s="29"/>
      <c r="CCI32" s="29"/>
      <c r="CCJ32" s="29"/>
      <c r="CCK32" s="136"/>
      <c r="CCL32" s="29"/>
      <c r="CCM32" s="29"/>
      <c r="CCN32" s="29"/>
      <c r="CCO32" s="29"/>
      <c r="CCP32" s="29"/>
      <c r="CCQ32" s="73"/>
      <c r="CCR32" s="29"/>
      <c r="CCS32" s="29"/>
      <c r="CCT32" s="29"/>
      <c r="CCU32" s="29"/>
      <c r="CCV32" s="29"/>
      <c r="CCW32" s="136"/>
      <c r="CCX32" s="29"/>
      <c r="CCY32" s="29"/>
      <c r="CCZ32" s="29"/>
      <c r="CDA32" s="29"/>
      <c r="CDB32" s="29"/>
      <c r="CDC32" s="73"/>
      <c r="CDD32" s="67"/>
      <c r="CDE32" s="67"/>
      <c r="CDF32" s="67"/>
      <c r="CDG32" s="67"/>
      <c r="CDH32" s="29"/>
      <c r="CDI32" s="136"/>
      <c r="CDJ32" s="29"/>
      <c r="CDK32" s="29"/>
      <c r="CDL32" s="29"/>
      <c r="CDM32" s="29"/>
      <c r="CDN32" s="29"/>
      <c r="CDO32" s="73"/>
      <c r="CDP32" s="29"/>
      <c r="CDQ32" s="29"/>
      <c r="CDR32" s="29"/>
      <c r="CDS32" s="29"/>
      <c r="CDT32" s="29"/>
      <c r="CDU32" s="136"/>
      <c r="CDV32" s="29"/>
      <c r="CDW32" s="29"/>
      <c r="CDX32" s="29"/>
      <c r="CDY32" s="29"/>
      <c r="CDZ32" s="29"/>
      <c r="CEA32" s="73"/>
      <c r="CEB32" s="29"/>
      <c r="CEC32" s="29"/>
      <c r="CED32" s="29"/>
      <c r="CEE32" s="29"/>
      <c r="CEF32" s="29"/>
      <c r="CEG32" s="30"/>
      <c r="CEH32" s="28"/>
      <c r="CEI32" s="67"/>
      <c r="CEJ32" s="67"/>
      <c r="CEK32" s="67"/>
      <c r="CEL32" s="29"/>
      <c r="CEM32" s="131"/>
      <c r="CEN32" s="29"/>
      <c r="CEO32" s="29"/>
      <c r="CEP32" s="29"/>
      <c r="CEQ32" s="29"/>
      <c r="CER32" s="29"/>
      <c r="CES32" s="136"/>
      <c r="CET32" s="29"/>
      <c r="CEU32" s="29"/>
      <c r="CEV32" s="29"/>
      <c r="CEW32" s="29"/>
      <c r="CEX32" s="29"/>
      <c r="CEY32" s="73"/>
      <c r="CEZ32" s="29"/>
      <c r="CFA32" s="29"/>
      <c r="CFB32" s="29"/>
      <c r="CFC32" s="29"/>
      <c r="CFD32" s="29"/>
      <c r="CFE32" s="136"/>
      <c r="CFF32" s="29"/>
      <c r="CFG32" s="29"/>
      <c r="CFH32" s="29"/>
      <c r="CFI32" s="29"/>
      <c r="CFJ32" s="29"/>
      <c r="CFK32" s="73"/>
      <c r="CFL32" s="67"/>
      <c r="CFM32" s="67"/>
      <c r="CFN32" s="67"/>
      <c r="CFO32" s="67"/>
      <c r="CFP32" s="29"/>
      <c r="CFQ32" s="136"/>
      <c r="CFR32" s="29"/>
      <c r="CFS32" s="29"/>
      <c r="CFT32" s="29"/>
      <c r="CFU32" s="29"/>
      <c r="CFV32" s="29"/>
      <c r="CFW32" s="73"/>
      <c r="CFX32" s="29"/>
      <c r="CFY32" s="29"/>
      <c r="CFZ32" s="29"/>
      <c r="CGA32" s="29"/>
      <c r="CGB32" s="29"/>
      <c r="CGC32" s="136"/>
      <c r="CGD32" s="29"/>
      <c r="CGE32" s="29"/>
      <c r="CGF32" s="29"/>
      <c r="CGG32" s="29"/>
      <c r="CGH32" s="29"/>
      <c r="CGI32" s="73"/>
      <c r="CGJ32" s="29"/>
      <c r="CGK32" s="29"/>
      <c r="CGL32" s="29"/>
      <c r="CGM32" s="29"/>
      <c r="CGN32" s="29"/>
      <c r="CGO32" s="30"/>
      <c r="CGP32" s="28"/>
      <c r="CGQ32" s="67"/>
      <c r="CGR32" s="67"/>
      <c r="CGS32" s="67"/>
      <c r="CGT32" s="29"/>
      <c r="CGU32" s="131"/>
      <c r="CGV32" s="29"/>
      <c r="CGW32" s="29"/>
      <c r="CGX32" s="29"/>
      <c r="CGY32" s="29"/>
      <c r="CGZ32" s="29"/>
      <c r="CHA32" s="136"/>
      <c r="CHB32" s="29"/>
      <c r="CHC32" s="29"/>
      <c r="CHD32" s="29"/>
      <c r="CHE32" s="29"/>
      <c r="CHF32" s="29"/>
      <c r="CHG32" s="73"/>
      <c r="CHH32" s="29"/>
      <c r="CHI32" s="29"/>
      <c r="CHJ32" s="29"/>
      <c r="CHK32" s="29"/>
      <c r="CHL32" s="29"/>
      <c r="CHM32" s="136"/>
      <c r="CHN32" s="29"/>
      <c r="CHO32" s="29"/>
      <c r="CHP32" s="29"/>
      <c r="CHQ32" s="29"/>
      <c r="CHR32" s="29"/>
      <c r="CHS32" s="73"/>
      <c r="CHT32" s="67"/>
      <c r="CHU32" s="67"/>
      <c r="CHV32" s="67"/>
      <c r="CHW32" s="67"/>
      <c r="CHX32" s="29"/>
      <c r="CHY32" s="136"/>
      <c r="CHZ32" s="29"/>
      <c r="CIA32" s="29"/>
      <c r="CIB32" s="29"/>
      <c r="CIC32" s="29"/>
      <c r="CID32" s="29"/>
      <c r="CIE32" s="73"/>
      <c r="CIF32" s="29"/>
      <c r="CIG32" s="29"/>
      <c r="CIH32" s="29"/>
      <c r="CII32" s="29"/>
      <c r="CIJ32" s="29"/>
      <c r="CIK32" s="136"/>
      <c r="CIL32" s="29"/>
      <c r="CIM32" s="29"/>
      <c r="CIN32" s="29"/>
      <c r="CIO32" s="29"/>
      <c r="CIP32" s="29"/>
      <c r="CIQ32" s="73"/>
      <c r="CIR32" s="29"/>
      <c r="CIS32" s="29"/>
      <c r="CIT32" s="29"/>
      <c r="CIU32" s="29"/>
      <c r="CIV32" s="29"/>
      <c r="CIW32" s="30"/>
      <c r="CIX32" s="28"/>
      <c r="CIY32" s="67"/>
      <c r="CIZ32" s="67"/>
      <c r="CJA32" s="67"/>
      <c r="CJB32" s="29"/>
      <c r="CJC32" s="131"/>
      <c r="CJD32" s="29"/>
      <c r="CJE32" s="29"/>
      <c r="CJF32" s="29"/>
      <c r="CJG32" s="29"/>
      <c r="CJH32" s="29"/>
      <c r="CJI32" s="136"/>
      <c r="CJJ32" s="29"/>
      <c r="CJK32" s="29"/>
      <c r="CJL32" s="29"/>
      <c r="CJM32" s="29"/>
      <c r="CJN32" s="29"/>
      <c r="CJO32" s="73"/>
      <c r="CJP32" s="29"/>
      <c r="CJQ32" s="29"/>
      <c r="CJR32" s="29"/>
      <c r="CJS32" s="29"/>
      <c r="CJT32" s="29"/>
      <c r="CJU32" s="136"/>
      <c r="CJV32" s="29"/>
      <c r="CJW32" s="29"/>
      <c r="CJX32" s="29"/>
      <c r="CJY32" s="29"/>
      <c r="CJZ32" s="29"/>
      <c r="CKA32" s="73"/>
      <c r="CKB32" s="67"/>
      <c r="CKC32" s="67"/>
      <c r="CKD32" s="67"/>
      <c r="CKE32" s="67"/>
      <c r="CKF32" s="29"/>
      <c r="CKG32" s="136"/>
      <c r="CKH32" s="29"/>
      <c r="CKI32" s="29"/>
      <c r="CKJ32" s="29"/>
      <c r="CKK32" s="29"/>
      <c r="CKL32" s="29"/>
      <c r="CKM32" s="73"/>
      <c r="CKN32" s="29"/>
      <c r="CKO32" s="29"/>
      <c r="CKP32" s="29"/>
      <c r="CKQ32" s="29"/>
      <c r="CKR32" s="29"/>
      <c r="CKS32" s="136"/>
      <c r="CKT32" s="29"/>
      <c r="CKU32" s="29"/>
      <c r="CKV32" s="29"/>
      <c r="CKW32" s="29"/>
      <c r="CKX32" s="29"/>
      <c r="CKY32" s="73"/>
      <c r="CKZ32" s="29"/>
      <c r="CLA32" s="29"/>
      <c r="CLB32" s="29"/>
      <c r="CLC32" s="29"/>
      <c r="CLD32" s="29"/>
      <c r="CLE32" s="30"/>
      <c r="CLF32" s="28"/>
      <c r="CLG32" s="67"/>
      <c r="CLH32" s="67"/>
      <c r="CLI32" s="67"/>
      <c r="CLJ32" s="29"/>
      <c r="CLK32" s="131"/>
      <c r="CLL32" s="29"/>
      <c r="CLM32" s="29"/>
      <c r="CLN32" s="29"/>
      <c r="CLO32" s="29"/>
      <c r="CLP32" s="29"/>
      <c r="CLQ32" s="136"/>
      <c r="CLR32" s="29"/>
      <c r="CLS32" s="29"/>
      <c r="CLT32" s="29"/>
      <c r="CLU32" s="29"/>
      <c r="CLV32" s="29"/>
      <c r="CLW32" s="73"/>
      <c r="CLX32" s="29"/>
      <c r="CLY32" s="29"/>
      <c r="CLZ32" s="29"/>
      <c r="CMA32" s="29"/>
      <c r="CMB32" s="29"/>
      <c r="CMC32" s="136"/>
      <c r="CMD32" s="29"/>
      <c r="CME32" s="29"/>
      <c r="CMF32" s="29"/>
      <c r="CMG32" s="29"/>
      <c r="CMH32" s="29"/>
      <c r="CMI32" s="73"/>
      <c r="CMJ32" s="67"/>
      <c r="CMK32" s="67"/>
      <c r="CML32" s="67"/>
      <c r="CMM32" s="67"/>
      <c r="CMN32" s="29"/>
      <c r="CMO32" s="136"/>
      <c r="CMP32" s="29"/>
      <c r="CMQ32" s="29"/>
      <c r="CMR32" s="29"/>
      <c r="CMS32" s="29"/>
      <c r="CMT32" s="29"/>
      <c r="CMU32" s="73"/>
      <c r="CMV32" s="29"/>
      <c r="CMW32" s="29"/>
      <c r="CMX32" s="29"/>
      <c r="CMY32" s="29"/>
      <c r="CMZ32" s="29"/>
      <c r="CNA32" s="136"/>
      <c r="CNB32" s="29"/>
      <c r="CNC32" s="29"/>
      <c r="CND32" s="29"/>
      <c r="CNE32" s="29"/>
      <c r="CNF32" s="29"/>
      <c r="CNG32" s="73"/>
      <c r="CNH32" s="29"/>
      <c r="CNI32" s="29"/>
      <c r="CNJ32" s="29"/>
      <c r="CNK32" s="29"/>
      <c r="CNL32" s="29"/>
      <c r="CNM32" s="30"/>
      <c r="CNN32" s="28"/>
      <c r="CNO32" s="67"/>
      <c r="CNP32" s="67"/>
      <c r="CNQ32" s="67"/>
      <c r="CNR32" s="29"/>
      <c r="CNS32" s="131"/>
      <c r="CNT32" s="29"/>
      <c r="CNU32" s="29"/>
      <c r="CNV32" s="29"/>
      <c r="CNW32" s="29"/>
      <c r="CNX32" s="29"/>
      <c r="CNY32" s="136"/>
      <c r="CNZ32" s="29"/>
      <c r="COA32" s="29"/>
      <c r="COB32" s="29"/>
      <c r="COC32" s="29"/>
      <c r="COD32" s="29"/>
      <c r="COE32" s="73"/>
      <c r="COF32" s="29"/>
      <c r="COG32" s="29"/>
      <c r="COH32" s="29"/>
      <c r="COI32" s="29"/>
      <c r="COJ32" s="29"/>
      <c r="COK32" s="136"/>
      <c r="COL32" s="29"/>
      <c r="COM32" s="29"/>
      <c r="CON32" s="29"/>
      <c r="COO32" s="29"/>
      <c r="COP32" s="29"/>
      <c r="COQ32" s="73"/>
      <c r="COR32" s="67"/>
      <c r="COS32" s="67"/>
      <c r="COT32" s="67"/>
      <c r="COU32" s="67"/>
      <c r="COV32" s="29"/>
      <c r="COW32" s="136"/>
      <c r="COX32" s="29"/>
      <c r="COY32" s="29"/>
      <c r="COZ32" s="29"/>
      <c r="CPA32" s="29"/>
      <c r="CPB32" s="29"/>
      <c r="CPC32" s="73"/>
      <c r="CPD32" s="29"/>
      <c r="CPE32" s="29"/>
      <c r="CPF32" s="29"/>
      <c r="CPG32" s="29"/>
      <c r="CPH32" s="29"/>
      <c r="CPI32" s="136"/>
      <c r="CPJ32" s="29"/>
      <c r="CPK32" s="29"/>
      <c r="CPL32" s="29"/>
      <c r="CPM32" s="29"/>
      <c r="CPN32" s="29"/>
      <c r="CPO32" s="73"/>
      <c r="CPP32" s="29"/>
      <c r="CPQ32" s="29"/>
      <c r="CPR32" s="29"/>
      <c r="CPS32" s="29"/>
      <c r="CPT32" s="29"/>
      <c r="CPU32" s="30"/>
      <c r="CPV32" s="28"/>
      <c r="CPW32" s="67"/>
      <c r="CPX32" s="67"/>
      <c r="CPY32" s="67"/>
      <c r="CPZ32" s="29"/>
      <c r="CQA32" s="131"/>
      <c r="CQB32" s="29"/>
      <c r="CQC32" s="29"/>
      <c r="CQD32" s="29"/>
      <c r="CQE32" s="29"/>
      <c r="CQF32" s="29"/>
      <c r="CQG32" s="136"/>
      <c r="CQH32" s="29"/>
      <c r="CQI32" s="29"/>
      <c r="CQJ32" s="29"/>
      <c r="CQK32" s="29"/>
      <c r="CQL32" s="29"/>
      <c r="CQM32" s="73"/>
      <c r="CQN32" s="29"/>
      <c r="CQO32" s="29"/>
      <c r="CQP32" s="29"/>
      <c r="CQQ32" s="29"/>
      <c r="CQR32" s="29"/>
      <c r="CQS32" s="136"/>
      <c r="CQT32" s="29"/>
      <c r="CQU32" s="29"/>
      <c r="CQV32" s="29"/>
      <c r="CQW32" s="29"/>
      <c r="CQX32" s="29"/>
      <c r="CQY32" s="73"/>
      <c r="CQZ32" s="67"/>
      <c r="CRA32" s="67"/>
      <c r="CRB32" s="67"/>
      <c r="CRC32" s="67"/>
      <c r="CRD32" s="29"/>
      <c r="CRE32" s="136"/>
      <c r="CRF32" s="29"/>
      <c r="CRG32" s="29"/>
      <c r="CRH32" s="29"/>
      <c r="CRI32" s="29"/>
      <c r="CRJ32" s="29"/>
      <c r="CRK32" s="73"/>
      <c r="CRL32" s="29"/>
      <c r="CRM32" s="29"/>
      <c r="CRN32" s="29"/>
      <c r="CRO32" s="29"/>
      <c r="CRP32" s="29"/>
      <c r="CRQ32" s="136"/>
      <c r="CRR32" s="29"/>
      <c r="CRS32" s="29"/>
      <c r="CRT32" s="29"/>
      <c r="CRU32" s="29"/>
      <c r="CRV32" s="29"/>
      <c r="CRW32" s="73"/>
      <c r="CRX32" s="29"/>
      <c r="CRY32" s="29"/>
      <c r="CRZ32" s="29"/>
      <c r="CSA32" s="29"/>
      <c r="CSB32" s="29"/>
      <c r="CSC32" s="30"/>
      <c r="CSD32" s="90"/>
    </row>
    <row r="33" spans="1:2526" ht="20.100000000000001" customHeight="1" x14ac:dyDescent="0.25">
      <c r="A33" s="100" t="s">
        <v>18</v>
      </c>
      <c r="B33" s="63" t="str">
        <f>IF(LEN(C51)=0,"",C51)</f>
        <v>Evaluation - Evaluer le travail effectué</v>
      </c>
      <c r="C33" s="211" t="s">
        <v>49</v>
      </c>
      <c r="D33" s="146" t="str">
        <f t="shared" si="0"/>
        <v>1h30min</v>
      </c>
      <c r="E33" s="31">
        <v>18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165"/>
      <c r="AKE33" s="166"/>
      <c r="AKF33" s="166"/>
      <c r="AKG33" s="166"/>
      <c r="AKH33" s="167"/>
      <c r="AKI33" s="168"/>
      <c r="AKJ33" s="167"/>
      <c r="AKK33" s="167"/>
      <c r="AKL33" s="167"/>
      <c r="AKM33" s="167"/>
      <c r="AKN33" s="167"/>
      <c r="AKO33" s="169"/>
      <c r="AKP33" s="167"/>
      <c r="AKQ33" s="167"/>
      <c r="AKR33" s="167"/>
      <c r="AKS33" s="167"/>
      <c r="AKT33" s="167"/>
      <c r="AKU33" s="170"/>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32"/>
      <c r="BLW33" s="64"/>
      <c r="BLX33" s="64"/>
      <c r="BLY33" s="64"/>
      <c r="BLZ33" s="33"/>
      <c r="BMA33" s="132"/>
      <c r="BMB33" s="33"/>
      <c r="BMC33" s="33"/>
      <c r="BMD33" s="33"/>
      <c r="BME33" s="33"/>
      <c r="BMF33" s="33"/>
      <c r="BMG33" s="137"/>
      <c r="BMH33" s="33"/>
      <c r="BMI33" s="33"/>
      <c r="BMJ33" s="33"/>
      <c r="BMK33" s="33"/>
      <c r="BML33" s="33"/>
      <c r="BMM33" s="74"/>
      <c r="BMN33" s="33"/>
      <c r="BMO33" s="33"/>
      <c r="BMP33" s="33"/>
      <c r="BMQ33" s="33"/>
      <c r="BMR33" s="33"/>
      <c r="BMS33" s="137"/>
      <c r="BMT33" s="33"/>
      <c r="BMU33" s="33"/>
      <c r="BMV33" s="33"/>
      <c r="BMW33" s="33"/>
      <c r="BMX33" s="33"/>
      <c r="BMY33" s="74"/>
      <c r="BMZ33" s="64"/>
      <c r="BNA33" s="64"/>
      <c r="BNB33" s="64"/>
      <c r="BNC33" s="64"/>
      <c r="BND33" s="33"/>
      <c r="BNE33" s="137"/>
      <c r="BNF33" s="33"/>
      <c r="BNG33" s="33"/>
      <c r="BNH33" s="33"/>
      <c r="BNI33" s="33"/>
      <c r="BNJ33" s="33"/>
      <c r="BNK33" s="74"/>
      <c r="BNL33" s="33"/>
      <c r="BNM33" s="33"/>
      <c r="BNN33" s="33"/>
      <c r="BNO33" s="33"/>
      <c r="BNP33" s="33"/>
      <c r="BNQ33" s="137"/>
      <c r="BNR33" s="33"/>
      <c r="BNS33" s="33"/>
      <c r="BNT33" s="33"/>
      <c r="BNU33" s="33"/>
      <c r="BNV33" s="33"/>
      <c r="BNW33" s="74"/>
      <c r="BNX33" s="33"/>
      <c r="BNY33" s="33"/>
      <c r="BNZ33" s="33"/>
      <c r="BOA33" s="33"/>
      <c r="BOB33" s="33"/>
      <c r="BOC33" s="34"/>
      <c r="BOD33" s="32"/>
      <c r="BOE33" s="64"/>
      <c r="BOF33" s="64"/>
      <c r="BOG33" s="64"/>
      <c r="BOH33" s="33"/>
      <c r="BOI33" s="132"/>
      <c r="BOJ33" s="33"/>
      <c r="BOK33" s="33"/>
      <c r="BOL33" s="33"/>
      <c r="BOM33" s="33"/>
      <c r="BON33" s="33"/>
      <c r="BOO33" s="137"/>
      <c r="BOP33" s="33"/>
      <c r="BOQ33" s="33"/>
      <c r="BOR33" s="33"/>
      <c r="BOS33" s="33"/>
      <c r="BOT33" s="33"/>
      <c r="BOU33" s="74"/>
      <c r="BOV33" s="33"/>
      <c r="BOW33" s="33"/>
      <c r="BOX33" s="33"/>
      <c r="BOY33" s="33"/>
      <c r="BOZ33" s="33"/>
      <c r="BPA33" s="137"/>
      <c r="BPB33" s="33"/>
      <c r="BPC33" s="33"/>
      <c r="BPD33" s="33"/>
      <c r="BPE33" s="33"/>
      <c r="BPF33" s="33"/>
      <c r="BPG33" s="74"/>
      <c r="BPH33" s="64"/>
      <c r="BPI33" s="64"/>
      <c r="BPJ33" s="64"/>
      <c r="BPK33" s="64"/>
      <c r="BPL33" s="33"/>
      <c r="BPM33" s="137"/>
      <c r="BPN33" s="33"/>
      <c r="BPO33" s="33"/>
      <c r="BPP33" s="33"/>
      <c r="BPQ33" s="33"/>
      <c r="BPR33" s="33"/>
      <c r="BPS33" s="74"/>
      <c r="BPT33" s="33"/>
      <c r="BPU33" s="33"/>
      <c r="BPV33" s="33"/>
      <c r="BPW33" s="33"/>
      <c r="BPX33" s="33"/>
      <c r="BPY33" s="137"/>
      <c r="BPZ33" s="33"/>
      <c r="BQA33" s="33"/>
      <c r="BQB33" s="33"/>
      <c r="BQC33" s="33"/>
      <c r="BQD33" s="33"/>
      <c r="BQE33" s="74"/>
      <c r="BQF33" s="33"/>
      <c r="BQG33" s="33"/>
      <c r="BQH33" s="33"/>
      <c r="BQI33" s="33"/>
      <c r="BQJ33" s="33"/>
      <c r="BQK33" s="34"/>
      <c r="BQL33" s="32"/>
      <c r="BQM33" s="64"/>
      <c r="BQN33" s="64"/>
      <c r="BQO33" s="64"/>
      <c r="BQP33" s="33"/>
      <c r="BQQ33" s="132"/>
      <c r="BQR33" s="33"/>
      <c r="BQS33" s="33"/>
      <c r="BQT33" s="33"/>
      <c r="BQU33" s="33"/>
      <c r="BQV33" s="33"/>
      <c r="BQW33" s="137"/>
      <c r="BQX33" s="33"/>
      <c r="BQY33" s="33"/>
      <c r="BQZ33" s="33"/>
      <c r="BRA33" s="33"/>
      <c r="BRB33" s="33"/>
      <c r="BRC33" s="74"/>
      <c r="BRD33" s="33"/>
      <c r="BRE33" s="33"/>
      <c r="BRF33" s="33"/>
      <c r="BRG33" s="33"/>
      <c r="BRH33" s="33"/>
      <c r="BRI33" s="137"/>
      <c r="BRJ33" s="33"/>
      <c r="BRK33" s="33"/>
      <c r="BRL33" s="33"/>
      <c r="BRM33" s="33"/>
      <c r="BRN33" s="33"/>
      <c r="BRO33" s="74"/>
      <c r="BRP33" s="64"/>
      <c r="BRQ33" s="64"/>
      <c r="BRR33" s="64"/>
      <c r="BRS33" s="64"/>
      <c r="BRT33" s="33"/>
      <c r="BRU33" s="137"/>
      <c r="BRV33" s="33"/>
      <c r="BRW33" s="33"/>
      <c r="BRX33" s="33"/>
      <c r="BRY33" s="33"/>
      <c r="BRZ33" s="33"/>
      <c r="BSA33" s="74"/>
      <c r="BSB33" s="33"/>
      <c r="BSC33" s="33"/>
      <c r="BSD33" s="33"/>
      <c r="BSE33" s="33"/>
      <c r="BSF33" s="33"/>
      <c r="BSG33" s="137"/>
      <c r="BSH33" s="33"/>
      <c r="BSI33" s="33"/>
      <c r="BSJ33" s="33"/>
      <c r="BSK33" s="33"/>
      <c r="BSL33" s="33"/>
      <c r="BSM33" s="74"/>
      <c r="BSN33" s="33"/>
      <c r="BSO33" s="33"/>
      <c r="BSP33" s="33"/>
      <c r="BSQ33" s="33"/>
      <c r="BSR33" s="33"/>
      <c r="BSS33" s="34"/>
      <c r="BST33" s="32"/>
      <c r="BSU33" s="64"/>
      <c r="BSV33" s="64"/>
      <c r="BSW33" s="64"/>
      <c r="BSX33" s="33"/>
      <c r="BSY33" s="132"/>
      <c r="BSZ33" s="33"/>
      <c r="BTA33" s="33"/>
      <c r="BTB33" s="33"/>
      <c r="BTC33" s="33"/>
      <c r="BTD33" s="33"/>
      <c r="BTE33" s="137"/>
      <c r="BTF33" s="33"/>
      <c r="BTG33" s="33"/>
      <c r="BTH33" s="33"/>
      <c r="BTI33" s="33"/>
      <c r="BTJ33" s="33"/>
      <c r="BTK33" s="74"/>
      <c r="BTL33" s="33"/>
      <c r="BTM33" s="33"/>
      <c r="BTN33" s="33"/>
      <c r="BTO33" s="33"/>
      <c r="BTP33" s="33"/>
      <c r="BTQ33" s="137"/>
      <c r="BTR33" s="33"/>
      <c r="BTS33" s="33"/>
      <c r="BTT33" s="33"/>
      <c r="BTU33" s="33"/>
      <c r="BTV33" s="33"/>
      <c r="BTW33" s="74"/>
      <c r="BTX33" s="64"/>
      <c r="BTY33" s="64"/>
      <c r="BTZ33" s="64"/>
      <c r="BUA33" s="64"/>
      <c r="BUB33" s="33"/>
      <c r="BUC33" s="137"/>
      <c r="BUD33" s="33"/>
      <c r="BUE33" s="33"/>
      <c r="BUF33" s="33"/>
      <c r="BUG33" s="33"/>
      <c r="BUH33" s="33"/>
      <c r="BUI33" s="74"/>
      <c r="BUJ33" s="33"/>
      <c r="BUK33" s="33"/>
      <c r="BUL33" s="33"/>
      <c r="BUM33" s="33"/>
      <c r="BUN33" s="33"/>
      <c r="BUO33" s="137"/>
      <c r="BUP33" s="33"/>
      <c r="BUQ33" s="33"/>
      <c r="BUR33" s="33"/>
      <c r="BUS33" s="33"/>
      <c r="BUT33" s="33"/>
      <c r="BUU33" s="74"/>
      <c r="BUV33" s="33"/>
      <c r="BUW33" s="33"/>
      <c r="BUX33" s="33"/>
      <c r="BUY33" s="33"/>
      <c r="BUZ33" s="33"/>
      <c r="BVA33" s="34"/>
      <c r="BVB33" s="32"/>
      <c r="BVC33" s="64"/>
      <c r="BVD33" s="64"/>
      <c r="BVE33" s="64"/>
      <c r="BVF33" s="33"/>
      <c r="BVG33" s="132"/>
      <c r="BVH33" s="33"/>
      <c r="BVI33" s="33"/>
      <c r="BVJ33" s="33"/>
      <c r="BVK33" s="33"/>
      <c r="BVL33" s="33"/>
      <c r="BVM33" s="137"/>
      <c r="BVN33" s="33"/>
      <c r="BVO33" s="33"/>
      <c r="BVP33" s="33"/>
      <c r="BVQ33" s="33"/>
      <c r="BVR33" s="33"/>
      <c r="BVS33" s="74"/>
      <c r="BVT33" s="33"/>
      <c r="BVU33" s="33"/>
      <c r="BVV33" s="33"/>
      <c r="BVW33" s="33"/>
      <c r="BVX33" s="33"/>
      <c r="BVY33" s="137"/>
      <c r="BVZ33" s="33"/>
      <c r="BWA33" s="33"/>
      <c r="BWB33" s="33"/>
      <c r="BWC33" s="33"/>
      <c r="BWD33" s="33"/>
      <c r="BWE33" s="74"/>
      <c r="BWF33" s="64"/>
      <c r="BWG33" s="64"/>
      <c r="BWH33" s="64"/>
      <c r="BWI33" s="64"/>
      <c r="BWJ33" s="33"/>
      <c r="BWK33" s="137"/>
      <c r="BWL33" s="33"/>
      <c r="BWM33" s="33"/>
      <c r="BWN33" s="33"/>
      <c r="BWO33" s="33"/>
      <c r="BWP33" s="33"/>
      <c r="BWQ33" s="74"/>
      <c r="BWR33" s="33"/>
      <c r="BWS33" s="33"/>
      <c r="BWT33" s="33"/>
      <c r="BWU33" s="33"/>
      <c r="BWV33" s="33"/>
      <c r="BWW33" s="137"/>
      <c r="BWX33" s="33"/>
      <c r="BWY33" s="33"/>
      <c r="BWZ33" s="33"/>
      <c r="BXA33" s="33"/>
      <c r="BXB33" s="33"/>
      <c r="BXC33" s="74"/>
      <c r="BXD33" s="33"/>
      <c r="BXE33" s="33"/>
      <c r="BXF33" s="33"/>
      <c r="BXG33" s="33"/>
      <c r="BXH33" s="33"/>
      <c r="BXI33" s="34"/>
      <c r="BXJ33" s="32"/>
      <c r="BXK33" s="64"/>
      <c r="BXL33" s="64"/>
      <c r="BXM33" s="64"/>
      <c r="BXN33" s="33"/>
      <c r="BXO33" s="132"/>
      <c r="BXP33" s="33"/>
      <c r="BXQ33" s="33"/>
      <c r="BXR33" s="33"/>
      <c r="BXS33" s="33"/>
      <c r="BXT33" s="33"/>
      <c r="BXU33" s="137"/>
      <c r="BXV33" s="33"/>
      <c r="BXW33" s="33"/>
      <c r="BXX33" s="33"/>
      <c r="BXY33" s="33"/>
      <c r="BXZ33" s="33"/>
      <c r="BYA33" s="74"/>
      <c r="BYB33" s="33"/>
      <c r="BYC33" s="33"/>
      <c r="BYD33" s="33"/>
      <c r="BYE33" s="33"/>
      <c r="BYF33" s="33"/>
      <c r="BYG33" s="137"/>
      <c r="BYH33" s="33"/>
      <c r="BYI33" s="33"/>
      <c r="BYJ33" s="33"/>
      <c r="BYK33" s="33"/>
      <c r="BYL33" s="33"/>
      <c r="BYM33" s="74"/>
      <c r="BYN33" s="64"/>
      <c r="BYO33" s="64"/>
      <c r="BYP33" s="64"/>
      <c r="BYQ33" s="64"/>
      <c r="BYR33" s="33"/>
      <c r="BYS33" s="137"/>
      <c r="BYT33" s="33"/>
      <c r="BYU33" s="33"/>
      <c r="BYV33" s="33"/>
      <c r="BYW33" s="33"/>
      <c r="BYX33" s="33"/>
      <c r="BYY33" s="74"/>
      <c r="BYZ33" s="33"/>
      <c r="BZA33" s="33"/>
      <c r="BZB33" s="33"/>
      <c r="BZC33" s="33"/>
      <c r="BZD33" s="33"/>
      <c r="BZE33" s="137"/>
      <c r="BZF33" s="33"/>
      <c r="BZG33" s="33"/>
      <c r="BZH33" s="33"/>
      <c r="BZI33" s="33"/>
      <c r="BZJ33" s="33"/>
      <c r="BZK33" s="74"/>
      <c r="BZL33" s="33"/>
      <c r="BZM33" s="33"/>
      <c r="BZN33" s="33"/>
      <c r="BZO33" s="33"/>
      <c r="BZP33" s="33"/>
      <c r="BZQ33" s="34"/>
      <c r="BZR33" s="32"/>
      <c r="BZS33" s="64"/>
      <c r="BZT33" s="64"/>
      <c r="BZU33" s="64"/>
      <c r="BZV33" s="33"/>
      <c r="BZW33" s="132"/>
      <c r="BZX33" s="33"/>
      <c r="BZY33" s="33"/>
      <c r="BZZ33" s="33"/>
      <c r="CAA33" s="33"/>
      <c r="CAB33" s="33"/>
      <c r="CAC33" s="137"/>
      <c r="CAD33" s="33"/>
      <c r="CAE33" s="33"/>
      <c r="CAF33" s="33"/>
      <c r="CAG33" s="33"/>
      <c r="CAH33" s="33"/>
      <c r="CAI33" s="74"/>
      <c r="CAJ33" s="33"/>
      <c r="CAK33" s="33"/>
      <c r="CAL33" s="33"/>
      <c r="CAM33" s="33"/>
      <c r="CAN33" s="33"/>
      <c r="CAO33" s="137"/>
      <c r="CAP33" s="33"/>
      <c r="CAQ33" s="33"/>
      <c r="CAR33" s="33"/>
      <c r="CAS33" s="33"/>
      <c r="CAT33" s="33"/>
      <c r="CAU33" s="74"/>
      <c r="CAV33" s="64"/>
      <c r="CAW33" s="64"/>
      <c r="CAX33" s="64"/>
      <c r="CAY33" s="64"/>
      <c r="CAZ33" s="33"/>
      <c r="CBA33" s="137"/>
      <c r="CBB33" s="33"/>
      <c r="CBC33" s="33"/>
      <c r="CBD33" s="33"/>
      <c r="CBE33" s="33"/>
      <c r="CBF33" s="33"/>
      <c r="CBG33" s="74"/>
      <c r="CBH33" s="33"/>
      <c r="CBI33" s="33"/>
      <c r="CBJ33" s="33"/>
      <c r="CBK33" s="33"/>
      <c r="CBL33" s="33"/>
      <c r="CBM33" s="137"/>
      <c r="CBN33" s="33"/>
      <c r="CBO33" s="33"/>
      <c r="CBP33" s="33"/>
      <c r="CBQ33" s="33"/>
      <c r="CBR33" s="33"/>
      <c r="CBS33" s="74"/>
      <c r="CBT33" s="33"/>
      <c r="CBU33" s="33"/>
      <c r="CBV33" s="33"/>
      <c r="CBW33" s="33"/>
      <c r="CBX33" s="33"/>
      <c r="CBY33" s="34"/>
      <c r="CBZ33" s="32"/>
      <c r="CCA33" s="64"/>
      <c r="CCB33" s="64"/>
      <c r="CCC33" s="64"/>
      <c r="CCD33" s="33"/>
      <c r="CCE33" s="132"/>
      <c r="CCF33" s="33"/>
      <c r="CCG33" s="33"/>
      <c r="CCH33" s="33"/>
      <c r="CCI33" s="33"/>
      <c r="CCJ33" s="33"/>
      <c r="CCK33" s="137"/>
      <c r="CCL33" s="33"/>
      <c r="CCM33" s="33"/>
      <c r="CCN33" s="33"/>
      <c r="CCO33" s="33"/>
      <c r="CCP33" s="33"/>
      <c r="CCQ33" s="74"/>
      <c r="CCR33" s="33"/>
      <c r="CCS33" s="33"/>
      <c r="CCT33" s="33"/>
      <c r="CCU33" s="33"/>
      <c r="CCV33" s="33"/>
      <c r="CCW33" s="137"/>
      <c r="CCX33" s="33"/>
      <c r="CCY33" s="33"/>
      <c r="CCZ33" s="33"/>
      <c r="CDA33" s="33"/>
      <c r="CDB33" s="33"/>
      <c r="CDC33" s="74"/>
      <c r="CDD33" s="64"/>
      <c r="CDE33" s="64"/>
      <c r="CDF33" s="64"/>
      <c r="CDG33" s="64"/>
      <c r="CDH33" s="33"/>
      <c r="CDI33" s="137"/>
      <c r="CDJ33" s="33"/>
      <c r="CDK33" s="33"/>
      <c r="CDL33" s="33"/>
      <c r="CDM33" s="33"/>
      <c r="CDN33" s="33"/>
      <c r="CDO33" s="74"/>
      <c r="CDP33" s="33"/>
      <c r="CDQ33" s="33"/>
      <c r="CDR33" s="33"/>
      <c r="CDS33" s="33"/>
      <c r="CDT33" s="33"/>
      <c r="CDU33" s="137"/>
      <c r="CDV33" s="33"/>
      <c r="CDW33" s="33"/>
      <c r="CDX33" s="33"/>
      <c r="CDY33" s="33"/>
      <c r="CDZ33" s="33"/>
      <c r="CEA33" s="74"/>
      <c r="CEB33" s="33"/>
      <c r="CEC33" s="33"/>
      <c r="CED33" s="33"/>
      <c r="CEE33" s="33"/>
      <c r="CEF33" s="33"/>
      <c r="CEG33" s="34"/>
      <c r="CEH33" s="32"/>
      <c r="CEI33" s="64"/>
      <c r="CEJ33" s="64"/>
      <c r="CEK33" s="64"/>
      <c r="CEL33" s="33"/>
      <c r="CEM33" s="132"/>
      <c r="CEN33" s="33"/>
      <c r="CEO33" s="33"/>
      <c r="CEP33" s="33"/>
      <c r="CEQ33" s="33"/>
      <c r="CER33" s="33"/>
      <c r="CES33" s="137"/>
      <c r="CET33" s="33"/>
      <c r="CEU33" s="33"/>
      <c r="CEV33" s="33"/>
      <c r="CEW33" s="33"/>
      <c r="CEX33" s="33"/>
      <c r="CEY33" s="74"/>
      <c r="CEZ33" s="33"/>
      <c r="CFA33" s="33"/>
      <c r="CFB33" s="33"/>
      <c r="CFC33" s="33"/>
      <c r="CFD33" s="33"/>
      <c r="CFE33" s="137"/>
      <c r="CFF33" s="33"/>
      <c r="CFG33" s="33"/>
      <c r="CFH33" s="33"/>
      <c r="CFI33" s="33"/>
      <c r="CFJ33" s="33"/>
      <c r="CFK33" s="74"/>
      <c r="CFL33" s="64"/>
      <c r="CFM33" s="64"/>
      <c r="CFN33" s="64"/>
      <c r="CFO33" s="64"/>
      <c r="CFP33" s="33"/>
      <c r="CFQ33" s="137"/>
      <c r="CFR33" s="33"/>
      <c r="CFS33" s="33"/>
      <c r="CFT33" s="33"/>
      <c r="CFU33" s="33"/>
      <c r="CFV33" s="33"/>
      <c r="CFW33" s="74"/>
      <c r="CFX33" s="33"/>
      <c r="CFY33" s="33"/>
      <c r="CFZ33" s="33"/>
      <c r="CGA33" s="33"/>
      <c r="CGB33" s="33"/>
      <c r="CGC33" s="137"/>
      <c r="CGD33" s="33"/>
      <c r="CGE33" s="33"/>
      <c r="CGF33" s="33"/>
      <c r="CGG33" s="33"/>
      <c r="CGH33" s="33"/>
      <c r="CGI33" s="74"/>
      <c r="CGJ33" s="33"/>
      <c r="CGK33" s="33"/>
      <c r="CGL33" s="33"/>
      <c r="CGM33" s="33"/>
      <c r="CGN33" s="33"/>
      <c r="CGO33" s="34"/>
      <c r="CGP33" s="32"/>
      <c r="CGQ33" s="64"/>
      <c r="CGR33" s="64"/>
      <c r="CGS33" s="64"/>
      <c r="CGT33" s="33"/>
      <c r="CGU33" s="132"/>
      <c r="CGV33" s="33"/>
      <c r="CGW33" s="33"/>
      <c r="CGX33" s="33"/>
      <c r="CGY33" s="33"/>
      <c r="CGZ33" s="33"/>
      <c r="CHA33" s="137"/>
      <c r="CHB33" s="33"/>
      <c r="CHC33" s="33"/>
      <c r="CHD33" s="33"/>
      <c r="CHE33" s="33"/>
      <c r="CHF33" s="33"/>
      <c r="CHG33" s="74"/>
      <c r="CHH33" s="33"/>
      <c r="CHI33" s="33"/>
      <c r="CHJ33" s="33"/>
      <c r="CHK33" s="33"/>
      <c r="CHL33" s="33"/>
      <c r="CHM33" s="137"/>
      <c r="CHN33" s="33"/>
      <c r="CHO33" s="33"/>
      <c r="CHP33" s="33"/>
      <c r="CHQ33" s="33"/>
      <c r="CHR33" s="33"/>
      <c r="CHS33" s="74"/>
      <c r="CHT33" s="64"/>
      <c r="CHU33" s="64"/>
      <c r="CHV33" s="64"/>
      <c r="CHW33" s="64"/>
      <c r="CHX33" s="33"/>
      <c r="CHY33" s="137"/>
      <c r="CHZ33" s="33"/>
      <c r="CIA33" s="33"/>
      <c r="CIB33" s="33"/>
      <c r="CIC33" s="33"/>
      <c r="CID33" s="33"/>
      <c r="CIE33" s="74"/>
      <c r="CIF33" s="33"/>
      <c r="CIG33" s="33"/>
      <c r="CIH33" s="33"/>
      <c r="CII33" s="33"/>
      <c r="CIJ33" s="33"/>
      <c r="CIK33" s="137"/>
      <c r="CIL33" s="33"/>
      <c r="CIM33" s="33"/>
      <c r="CIN33" s="33"/>
      <c r="CIO33" s="33"/>
      <c r="CIP33" s="33"/>
      <c r="CIQ33" s="74"/>
      <c r="CIR33" s="33"/>
      <c r="CIS33" s="33"/>
      <c r="CIT33" s="33"/>
      <c r="CIU33" s="33"/>
      <c r="CIV33" s="33"/>
      <c r="CIW33" s="34"/>
      <c r="CIX33" s="32"/>
      <c r="CIY33" s="64"/>
      <c r="CIZ33" s="64"/>
      <c r="CJA33" s="64"/>
      <c r="CJB33" s="33"/>
      <c r="CJC33" s="132"/>
      <c r="CJD33" s="33"/>
      <c r="CJE33" s="33"/>
      <c r="CJF33" s="33"/>
      <c r="CJG33" s="33"/>
      <c r="CJH33" s="33"/>
      <c r="CJI33" s="137"/>
      <c r="CJJ33" s="33"/>
      <c r="CJK33" s="33"/>
      <c r="CJL33" s="33"/>
      <c r="CJM33" s="33"/>
      <c r="CJN33" s="33"/>
      <c r="CJO33" s="74"/>
      <c r="CJP33" s="33"/>
      <c r="CJQ33" s="33"/>
      <c r="CJR33" s="33"/>
      <c r="CJS33" s="33"/>
      <c r="CJT33" s="33"/>
      <c r="CJU33" s="137"/>
      <c r="CJV33" s="33"/>
      <c r="CJW33" s="33"/>
      <c r="CJX33" s="33"/>
      <c r="CJY33" s="33"/>
      <c r="CJZ33" s="33"/>
      <c r="CKA33" s="74"/>
      <c r="CKB33" s="64"/>
      <c r="CKC33" s="64"/>
      <c r="CKD33" s="64"/>
      <c r="CKE33" s="64"/>
      <c r="CKF33" s="33"/>
      <c r="CKG33" s="137"/>
      <c r="CKH33" s="33"/>
      <c r="CKI33" s="33"/>
      <c r="CKJ33" s="33"/>
      <c r="CKK33" s="33"/>
      <c r="CKL33" s="33"/>
      <c r="CKM33" s="74"/>
      <c r="CKN33" s="33"/>
      <c r="CKO33" s="33"/>
      <c r="CKP33" s="33"/>
      <c r="CKQ33" s="33"/>
      <c r="CKR33" s="33"/>
      <c r="CKS33" s="137"/>
      <c r="CKT33" s="33"/>
      <c r="CKU33" s="33"/>
      <c r="CKV33" s="33"/>
      <c r="CKW33" s="33"/>
      <c r="CKX33" s="33"/>
      <c r="CKY33" s="74"/>
      <c r="CKZ33" s="33"/>
      <c r="CLA33" s="33"/>
      <c r="CLB33" s="33"/>
      <c r="CLC33" s="33"/>
      <c r="CLD33" s="33"/>
      <c r="CLE33" s="34"/>
      <c r="CLF33" s="32"/>
      <c r="CLG33" s="64"/>
      <c r="CLH33" s="64"/>
      <c r="CLI33" s="64"/>
      <c r="CLJ33" s="33"/>
      <c r="CLK33" s="132"/>
      <c r="CLL33" s="33"/>
      <c r="CLM33" s="33"/>
      <c r="CLN33" s="33"/>
      <c r="CLO33" s="33"/>
      <c r="CLP33" s="33"/>
      <c r="CLQ33" s="137"/>
      <c r="CLR33" s="33"/>
      <c r="CLS33" s="33"/>
      <c r="CLT33" s="33"/>
      <c r="CLU33" s="33"/>
      <c r="CLV33" s="33"/>
      <c r="CLW33" s="74"/>
      <c r="CLX33" s="33"/>
      <c r="CLY33" s="33"/>
      <c r="CLZ33" s="33"/>
      <c r="CMA33" s="33"/>
      <c r="CMB33" s="33"/>
      <c r="CMC33" s="137"/>
      <c r="CMD33" s="33"/>
      <c r="CME33" s="33"/>
      <c r="CMF33" s="33"/>
      <c r="CMG33" s="33"/>
      <c r="CMH33" s="33"/>
      <c r="CMI33" s="74"/>
      <c r="CMJ33" s="64"/>
      <c r="CMK33" s="64"/>
      <c r="CML33" s="64"/>
      <c r="CMM33" s="64"/>
      <c r="CMN33" s="33"/>
      <c r="CMO33" s="137"/>
      <c r="CMP33" s="33"/>
      <c r="CMQ33" s="33"/>
      <c r="CMR33" s="33"/>
      <c r="CMS33" s="33"/>
      <c r="CMT33" s="33"/>
      <c r="CMU33" s="74"/>
      <c r="CMV33" s="33"/>
      <c r="CMW33" s="33"/>
      <c r="CMX33" s="33"/>
      <c r="CMY33" s="33"/>
      <c r="CMZ33" s="33"/>
      <c r="CNA33" s="137"/>
      <c r="CNB33" s="33"/>
      <c r="CNC33" s="33"/>
      <c r="CND33" s="33"/>
      <c r="CNE33" s="33"/>
      <c r="CNF33" s="33"/>
      <c r="CNG33" s="74"/>
      <c r="CNH33" s="33"/>
      <c r="CNI33" s="33"/>
      <c r="CNJ33" s="33"/>
      <c r="CNK33" s="33"/>
      <c r="CNL33" s="33"/>
      <c r="CNM33" s="34"/>
      <c r="CNN33" s="32"/>
      <c r="CNO33" s="64"/>
      <c r="CNP33" s="64"/>
      <c r="CNQ33" s="64"/>
      <c r="CNR33" s="33"/>
      <c r="CNS33" s="132"/>
      <c r="CNT33" s="33"/>
      <c r="CNU33" s="33"/>
      <c r="CNV33" s="33"/>
      <c r="CNW33" s="33"/>
      <c r="CNX33" s="33"/>
      <c r="CNY33" s="137"/>
      <c r="CNZ33" s="33"/>
      <c r="COA33" s="33"/>
      <c r="COB33" s="33"/>
      <c r="COC33" s="33"/>
      <c r="COD33" s="33"/>
      <c r="COE33" s="74"/>
      <c r="COF33" s="33"/>
      <c r="COG33" s="33"/>
      <c r="COH33" s="33"/>
      <c r="COI33" s="33"/>
      <c r="COJ33" s="33"/>
      <c r="COK33" s="137"/>
      <c r="COL33" s="33"/>
      <c r="COM33" s="33"/>
      <c r="CON33" s="33"/>
      <c r="COO33" s="33"/>
      <c r="COP33" s="33"/>
      <c r="COQ33" s="74"/>
      <c r="COR33" s="64"/>
      <c r="COS33" s="64"/>
      <c r="COT33" s="64"/>
      <c r="COU33" s="64"/>
      <c r="COV33" s="33"/>
      <c r="COW33" s="137"/>
      <c r="COX33" s="33"/>
      <c r="COY33" s="33"/>
      <c r="COZ33" s="33"/>
      <c r="CPA33" s="33"/>
      <c r="CPB33" s="33"/>
      <c r="CPC33" s="74"/>
      <c r="CPD33" s="33"/>
      <c r="CPE33" s="33"/>
      <c r="CPF33" s="33"/>
      <c r="CPG33" s="33"/>
      <c r="CPH33" s="33"/>
      <c r="CPI33" s="137"/>
      <c r="CPJ33" s="33"/>
      <c r="CPK33" s="33"/>
      <c r="CPL33" s="33"/>
      <c r="CPM33" s="33"/>
      <c r="CPN33" s="33"/>
      <c r="CPO33" s="74"/>
      <c r="CPP33" s="33"/>
      <c r="CPQ33" s="33"/>
      <c r="CPR33" s="33"/>
      <c r="CPS33" s="33"/>
      <c r="CPT33" s="33"/>
      <c r="CPU33" s="34"/>
      <c r="CPV33" s="32"/>
      <c r="CPW33" s="64"/>
      <c r="CPX33" s="64"/>
      <c r="CPY33" s="64"/>
      <c r="CPZ33" s="33"/>
      <c r="CQA33" s="132"/>
      <c r="CQB33" s="33"/>
      <c r="CQC33" s="33"/>
      <c r="CQD33" s="33"/>
      <c r="CQE33" s="33"/>
      <c r="CQF33" s="33"/>
      <c r="CQG33" s="137"/>
      <c r="CQH33" s="33"/>
      <c r="CQI33" s="33"/>
      <c r="CQJ33" s="33"/>
      <c r="CQK33" s="33"/>
      <c r="CQL33" s="33"/>
      <c r="CQM33" s="74"/>
      <c r="CQN33" s="33"/>
      <c r="CQO33" s="33"/>
      <c r="CQP33" s="33"/>
      <c r="CQQ33" s="33"/>
      <c r="CQR33" s="33"/>
      <c r="CQS33" s="137"/>
      <c r="CQT33" s="33"/>
      <c r="CQU33" s="33"/>
      <c r="CQV33" s="33"/>
      <c r="CQW33" s="33"/>
      <c r="CQX33" s="33"/>
      <c r="CQY33" s="74"/>
      <c r="CQZ33" s="64"/>
      <c r="CRA33" s="64"/>
      <c r="CRB33" s="64"/>
      <c r="CRC33" s="64"/>
      <c r="CRD33" s="33"/>
      <c r="CRE33" s="137"/>
      <c r="CRF33" s="33"/>
      <c r="CRG33" s="33"/>
      <c r="CRH33" s="33"/>
      <c r="CRI33" s="33"/>
      <c r="CRJ33" s="33"/>
      <c r="CRK33" s="74"/>
      <c r="CRL33" s="33"/>
      <c r="CRM33" s="33"/>
      <c r="CRN33" s="33"/>
      <c r="CRO33" s="33"/>
      <c r="CRP33" s="33"/>
      <c r="CRQ33" s="137"/>
      <c r="CRR33" s="33"/>
      <c r="CRS33" s="33"/>
      <c r="CRT33" s="33"/>
      <c r="CRU33" s="33"/>
      <c r="CRV33" s="33"/>
      <c r="CRW33" s="74"/>
      <c r="CRX33" s="33"/>
      <c r="CRY33" s="33"/>
      <c r="CRZ33" s="33"/>
      <c r="CSA33" s="33"/>
      <c r="CSB33" s="33"/>
      <c r="CSC33" s="34"/>
      <c r="CSD33" s="90"/>
    </row>
    <row r="34" spans="1:2526" ht="20.100000000000001" customHeight="1" x14ac:dyDescent="0.3">
      <c r="A34" s="100" t="s">
        <v>19</v>
      </c>
      <c r="B34" s="63" t="str">
        <f>IF(LEN(C53)=0,"",C53)</f>
        <v xml:space="preserve">Documentation - Journal de travail </v>
      </c>
      <c r="C34" s="213"/>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36"/>
      <c r="BLW34" s="65"/>
      <c r="BLX34" s="65"/>
      <c r="BLY34" s="65"/>
      <c r="BLZ34" s="37"/>
      <c r="BMA34" s="133"/>
      <c r="BMB34" s="37"/>
      <c r="BMC34" s="37"/>
      <c r="BMD34" s="37"/>
      <c r="BME34" s="37"/>
      <c r="BMF34" s="37"/>
      <c r="BMG34" s="138"/>
      <c r="BMH34" s="37"/>
      <c r="BMI34" s="37"/>
      <c r="BMJ34" s="37"/>
      <c r="BMK34" s="37"/>
      <c r="BML34" s="37"/>
      <c r="BMM34" s="75"/>
      <c r="BMN34" s="37"/>
      <c r="BMO34" s="37"/>
      <c r="BMP34" s="37"/>
      <c r="BMQ34" s="37"/>
      <c r="BMR34" s="37"/>
      <c r="BMS34" s="138"/>
      <c r="BMT34" s="37"/>
      <c r="BMU34" s="37"/>
      <c r="BMV34" s="37"/>
      <c r="BMW34" s="37"/>
      <c r="BMX34" s="37"/>
      <c r="BMY34" s="75"/>
      <c r="BMZ34" s="65"/>
      <c r="BNA34" s="65"/>
      <c r="BNB34" s="65"/>
      <c r="BNC34" s="65"/>
      <c r="BND34" s="37"/>
      <c r="BNE34" s="138"/>
      <c r="BNF34" s="37"/>
      <c r="BNG34" s="37"/>
      <c r="BNH34" s="37"/>
      <c r="BNI34" s="37"/>
      <c r="BNJ34" s="37"/>
      <c r="BNK34" s="75"/>
      <c r="BNL34" s="37"/>
      <c r="BNM34" s="37"/>
      <c r="BNN34" s="37"/>
      <c r="BNO34" s="37"/>
      <c r="BNP34" s="37"/>
      <c r="BNQ34" s="138"/>
      <c r="BNR34" s="37"/>
      <c r="BNS34" s="37"/>
      <c r="BNT34" s="37"/>
      <c r="BNU34" s="37"/>
      <c r="BNV34" s="37"/>
      <c r="BNW34" s="75"/>
      <c r="BNX34" s="37"/>
      <c r="BNY34" s="37"/>
      <c r="BNZ34" s="37"/>
      <c r="BOA34" s="37"/>
      <c r="BOB34" s="37"/>
      <c r="BOC34" s="38"/>
      <c r="BOD34" s="36"/>
      <c r="BOE34" s="65"/>
      <c r="BOF34" s="65"/>
      <c r="BOG34" s="65"/>
      <c r="BOH34" s="37"/>
      <c r="BOI34" s="133"/>
      <c r="BOJ34" s="37"/>
      <c r="BOK34" s="37"/>
      <c r="BOL34" s="37"/>
      <c r="BOM34" s="37"/>
      <c r="BON34" s="37"/>
      <c r="BOO34" s="138"/>
      <c r="BOP34" s="37"/>
      <c r="BOQ34" s="37"/>
      <c r="BOR34" s="37"/>
      <c r="BOS34" s="37"/>
      <c r="BOT34" s="37"/>
      <c r="BOU34" s="75"/>
      <c r="BOV34" s="37"/>
      <c r="BOW34" s="37"/>
      <c r="BOX34" s="37"/>
      <c r="BOY34" s="37"/>
      <c r="BOZ34" s="37"/>
      <c r="BPA34" s="138"/>
      <c r="BPB34" s="37"/>
      <c r="BPC34" s="37"/>
      <c r="BPD34" s="37"/>
      <c r="BPE34" s="37"/>
      <c r="BPF34" s="37"/>
      <c r="BPG34" s="75"/>
      <c r="BPH34" s="65"/>
      <c r="BPI34" s="65"/>
      <c r="BPJ34" s="65"/>
      <c r="BPK34" s="65"/>
      <c r="BPL34" s="37"/>
      <c r="BPM34" s="138"/>
      <c r="BPN34" s="37"/>
      <c r="BPO34" s="37"/>
      <c r="BPP34" s="37"/>
      <c r="BPQ34" s="37"/>
      <c r="BPR34" s="37"/>
      <c r="BPS34" s="75"/>
      <c r="BPT34" s="37"/>
      <c r="BPU34" s="37"/>
      <c r="BPV34" s="37"/>
      <c r="BPW34" s="37"/>
      <c r="BPX34" s="37"/>
      <c r="BPY34" s="138"/>
      <c r="BPZ34" s="37"/>
      <c r="BQA34" s="37"/>
      <c r="BQB34" s="37"/>
      <c r="BQC34" s="37"/>
      <c r="BQD34" s="37"/>
      <c r="BQE34" s="75"/>
      <c r="BQF34" s="37"/>
      <c r="BQG34" s="37"/>
      <c r="BQH34" s="37"/>
      <c r="BQI34" s="37"/>
      <c r="BQJ34" s="37"/>
      <c r="BQK34" s="38"/>
      <c r="BQL34" s="36"/>
      <c r="BQM34" s="65"/>
      <c r="BQN34" s="65"/>
      <c r="BQO34" s="65"/>
      <c r="BQP34" s="37"/>
      <c r="BQQ34" s="133"/>
      <c r="BQR34" s="37"/>
      <c r="BQS34" s="37"/>
      <c r="BQT34" s="37"/>
      <c r="BQU34" s="37"/>
      <c r="BQV34" s="37"/>
      <c r="BQW34" s="138"/>
      <c r="BQX34" s="37"/>
      <c r="BQY34" s="37"/>
      <c r="BQZ34" s="37"/>
      <c r="BRA34" s="37"/>
      <c r="BRB34" s="37"/>
      <c r="BRC34" s="75"/>
      <c r="BRD34" s="37"/>
      <c r="BRE34" s="37"/>
      <c r="BRF34" s="37"/>
      <c r="BRG34" s="37"/>
      <c r="BRH34" s="37"/>
      <c r="BRI34" s="138"/>
      <c r="BRJ34" s="37"/>
      <c r="BRK34" s="37"/>
      <c r="BRL34" s="37"/>
      <c r="BRM34" s="37"/>
      <c r="BRN34" s="37"/>
      <c r="BRO34" s="75"/>
      <c r="BRP34" s="65"/>
      <c r="BRQ34" s="65"/>
      <c r="BRR34" s="65"/>
      <c r="BRS34" s="65"/>
      <c r="BRT34" s="37"/>
      <c r="BRU34" s="138"/>
      <c r="BRV34" s="37"/>
      <c r="BRW34" s="37"/>
      <c r="BRX34" s="37"/>
      <c r="BRY34" s="37"/>
      <c r="BRZ34" s="37"/>
      <c r="BSA34" s="75"/>
      <c r="BSB34" s="37"/>
      <c r="BSC34" s="37"/>
      <c r="BSD34" s="37"/>
      <c r="BSE34" s="37"/>
      <c r="BSF34" s="37"/>
      <c r="BSG34" s="138"/>
      <c r="BSH34" s="37"/>
      <c r="BSI34" s="37"/>
      <c r="BSJ34" s="37"/>
      <c r="BSK34" s="37"/>
      <c r="BSL34" s="37"/>
      <c r="BSM34" s="75"/>
      <c r="BSN34" s="37"/>
      <c r="BSO34" s="37"/>
      <c r="BSP34" s="37"/>
      <c r="BSQ34" s="37"/>
      <c r="BSR34" s="37"/>
      <c r="BSS34" s="38"/>
      <c r="BST34" s="36"/>
      <c r="BSU34" s="65"/>
      <c r="BSV34" s="65"/>
      <c r="BSW34" s="65"/>
      <c r="BSX34" s="37"/>
      <c r="BSY34" s="133"/>
      <c r="BSZ34" s="37"/>
      <c r="BTA34" s="37"/>
      <c r="BTB34" s="37"/>
      <c r="BTC34" s="37"/>
      <c r="BTD34" s="37"/>
      <c r="BTE34" s="138"/>
      <c r="BTF34" s="37"/>
      <c r="BTG34" s="37"/>
      <c r="BTH34" s="37"/>
      <c r="BTI34" s="37"/>
      <c r="BTJ34" s="37"/>
      <c r="BTK34" s="75"/>
      <c r="BTL34" s="37"/>
      <c r="BTM34" s="37"/>
      <c r="BTN34" s="37"/>
      <c r="BTO34" s="37"/>
      <c r="BTP34" s="37"/>
      <c r="BTQ34" s="138"/>
      <c r="BTR34" s="37"/>
      <c r="BTS34" s="37"/>
      <c r="BTT34" s="37"/>
      <c r="BTU34" s="37"/>
      <c r="BTV34" s="37"/>
      <c r="BTW34" s="75"/>
      <c r="BTX34" s="65"/>
      <c r="BTY34" s="65"/>
      <c r="BTZ34" s="65"/>
      <c r="BUA34" s="65"/>
      <c r="BUB34" s="37"/>
      <c r="BUC34" s="138"/>
      <c r="BUD34" s="37"/>
      <c r="BUE34" s="37"/>
      <c r="BUF34" s="37"/>
      <c r="BUG34" s="37"/>
      <c r="BUH34" s="37"/>
      <c r="BUI34" s="75"/>
      <c r="BUJ34" s="37"/>
      <c r="BUK34" s="37"/>
      <c r="BUL34" s="37"/>
      <c r="BUM34" s="37"/>
      <c r="BUN34" s="37"/>
      <c r="BUO34" s="138"/>
      <c r="BUP34" s="37"/>
      <c r="BUQ34" s="37"/>
      <c r="BUR34" s="37"/>
      <c r="BUS34" s="37"/>
      <c r="BUT34" s="37"/>
      <c r="BUU34" s="75"/>
      <c r="BUV34" s="37"/>
      <c r="BUW34" s="37"/>
      <c r="BUX34" s="37"/>
      <c r="BUY34" s="37"/>
      <c r="BUZ34" s="37"/>
      <c r="BVA34" s="38"/>
      <c r="BVB34" s="36"/>
      <c r="BVC34" s="65"/>
      <c r="BVD34" s="65"/>
      <c r="BVE34" s="65"/>
      <c r="BVF34" s="37"/>
      <c r="BVG34" s="133"/>
      <c r="BVH34" s="37"/>
      <c r="BVI34" s="37"/>
      <c r="BVJ34" s="37"/>
      <c r="BVK34" s="37"/>
      <c r="BVL34" s="37"/>
      <c r="BVM34" s="138"/>
      <c r="BVN34" s="37"/>
      <c r="BVO34" s="37"/>
      <c r="BVP34" s="37"/>
      <c r="BVQ34" s="37"/>
      <c r="BVR34" s="37"/>
      <c r="BVS34" s="75"/>
      <c r="BVT34" s="37"/>
      <c r="BVU34" s="37"/>
      <c r="BVV34" s="37"/>
      <c r="BVW34" s="37"/>
      <c r="BVX34" s="37"/>
      <c r="BVY34" s="138"/>
      <c r="BVZ34" s="37"/>
      <c r="BWA34" s="37"/>
      <c r="BWB34" s="37"/>
      <c r="BWC34" s="37"/>
      <c r="BWD34" s="37"/>
      <c r="BWE34" s="75"/>
      <c r="BWF34" s="65"/>
      <c r="BWG34" s="65"/>
      <c r="BWH34" s="65"/>
      <c r="BWI34" s="65"/>
      <c r="BWJ34" s="37"/>
      <c r="BWK34" s="138"/>
      <c r="BWL34" s="37"/>
      <c r="BWM34" s="37"/>
      <c r="BWN34" s="37"/>
      <c r="BWO34" s="37"/>
      <c r="BWP34" s="37"/>
      <c r="BWQ34" s="75"/>
      <c r="BWR34" s="37"/>
      <c r="BWS34" s="37"/>
      <c r="BWT34" s="37"/>
      <c r="BWU34" s="37"/>
      <c r="BWV34" s="37"/>
      <c r="BWW34" s="138"/>
      <c r="BWX34" s="37"/>
      <c r="BWY34" s="37"/>
      <c r="BWZ34" s="37"/>
      <c r="BXA34" s="37"/>
      <c r="BXB34" s="37"/>
      <c r="BXC34" s="75"/>
      <c r="BXD34" s="37"/>
      <c r="BXE34" s="37"/>
      <c r="BXF34" s="37"/>
      <c r="BXG34" s="37"/>
      <c r="BXH34" s="37"/>
      <c r="BXI34" s="38"/>
      <c r="BXJ34" s="36"/>
      <c r="BXK34" s="65"/>
      <c r="BXL34" s="65"/>
      <c r="BXM34" s="65"/>
      <c r="BXN34" s="37"/>
      <c r="BXO34" s="133"/>
      <c r="BXP34" s="37"/>
      <c r="BXQ34" s="37"/>
      <c r="BXR34" s="37"/>
      <c r="BXS34" s="37"/>
      <c r="BXT34" s="37"/>
      <c r="BXU34" s="138"/>
      <c r="BXV34" s="37"/>
      <c r="BXW34" s="37"/>
      <c r="BXX34" s="37"/>
      <c r="BXY34" s="37"/>
      <c r="BXZ34" s="37"/>
      <c r="BYA34" s="75"/>
      <c r="BYB34" s="37"/>
      <c r="BYC34" s="37"/>
      <c r="BYD34" s="37"/>
      <c r="BYE34" s="37"/>
      <c r="BYF34" s="37"/>
      <c r="BYG34" s="138"/>
      <c r="BYH34" s="37"/>
      <c r="BYI34" s="37"/>
      <c r="BYJ34" s="37"/>
      <c r="BYK34" s="37"/>
      <c r="BYL34" s="37"/>
      <c r="BYM34" s="75"/>
      <c r="BYN34" s="65"/>
      <c r="BYO34" s="65"/>
      <c r="BYP34" s="65"/>
      <c r="BYQ34" s="65"/>
      <c r="BYR34" s="37"/>
      <c r="BYS34" s="138"/>
      <c r="BYT34" s="37"/>
      <c r="BYU34" s="37"/>
      <c r="BYV34" s="37"/>
      <c r="BYW34" s="37"/>
      <c r="BYX34" s="37"/>
      <c r="BYY34" s="75"/>
      <c r="BYZ34" s="37"/>
      <c r="BZA34" s="37"/>
      <c r="BZB34" s="37"/>
      <c r="BZC34" s="37"/>
      <c r="BZD34" s="37"/>
      <c r="BZE34" s="138"/>
      <c r="BZF34" s="37"/>
      <c r="BZG34" s="37"/>
      <c r="BZH34" s="37"/>
      <c r="BZI34" s="37"/>
      <c r="BZJ34" s="37"/>
      <c r="BZK34" s="75"/>
      <c r="BZL34" s="37"/>
      <c r="BZM34" s="37"/>
      <c r="BZN34" s="37"/>
      <c r="BZO34" s="37"/>
      <c r="BZP34" s="37"/>
      <c r="BZQ34" s="38"/>
      <c r="BZR34" s="36"/>
      <c r="BZS34" s="65"/>
      <c r="BZT34" s="65"/>
      <c r="BZU34" s="65"/>
      <c r="BZV34" s="37"/>
      <c r="BZW34" s="133"/>
      <c r="BZX34" s="37"/>
      <c r="BZY34" s="37"/>
      <c r="BZZ34" s="37"/>
      <c r="CAA34" s="37"/>
      <c r="CAB34" s="37"/>
      <c r="CAC34" s="138"/>
      <c r="CAD34" s="37"/>
      <c r="CAE34" s="37"/>
      <c r="CAF34" s="37"/>
      <c r="CAG34" s="37"/>
      <c r="CAH34" s="37"/>
      <c r="CAI34" s="75"/>
      <c r="CAJ34" s="37"/>
      <c r="CAK34" s="37"/>
      <c r="CAL34" s="37"/>
      <c r="CAM34" s="37"/>
      <c r="CAN34" s="37"/>
      <c r="CAO34" s="138"/>
      <c r="CAP34" s="37"/>
      <c r="CAQ34" s="37"/>
      <c r="CAR34" s="37"/>
      <c r="CAS34" s="37"/>
      <c r="CAT34" s="37"/>
      <c r="CAU34" s="75"/>
      <c r="CAV34" s="65"/>
      <c r="CAW34" s="65"/>
      <c r="CAX34" s="65"/>
      <c r="CAY34" s="65"/>
      <c r="CAZ34" s="37"/>
      <c r="CBA34" s="138"/>
      <c r="CBB34" s="37"/>
      <c r="CBC34" s="37"/>
      <c r="CBD34" s="37"/>
      <c r="CBE34" s="37"/>
      <c r="CBF34" s="37"/>
      <c r="CBG34" s="75"/>
      <c r="CBH34" s="37"/>
      <c r="CBI34" s="37"/>
      <c r="CBJ34" s="37"/>
      <c r="CBK34" s="37"/>
      <c r="CBL34" s="37"/>
      <c r="CBM34" s="138"/>
      <c r="CBN34" s="37"/>
      <c r="CBO34" s="37"/>
      <c r="CBP34" s="37"/>
      <c r="CBQ34" s="37"/>
      <c r="CBR34" s="37"/>
      <c r="CBS34" s="75"/>
      <c r="CBT34" s="37"/>
      <c r="CBU34" s="37"/>
      <c r="CBV34" s="37"/>
      <c r="CBW34" s="37"/>
      <c r="CBX34" s="37"/>
      <c r="CBY34" s="38"/>
      <c r="CBZ34" s="36"/>
      <c r="CCA34" s="65"/>
      <c r="CCB34" s="65"/>
      <c r="CCC34" s="65"/>
      <c r="CCD34" s="37"/>
      <c r="CCE34" s="133"/>
      <c r="CCF34" s="37"/>
      <c r="CCG34" s="37"/>
      <c r="CCH34" s="37"/>
      <c r="CCI34" s="37"/>
      <c r="CCJ34" s="37"/>
      <c r="CCK34" s="138"/>
      <c r="CCL34" s="37"/>
      <c r="CCM34" s="37"/>
      <c r="CCN34" s="37"/>
      <c r="CCO34" s="37"/>
      <c r="CCP34" s="37"/>
      <c r="CCQ34" s="75"/>
      <c r="CCR34" s="37"/>
      <c r="CCS34" s="37"/>
      <c r="CCT34" s="37"/>
      <c r="CCU34" s="37"/>
      <c r="CCV34" s="37"/>
      <c r="CCW34" s="138"/>
      <c r="CCX34" s="37"/>
      <c r="CCY34" s="37"/>
      <c r="CCZ34" s="37"/>
      <c r="CDA34" s="37"/>
      <c r="CDB34" s="37"/>
      <c r="CDC34" s="75"/>
      <c r="CDD34" s="65"/>
      <c r="CDE34" s="65"/>
      <c r="CDF34" s="65"/>
      <c r="CDG34" s="65"/>
      <c r="CDH34" s="37"/>
      <c r="CDI34" s="138"/>
      <c r="CDJ34" s="37"/>
      <c r="CDK34" s="37"/>
      <c r="CDL34" s="37"/>
      <c r="CDM34" s="37"/>
      <c r="CDN34" s="37"/>
      <c r="CDO34" s="75"/>
      <c r="CDP34" s="37"/>
      <c r="CDQ34" s="37"/>
      <c r="CDR34" s="37"/>
      <c r="CDS34" s="37"/>
      <c r="CDT34" s="37"/>
      <c r="CDU34" s="138"/>
      <c r="CDV34" s="37"/>
      <c r="CDW34" s="37"/>
      <c r="CDX34" s="37"/>
      <c r="CDY34" s="37"/>
      <c r="CDZ34" s="37"/>
      <c r="CEA34" s="75"/>
      <c r="CEB34" s="37"/>
      <c r="CEC34" s="37"/>
      <c r="CED34" s="37"/>
      <c r="CEE34" s="37"/>
      <c r="CEF34" s="37"/>
      <c r="CEG34" s="38"/>
      <c r="CEH34" s="36"/>
      <c r="CEI34" s="65"/>
      <c r="CEJ34" s="65"/>
      <c r="CEK34" s="65"/>
      <c r="CEL34" s="37"/>
      <c r="CEM34" s="133"/>
      <c r="CEN34" s="37"/>
      <c r="CEO34" s="37"/>
      <c r="CEP34" s="37"/>
      <c r="CEQ34" s="37"/>
      <c r="CER34" s="37"/>
      <c r="CES34" s="138"/>
      <c r="CET34" s="37"/>
      <c r="CEU34" s="37"/>
      <c r="CEV34" s="37"/>
      <c r="CEW34" s="37"/>
      <c r="CEX34" s="37"/>
      <c r="CEY34" s="75"/>
      <c r="CEZ34" s="37"/>
      <c r="CFA34" s="37"/>
      <c r="CFB34" s="37"/>
      <c r="CFC34" s="37"/>
      <c r="CFD34" s="37"/>
      <c r="CFE34" s="138"/>
      <c r="CFF34" s="37"/>
      <c r="CFG34" s="37"/>
      <c r="CFH34" s="37"/>
      <c r="CFI34" s="37"/>
      <c r="CFJ34" s="37"/>
      <c r="CFK34" s="75"/>
      <c r="CFL34" s="65"/>
      <c r="CFM34" s="65"/>
      <c r="CFN34" s="65"/>
      <c r="CFO34" s="65"/>
      <c r="CFP34" s="37"/>
      <c r="CFQ34" s="138"/>
      <c r="CFR34" s="37"/>
      <c r="CFS34" s="37"/>
      <c r="CFT34" s="37"/>
      <c r="CFU34" s="37"/>
      <c r="CFV34" s="37"/>
      <c r="CFW34" s="75"/>
      <c r="CFX34" s="37"/>
      <c r="CFY34" s="37"/>
      <c r="CFZ34" s="37"/>
      <c r="CGA34" s="37"/>
      <c r="CGB34" s="37"/>
      <c r="CGC34" s="138"/>
      <c r="CGD34" s="37"/>
      <c r="CGE34" s="37"/>
      <c r="CGF34" s="37"/>
      <c r="CGG34" s="37"/>
      <c r="CGH34" s="37"/>
      <c r="CGI34" s="75"/>
      <c r="CGJ34" s="37"/>
      <c r="CGK34" s="37"/>
      <c r="CGL34" s="37"/>
      <c r="CGM34" s="37"/>
      <c r="CGN34" s="37"/>
      <c r="CGO34" s="38"/>
      <c r="CGP34" s="36"/>
      <c r="CGQ34" s="65"/>
      <c r="CGR34" s="65"/>
      <c r="CGS34" s="65"/>
      <c r="CGT34" s="37"/>
      <c r="CGU34" s="133"/>
      <c r="CGV34" s="37"/>
      <c r="CGW34" s="37"/>
      <c r="CGX34" s="37"/>
      <c r="CGY34" s="37"/>
      <c r="CGZ34" s="37"/>
      <c r="CHA34" s="138"/>
      <c r="CHB34" s="37"/>
      <c r="CHC34" s="37"/>
      <c r="CHD34" s="37"/>
      <c r="CHE34" s="37"/>
      <c r="CHF34" s="37"/>
      <c r="CHG34" s="75"/>
      <c r="CHH34" s="37"/>
      <c r="CHI34" s="37"/>
      <c r="CHJ34" s="37"/>
      <c r="CHK34" s="37"/>
      <c r="CHL34" s="37"/>
      <c r="CHM34" s="138"/>
      <c r="CHN34" s="37"/>
      <c r="CHO34" s="37"/>
      <c r="CHP34" s="37"/>
      <c r="CHQ34" s="37"/>
      <c r="CHR34" s="37"/>
      <c r="CHS34" s="75"/>
      <c r="CHT34" s="65"/>
      <c r="CHU34" s="65"/>
      <c r="CHV34" s="65"/>
      <c r="CHW34" s="65"/>
      <c r="CHX34" s="37"/>
      <c r="CHY34" s="138"/>
      <c r="CHZ34" s="37"/>
      <c r="CIA34" s="37"/>
      <c r="CIB34" s="37"/>
      <c r="CIC34" s="37"/>
      <c r="CID34" s="37"/>
      <c r="CIE34" s="75"/>
      <c r="CIF34" s="37"/>
      <c r="CIG34" s="37"/>
      <c r="CIH34" s="37"/>
      <c r="CII34" s="37"/>
      <c r="CIJ34" s="37"/>
      <c r="CIK34" s="138"/>
      <c r="CIL34" s="37"/>
      <c r="CIM34" s="37"/>
      <c r="CIN34" s="37"/>
      <c r="CIO34" s="37"/>
      <c r="CIP34" s="37"/>
      <c r="CIQ34" s="75"/>
      <c r="CIR34" s="37"/>
      <c r="CIS34" s="37"/>
      <c r="CIT34" s="37"/>
      <c r="CIU34" s="37"/>
      <c r="CIV34" s="37"/>
      <c r="CIW34" s="38"/>
      <c r="CIX34" s="36"/>
      <c r="CIY34" s="65"/>
      <c r="CIZ34" s="65"/>
      <c r="CJA34" s="65"/>
      <c r="CJB34" s="37"/>
      <c r="CJC34" s="133"/>
      <c r="CJD34" s="37"/>
      <c r="CJE34" s="37"/>
      <c r="CJF34" s="37"/>
      <c r="CJG34" s="37"/>
      <c r="CJH34" s="37"/>
      <c r="CJI34" s="138"/>
      <c r="CJJ34" s="37"/>
      <c r="CJK34" s="37"/>
      <c r="CJL34" s="37"/>
      <c r="CJM34" s="37"/>
      <c r="CJN34" s="37"/>
      <c r="CJO34" s="75"/>
      <c r="CJP34" s="37"/>
      <c r="CJQ34" s="37"/>
      <c r="CJR34" s="37"/>
      <c r="CJS34" s="37"/>
      <c r="CJT34" s="37"/>
      <c r="CJU34" s="138"/>
      <c r="CJV34" s="37"/>
      <c r="CJW34" s="37"/>
      <c r="CJX34" s="37"/>
      <c r="CJY34" s="37"/>
      <c r="CJZ34" s="37"/>
      <c r="CKA34" s="75"/>
      <c r="CKB34" s="65"/>
      <c r="CKC34" s="65"/>
      <c r="CKD34" s="65"/>
      <c r="CKE34" s="65"/>
      <c r="CKF34" s="37"/>
      <c r="CKG34" s="138"/>
      <c r="CKH34" s="37"/>
      <c r="CKI34" s="37"/>
      <c r="CKJ34" s="37"/>
      <c r="CKK34" s="37"/>
      <c r="CKL34" s="37"/>
      <c r="CKM34" s="75"/>
      <c r="CKN34" s="37"/>
      <c r="CKO34" s="37"/>
      <c r="CKP34" s="37"/>
      <c r="CKQ34" s="37"/>
      <c r="CKR34" s="37"/>
      <c r="CKS34" s="138"/>
      <c r="CKT34" s="37"/>
      <c r="CKU34" s="37"/>
      <c r="CKV34" s="37"/>
      <c r="CKW34" s="37"/>
      <c r="CKX34" s="37"/>
      <c r="CKY34" s="75"/>
      <c r="CKZ34" s="37"/>
      <c r="CLA34" s="37"/>
      <c r="CLB34" s="37"/>
      <c r="CLC34" s="37"/>
      <c r="CLD34" s="37"/>
      <c r="CLE34" s="38"/>
      <c r="CLF34" s="36"/>
      <c r="CLG34" s="65"/>
      <c r="CLH34" s="65"/>
      <c r="CLI34" s="65"/>
      <c r="CLJ34" s="37"/>
      <c r="CLK34" s="133"/>
      <c r="CLL34" s="37"/>
      <c r="CLM34" s="37"/>
      <c r="CLN34" s="37"/>
      <c r="CLO34" s="37"/>
      <c r="CLP34" s="37"/>
      <c r="CLQ34" s="138"/>
      <c r="CLR34" s="37"/>
      <c r="CLS34" s="37"/>
      <c r="CLT34" s="37"/>
      <c r="CLU34" s="37"/>
      <c r="CLV34" s="37"/>
      <c r="CLW34" s="75"/>
      <c r="CLX34" s="37"/>
      <c r="CLY34" s="37"/>
      <c r="CLZ34" s="37"/>
      <c r="CMA34" s="37"/>
      <c r="CMB34" s="37"/>
      <c r="CMC34" s="138"/>
      <c r="CMD34" s="37"/>
      <c r="CME34" s="37"/>
      <c r="CMF34" s="37"/>
      <c r="CMG34" s="37"/>
      <c r="CMH34" s="37"/>
      <c r="CMI34" s="75"/>
      <c r="CMJ34" s="65"/>
      <c r="CMK34" s="65"/>
      <c r="CML34" s="65"/>
      <c r="CMM34" s="65"/>
      <c r="CMN34" s="37"/>
      <c r="CMO34" s="138"/>
      <c r="CMP34" s="37"/>
      <c r="CMQ34" s="37"/>
      <c r="CMR34" s="37"/>
      <c r="CMS34" s="37"/>
      <c r="CMT34" s="37"/>
      <c r="CMU34" s="75"/>
      <c r="CMV34" s="37"/>
      <c r="CMW34" s="37"/>
      <c r="CMX34" s="37"/>
      <c r="CMY34" s="37"/>
      <c r="CMZ34" s="37"/>
      <c r="CNA34" s="138"/>
      <c r="CNB34" s="37"/>
      <c r="CNC34" s="37"/>
      <c r="CND34" s="37"/>
      <c r="CNE34" s="37"/>
      <c r="CNF34" s="37"/>
      <c r="CNG34" s="75"/>
      <c r="CNH34" s="37"/>
      <c r="CNI34" s="37"/>
      <c r="CNJ34" s="37"/>
      <c r="CNK34" s="37"/>
      <c r="CNL34" s="37"/>
      <c r="CNM34" s="38"/>
      <c r="CNN34" s="36"/>
      <c r="CNO34" s="65"/>
      <c r="CNP34" s="65"/>
      <c r="CNQ34" s="65"/>
      <c r="CNR34" s="37"/>
      <c r="CNS34" s="133"/>
      <c r="CNT34" s="37"/>
      <c r="CNU34" s="37"/>
      <c r="CNV34" s="37"/>
      <c r="CNW34" s="37"/>
      <c r="CNX34" s="37"/>
      <c r="CNY34" s="138"/>
      <c r="CNZ34" s="37"/>
      <c r="COA34" s="37"/>
      <c r="COB34" s="37"/>
      <c r="COC34" s="37"/>
      <c r="COD34" s="37"/>
      <c r="COE34" s="75"/>
      <c r="COF34" s="37"/>
      <c r="COG34" s="37"/>
      <c r="COH34" s="37"/>
      <c r="COI34" s="37"/>
      <c r="COJ34" s="37"/>
      <c r="COK34" s="138"/>
      <c r="COL34" s="37"/>
      <c r="COM34" s="37"/>
      <c r="CON34" s="37"/>
      <c r="COO34" s="37"/>
      <c r="COP34" s="37"/>
      <c r="COQ34" s="75"/>
      <c r="COR34" s="65"/>
      <c r="COS34" s="65"/>
      <c r="COT34" s="65"/>
      <c r="COU34" s="65"/>
      <c r="COV34" s="37"/>
      <c r="COW34" s="138"/>
      <c r="COX34" s="37"/>
      <c r="COY34" s="37"/>
      <c r="COZ34" s="37"/>
      <c r="CPA34" s="37"/>
      <c r="CPB34" s="37"/>
      <c r="CPC34" s="75"/>
      <c r="CPD34" s="37"/>
      <c r="CPE34" s="37"/>
      <c r="CPF34" s="37"/>
      <c r="CPG34" s="37"/>
      <c r="CPH34" s="37"/>
      <c r="CPI34" s="138"/>
      <c r="CPJ34" s="37"/>
      <c r="CPK34" s="37"/>
      <c r="CPL34" s="37"/>
      <c r="CPM34" s="37"/>
      <c r="CPN34" s="37"/>
      <c r="CPO34" s="75"/>
      <c r="CPP34" s="37"/>
      <c r="CPQ34" s="37"/>
      <c r="CPR34" s="37"/>
      <c r="CPS34" s="37"/>
      <c r="CPT34" s="37"/>
      <c r="CPU34" s="38"/>
      <c r="CPV34" s="36"/>
      <c r="CPW34" s="65"/>
      <c r="CPX34" s="65"/>
      <c r="CPY34" s="65"/>
      <c r="CPZ34" s="37"/>
      <c r="CQA34" s="133"/>
      <c r="CQB34" s="37"/>
      <c r="CQC34" s="37"/>
      <c r="CQD34" s="37"/>
      <c r="CQE34" s="37"/>
      <c r="CQF34" s="37"/>
      <c r="CQG34" s="138"/>
      <c r="CQH34" s="37"/>
      <c r="CQI34" s="37"/>
      <c r="CQJ34" s="37"/>
      <c r="CQK34" s="37"/>
      <c r="CQL34" s="37"/>
      <c r="CQM34" s="75"/>
      <c r="CQN34" s="37"/>
      <c r="CQO34" s="37"/>
      <c r="CQP34" s="37"/>
      <c r="CQQ34" s="37"/>
      <c r="CQR34" s="37"/>
      <c r="CQS34" s="138"/>
      <c r="CQT34" s="37"/>
      <c r="CQU34" s="37"/>
      <c r="CQV34" s="37"/>
      <c r="CQW34" s="37"/>
      <c r="CQX34" s="37"/>
      <c r="CQY34" s="75"/>
      <c r="CQZ34" s="65"/>
      <c r="CRA34" s="65"/>
      <c r="CRB34" s="65"/>
      <c r="CRC34" s="65"/>
      <c r="CRD34" s="37"/>
      <c r="CRE34" s="138"/>
      <c r="CRF34" s="37"/>
      <c r="CRG34" s="37"/>
      <c r="CRH34" s="37"/>
      <c r="CRI34" s="37"/>
      <c r="CRJ34" s="37"/>
      <c r="CRK34" s="75"/>
      <c r="CRL34" s="37"/>
      <c r="CRM34" s="37"/>
      <c r="CRN34" s="37"/>
      <c r="CRO34" s="37"/>
      <c r="CRP34" s="37"/>
      <c r="CRQ34" s="138"/>
      <c r="CRR34" s="37"/>
      <c r="CRS34" s="37"/>
      <c r="CRT34" s="37"/>
      <c r="CRU34" s="37"/>
      <c r="CRV34" s="37"/>
      <c r="CRW34" s="75"/>
      <c r="CRX34" s="37"/>
      <c r="CRY34" s="37"/>
      <c r="CRZ34" s="37"/>
      <c r="CSA34" s="37"/>
      <c r="CSB34" s="37"/>
      <c r="CSC34" s="38"/>
      <c r="CSD34" s="90"/>
    </row>
    <row r="35" spans="1:2526" ht="20.100000000000001" customHeight="1" x14ac:dyDescent="0.25">
      <c r="A35" s="100" t="s">
        <v>18</v>
      </c>
      <c r="B35" s="63" t="str">
        <f>IF(LEN(C55)=0,"",C55)</f>
        <v>Documentation - Rapport</v>
      </c>
      <c r="C35" s="211" t="s">
        <v>59</v>
      </c>
      <c r="D35" s="146"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40"/>
      <c r="BLW35" s="66"/>
      <c r="BLX35" s="66"/>
      <c r="BLY35" s="66"/>
      <c r="BLZ35" s="41"/>
      <c r="BMA35" s="134"/>
      <c r="BMB35" s="41"/>
      <c r="BMC35" s="41"/>
      <c r="BMD35" s="41"/>
      <c r="BME35" s="41"/>
      <c r="BMF35" s="41"/>
      <c r="BMG35" s="139"/>
      <c r="BMH35" s="41"/>
      <c r="BMI35" s="41"/>
      <c r="BMJ35" s="41"/>
      <c r="BMK35" s="41"/>
      <c r="BML35" s="41"/>
      <c r="BMM35" s="76"/>
      <c r="BMN35" s="41"/>
      <c r="BMO35" s="41"/>
      <c r="BMP35" s="41"/>
      <c r="BMQ35" s="41"/>
      <c r="BMR35" s="41"/>
      <c r="BMS35" s="139"/>
      <c r="BMT35" s="41"/>
      <c r="BMU35" s="41"/>
      <c r="BMV35" s="41"/>
      <c r="BMW35" s="41"/>
      <c r="BMX35" s="41"/>
      <c r="BMY35" s="76"/>
      <c r="BMZ35" s="66"/>
      <c r="BNA35" s="66"/>
      <c r="BNB35" s="66"/>
      <c r="BNC35" s="66"/>
      <c r="BND35" s="41"/>
      <c r="BNE35" s="139"/>
      <c r="BNF35" s="41"/>
      <c r="BNG35" s="41"/>
      <c r="BNH35" s="41"/>
      <c r="BNI35" s="41"/>
      <c r="BNJ35" s="41"/>
      <c r="BNK35" s="76"/>
      <c r="BNL35" s="41"/>
      <c r="BNM35" s="41"/>
      <c r="BNN35" s="41"/>
      <c r="BNO35" s="41"/>
      <c r="BNP35" s="41"/>
      <c r="BNQ35" s="139"/>
      <c r="BNR35" s="41"/>
      <c r="BNS35" s="41"/>
      <c r="BNT35" s="41"/>
      <c r="BNU35" s="41"/>
      <c r="BNV35" s="41"/>
      <c r="BNW35" s="76"/>
      <c r="BNX35" s="41"/>
      <c r="BNY35" s="41"/>
      <c r="BNZ35" s="41"/>
      <c r="BOA35" s="41"/>
      <c r="BOB35" s="41"/>
      <c r="BOC35" s="42"/>
      <c r="BOD35" s="40"/>
      <c r="BOE35" s="66"/>
      <c r="BOF35" s="66"/>
      <c r="BOG35" s="66"/>
      <c r="BOH35" s="41"/>
      <c r="BOI35" s="134"/>
      <c r="BOJ35" s="41"/>
      <c r="BOK35" s="41"/>
      <c r="BOL35" s="41"/>
      <c r="BOM35" s="41"/>
      <c r="BON35" s="41"/>
      <c r="BOO35" s="139"/>
      <c r="BOP35" s="41"/>
      <c r="BOQ35" s="41"/>
      <c r="BOR35" s="41"/>
      <c r="BOS35" s="41"/>
      <c r="BOT35" s="41"/>
      <c r="BOU35" s="76"/>
      <c r="BOV35" s="41"/>
      <c r="BOW35" s="41"/>
      <c r="BOX35" s="41"/>
      <c r="BOY35" s="41"/>
      <c r="BOZ35" s="41"/>
      <c r="BPA35" s="139"/>
      <c r="BPB35" s="41"/>
      <c r="BPC35" s="41"/>
      <c r="BPD35" s="41"/>
      <c r="BPE35" s="41"/>
      <c r="BPF35" s="41"/>
      <c r="BPG35" s="76"/>
      <c r="BPH35" s="66"/>
      <c r="BPI35" s="66"/>
      <c r="BPJ35" s="66"/>
      <c r="BPK35" s="66"/>
      <c r="BPL35" s="41"/>
      <c r="BPM35" s="139"/>
      <c r="BPN35" s="41"/>
      <c r="BPO35" s="41"/>
      <c r="BPP35" s="41"/>
      <c r="BPQ35" s="41"/>
      <c r="BPR35" s="41"/>
      <c r="BPS35" s="76"/>
      <c r="BPT35" s="41"/>
      <c r="BPU35" s="41"/>
      <c r="BPV35" s="41"/>
      <c r="BPW35" s="41"/>
      <c r="BPX35" s="41"/>
      <c r="BPY35" s="139"/>
      <c r="BPZ35" s="41"/>
      <c r="BQA35" s="41"/>
      <c r="BQB35" s="41"/>
      <c r="BQC35" s="41"/>
      <c r="BQD35" s="41"/>
      <c r="BQE35" s="76"/>
      <c r="BQF35" s="41"/>
      <c r="BQG35" s="41"/>
      <c r="BQH35" s="41"/>
      <c r="BQI35" s="41"/>
      <c r="BQJ35" s="41"/>
      <c r="BQK35" s="42"/>
      <c r="BQL35" s="40"/>
      <c r="BQM35" s="66"/>
      <c r="BQN35" s="66"/>
      <c r="BQO35" s="66"/>
      <c r="BQP35" s="41"/>
      <c r="BQQ35" s="134"/>
      <c r="BQR35" s="41"/>
      <c r="BQS35" s="41"/>
      <c r="BQT35" s="41"/>
      <c r="BQU35" s="41"/>
      <c r="BQV35" s="41"/>
      <c r="BQW35" s="139"/>
      <c r="BQX35" s="41"/>
      <c r="BQY35" s="41"/>
      <c r="BQZ35" s="41"/>
      <c r="BRA35" s="41"/>
      <c r="BRB35" s="41"/>
      <c r="BRC35" s="76"/>
      <c r="BRD35" s="41"/>
      <c r="BRE35" s="41"/>
      <c r="BRF35" s="41"/>
      <c r="BRG35" s="41"/>
      <c r="BRH35" s="41"/>
      <c r="BRI35" s="139"/>
      <c r="BRJ35" s="41"/>
      <c r="BRK35" s="41"/>
      <c r="BRL35" s="41"/>
      <c r="BRM35" s="41"/>
      <c r="BRN35" s="41"/>
      <c r="BRO35" s="76"/>
      <c r="BRP35" s="66"/>
      <c r="BRQ35" s="66"/>
      <c r="BRR35" s="66"/>
      <c r="BRS35" s="66"/>
      <c r="BRT35" s="41"/>
      <c r="BRU35" s="139"/>
      <c r="BRV35" s="41"/>
      <c r="BRW35" s="41"/>
      <c r="BRX35" s="41"/>
      <c r="BRY35" s="41"/>
      <c r="BRZ35" s="41"/>
      <c r="BSA35" s="76"/>
      <c r="BSB35" s="41"/>
      <c r="BSC35" s="41"/>
      <c r="BSD35" s="41"/>
      <c r="BSE35" s="41"/>
      <c r="BSF35" s="41"/>
      <c r="BSG35" s="139"/>
      <c r="BSH35" s="41"/>
      <c r="BSI35" s="41"/>
      <c r="BSJ35" s="41"/>
      <c r="BSK35" s="41"/>
      <c r="BSL35" s="41"/>
      <c r="BSM35" s="76"/>
      <c r="BSN35" s="41"/>
      <c r="BSO35" s="41"/>
      <c r="BSP35" s="41"/>
      <c r="BSQ35" s="41"/>
      <c r="BSR35" s="41"/>
      <c r="BSS35" s="42"/>
      <c r="BST35" s="40"/>
      <c r="BSU35" s="66"/>
      <c r="BSV35" s="66"/>
      <c r="BSW35" s="66"/>
      <c r="BSX35" s="41"/>
      <c r="BSY35" s="134"/>
      <c r="BSZ35" s="41"/>
      <c r="BTA35" s="41"/>
      <c r="BTB35" s="41"/>
      <c r="BTC35" s="41"/>
      <c r="BTD35" s="41"/>
      <c r="BTE35" s="139"/>
      <c r="BTF35" s="41"/>
      <c r="BTG35" s="41"/>
      <c r="BTH35" s="41"/>
      <c r="BTI35" s="41"/>
      <c r="BTJ35" s="41"/>
      <c r="BTK35" s="76"/>
      <c r="BTL35" s="41"/>
      <c r="BTM35" s="41"/>
      <c r="BTN35" s="41"/>
      <c r="BTO35" s="41"/>
      <c r="BTP35" s="41"/>
      <c r="BTQ35" s="139"/>
      <c r="BTR35" s="41"/>
      <c r="BTS35" s="41"/>
      <c r="BTT35" s="41"/>
      <c r="BTU35" s="41"/>
      <c r="BTV35" s="41"/>
      <c r="BTW35" s="76"/>
      <c r="BTX35" s="66"/>
      <c r="BTY35" s="66"/>
      <c r="BTZ35" s="66"/>
      <c r="BUA35" s="66"/>
      <c r="BUB35" s="41"/>
      <c r="BUC35" s="139"/>
      <c r="BUD35" s="41"/>
      <c r="BUE35" s="41"/>
      <c r="BUF35" s="41"/>
      <c r="BUG35" s="41"/>
      <c r="BUH35" s="41"/>
      <c r="BUI35" s="76"/>
      <c r="BUJ35" s="41"/>
      <c r="BUK35" s="41"/>
      <c r="BUL35" s="41"/>
      <c r="BUM35" s="41"/>
      <c r="BUN35" s="41"/>
      <c r="BUO35" s="139"/>
      <c r="BUP35" s="41"/>
      <c r="BUQ35" s="41"/>
      <c r="BUR35" s="41"/>
      <c r="BUS35" s="41"/>
      <c r="BUT35" s="41"/>
      <c r="BUU35" s="76"/>
      <c r="BUV35" s="41"/>
      <c r="BUW35" s="41"/>
      <c r="BUX35" s="41"/>
      <c r="BUY35" s="41"/>
      <c r="BUZ35" s="41"/>
      <c r="BVA35" s="42"/>
      <c r="BVB35" s="40"/>
      <c r="BVC35" s="66"/>
      <c r="BVD35" s="66"/>
      <c r="BVE35" s="66"/>
      <c r="BVF35" s="41"/>
      <c r="BVG35" s="134"/>
      <c r="BVH35" s="41"/>
      <c r="BVI35" s="41"/>
      <c r="BVJ35" s="41"/>
      <c r="BVK35" s="41"/>
      <c r="BVL35" s="41"/>
      <c r="BVM35" s="139"/>
      <c r="BVN35" s="41"/>
      <c r="BVO35" s="41"/>
      <c r="BVP35" s="41"/>
      <c r="BVQ35" s="41"/>
      <c r="BVR35" s="41"/>
      <c r="BVS35" s="76"/>
      <c r="BVT35" s="41"/>
      <c r="BVU35" s="41"/>
      <c r="BVV35" s="41"/>
      <c r="BVW35" s="41"/>
      <c r="BVX35" s="41"/>
      <c r="BVY35" s="139"/>
      <c r="BVZ35" s="41"/>
      <c r="BWA35" s="41"/>
      <c r="BWB35" s="41"/>
      <c r="BWC35" s="41"/>
      <c r="BWD35" s="41"/>
      <c r="BWE35" s="76"/>
      <c r="BWF35" s="66"/>
      <c r="BWG35" s="66"/>
      <c r="BWH35" s="66"/>
      <c r="BWI35" s="66"/>
      <c r="BWJ35" s="41"/>
      <c r="BWK35" s="139"/>
      <c r="BWL35" s="41"/>
      <c r="BWM35" s="41"/>
      <c r="BWN35" s="41"/>
      <c r="BWO35" s="41"/>
      <c r="BWP35" s="41"/>
      <c r="BWQ35" s="76"/>
      <c r="BWR35" s="41"/>
      <c r="BWS35" s="41"/>
      <c r="BWT35" s="41"/>
      <c r="BWU35" s="41"/>
      <c r="BWV35" s="41"/>
      <c r="BWW35" s="139"/>
      <c r="BWX35" s="41"/>
      <c r="BWY35" s="41"/>
      <c r="BWZ35" s="41"/>
      <c r="BXA35" s="41"/>
      <c r="BXB35" s="41"/>
      <c r="BXC35" s="76"/>
      <c r="BXD35" s="41"/>
      <c r="BXE35" s="41"/>
      <c r="BXF35" s="41"/>
      <c r="BXG35" s="41"/>
      <c r="BXH35" s="41"/>
      <c r="BXI35" s="42"/>
      <c r="BXJ35" s="40"/>
      <c r="BXK35" s="66"/>
      <c r="BXL35" s="66"/>
      <c r="BXM35" s="66"/>
      <c r="BXN35" s="41"/>
      <c r="BXO35" s="134"/>
      <c r="BXP35" s="41"/>
      <c r="BXQ35" s="41"/>
      <c r="BXR35" s="41"/>
      <c r="BXS35" s="41"/>
      <c r="BXT35" s="41"/>
      <c r="BXU35" s="139"/>
      <c r="BXV35" s="41"/>
      <c r="BXW35" s="41"/>
      <c r="BXX35" s="41"/>
      <c r="BXY35" s="41"/>
      <c r="BXZ35" s="41"/>
      <c r="BYA35" s="76"/>
      <c r="BYB35" s="41"/>
      <c r="BYC35" s="41"/>
      <c r="BYD35" s="41"/>
      <c r="BYE35" s="41"/>
      <c r="BYF35" s="41"/>
      <c r="BYG35" s="139"/>
      <c r="BYH35" s="41"/>
      <c r="BYI35" s="41"/>
      <c r="BYJ35" s="41"/>
      <c r="BYK35" s="41"/>
      <c r="BYL35" s="41"/>
      <c r="BYM35" s="76"/>
      <c r="BYN35" s="66"/>
      <c r="BYO35" s="66"/>
      <c r="BYP35" s="66"/>
      <c r="BYQ35" s="66"/>
      <c r="BYR35" s="41"/>
      <c r="BYS35" s="139"/>
      <c r="BYT35" s="41"/>
      <c r="BYU35" s="41"/>
      <c r="BYV35" s="41"/>
      <c r="BYW35" s="41"/>
      <c r="BYX35" s="41"/>
      <c r="BYY35" s="76"/>
      <c r="BYZ35" s="41"/>
      <c r="BZA35" s="41"/>
      <c r="BZB35" s="41"/>
      <c r="BZC35" s="41"/>
      <c r="BZD35" s="41"/>
      <c r="BZE35" s="139"/>
      <c r="BZF35" s="41"/>
      <c r="BZG35" s="41"/>
      <c r="BZH35" s="41"/>
      <c r="BZI35" s="41"/>
      <c r="BZJ35" s="41"/>
      <c r="BZK35" s="76"/>
      <c r="BZL35" s="41"/>
      <c r="BZM35" s="41"/>
      <c r="BZN35" s="41"/>
      <c r="BZO35" s="41"/>
      <c r="BZP35" s="41"/>
      <c r="BZQ35" s="42"/>
      <c r="BZR35" s="40"/>
      <c r="BZS35" s="66"/>
      <c r="BZT35" s="66"/>
      <c r="BZU35" s="66"/>
      <c r="BZV35" s="41"/>
      <c r="BZW35" s="134"/>
      <c r="BZX35" s="41"/>
      <c r="BZY35" s="41"/>
      <c r="BZZ35" s="41"/>
      <c r="CAA35" s="41"/>
      <c r="CAB35" s="41"/>
      <c r="CAC35" s="139"/>
      <c r="CAD35" s="41"/>
      <c r="CAE35" s="41"/>
      <c r="CAF35" s="41"/>
      <c r="CAG35" s="41"/>
      <c r="CAH35" s="41"/>
      <c r="CAI35" s="76"/>
      <c r="CAJ35" s="41"/>
      <c r="CAK35" s="41"/>
      <c r="CAL35" s="41"/>
      <c r="CAM35" s="41"/>
      <c r="CAN35" s="41"/>
      <c r="CAO35" s="139"/>
      <c r="CAP35" s="41"/>
      <c r="CAQ35" s="41"/>
      <c r="CAR35" s="41"/>
      <c r="CAS35" s="41"/>
      <c r="CAT35" s="41"/>
      <c r="CAU35" s="76"/>
      <c r="CAV35" s="66"/>
      <c r="CAW35" s="66"/>
      <c r="CAX35" s="66"/>
      <c r="CAY35" s="66"/>
      <c r="CAZ35" s="41"/>
      <c r="CBA35" s="139"/>
      <c r="CBB35" s="41"/>
      <c r="CBC35" s="41"/>
      <c r="CBD35" s="41"/>
      <c r="CBE35" s="41"/>
      <c r="CBF35" s="41"/>
      <c r="CBG35" s="76"/>
      <c r="CBH35" s="41"/>
      <c r="CBI35" s="41"/>
      <c r="CBJ35" s="41"/>
      <c r="CBK35" s="41"/>
      <c r="CBL35" s="41"/>
      <c r="CBM35" s="139"/>
      <c r="CBN35" s="41"/>
      <c r="CBO35" s="41"/>
      <c r="CBP35" s="41"/>
      <c r="CBQ35" s="41"/>
      <c r="CBR35" s="41"/>
      <c r="CBS35" s="76"/>
      <c r="CBT35" s="41"/>
      <c r="CBU35" s="41"/>
      <c r="CBV35" s="41"/>
      <c r="CBW35" s="41"/>
      <c r="CBX35" s="41"/>
      <c r="CBY35" s="42"/>
      <c r="CBZ35" s="40"/>
      <c r="CCA35" s="66"/>
      <c r="CCB35" s="66"/>
      <c r="CCC35" s="66"/>
      <c r="CCD35" s="41"/>
      <c r="CCE35" s="134"/>
      <c r="CCF35" s="41"/>
      <c r="CCG35" s="41"/>
      <c r="CCH35" s="41"/>
      <c r="CCI35" s="41"/>
      <c r="CCJ35" s="41"/>
      <c r="CCK35" s="139"/>
      <c r="CCL35" s="41"/>
      <c r="CCM35" s="41"/>
      <c r="CCN35" s="41"/>
      <c r="CCO35" s="41"/>
      <c r="CCP35" s="41"/>
      <c r="CCQ35" s="76"/>
      <c r="CCR35" s="41"/>
      <c r="CCS35" s="41"/>
      <c r="CCT35" s="41"/>
      <c r="CCU35" s="41"/>
      <c r="CCV35" s="41"/>
      <c r="CCW35" s="139"/>
      <c r="CCX35" s="41"/>
      <c r="CCY35" s="41"/>
      <c r="CCZ35" s="41"/>
      <c r="CDA35" s="41"/>
      <c r="CDB35" s="41"/>
      <c r="CDC35" s="76"/>
      <c r="CDD35" s="66"/>
      <c r="CDE35" s="66"/>
      <c r="CDF35" s="66"/>
      <c r="CDG35" s="66"/>
      <c r="CDH35" s="41"/>
      <c r="CDI35" s="139"/>
      <c r="CDJ35" s="41"/>
      <c r="CDK35" s="41"/>
      <c r="CDL35" s="41"/>
      <c r="CDM35" s="41"/>
      <c r="CDN35" s="41"/>
      <c r="CDO35" s="76"/>
      <c r="CDP35" s="41"/>
      <c r="CDQ35" s="41"/>
      <c r="CDR35" s="41"/>
      <c r="CDS35" s="41"/>
      <c r="CDT35" s="41"/>
      <c r="CDU35" s="139"/>
      <c r="CDV35" s="41"/>
      <c r="CDW35" s="41"/>
      <c r="CDX35" s="41"/>
      <c r="CDY35" s="41"/>
      <c r="CDZ35" s="41"/>
      <c r="CEA35" s="76"/>
      <c r="CEB35" s="41"/>
      <c r="CEC35" s="41"/>
      <c r="CED35" s="41"/>
      <c r="CEE35" s="41"/>
      <c r="CEF35" s="41"/>
      <c r="CEG35" s="42"/>
      <c r="CEH35" s="40"/>
      <c r="CEI35" s="66"/>
      <c r="CEJ35" s="66"/>
      <c r="CEK35" s="66"/>
      <c r="CEL35" s="41"/>
      <c r="CEM35" s="134"/>
      <c r="CEN35" s="41"/>
      <c r="CEO35" s="41"/>
      <c r="CEP35" s="41"/>
      <c r="CEQ35" s="41"/>
      <c r="CER35" s="41"/>
      <c r="CES35" s="139"/>
      <c r="CET35" s="41"/>
      <c r="CEU35" s="41"/>
      <c r="CEV35" s="41"/>
      <c r="CEW35" s="41"/>
      <c r="CEX35" s="41"/>
      <c r="CEY35" s="76"/>
      <c r="CEZ35" s="41"/>
      <c r="CFA35" s="41"/>
      <c r="CFB35" s="41"/>
      <c r="CFC35" s="41"/>
      <c r="CFD35" s="41"/>
      <c r="CFE35" s="139"/>
      <c r="CFF35" s="41"/>
      <c r="CFG35" s="41"/>
      <c r="CFH35" s="41"/>
      <c r="CFI35" s="41"/>
      <c r="CFJ35" s="41"/>
      <c r="CFK35" s="76"/>
      <c r="CFL35" s="66"/>
      <c r="CFM35" s="66"/>
      <c r="CFN35" s="66"/>
      <c r="CFO35" s="66"/>
      <c r="CFP35" s="41"/>
      <c r="CFQ35" s="139"/>
      <c r="CFR35" s="41"/>
      <c r="CFS35" s="41"/>
      <c r="CFT35" s="41"/>
      <c r="CFU35" s="41"/>
      <c r="CFV35" s="41"/>
      <c r="CFW35" s="76"/>
      <c r="CFX35" s="41"/>
      <c r="CFY35" s="41"/>
      <c r="CFZ35" s="41"/>
      <c r="CGA35" s="41"/>
      <c r="CGB35" s="41"/>
      <c r="CGC35" s="139"/>
      <c r="CGD35" s="41"/>
      <c r="CGE35" s="41"/>
      <c r="CGF35" s="41"/>
      <c r="CGG35" s="41"/>
      <c r="CGH35" s="41"/>
      <c r="CGI35" s="76"/>
      <c r="CGJ35" s="41"/>
      <c r="CGK35" s="41"/>
      <c r="CGL35" s="41"/>
      <c r="CGM35" s="41"/>
      <c r="CGN35" s="41"/>
      <c r="CGO35" s="42"/>
      <c r="CGP35" s="40"/>
      <c r="CGQ35" s="66"/>
      <c r="CGR35" s="66"/>
      <c r="CGS35" s="66"/>
      <c r="CGT35" s="41"/>
      <c r="CGU35" s="134"/>
      <c r="CGV35" s="41"/>
      <c r="CGW35" s="41"/>
      <c r="CGX35" s="41"/>
      <c r="CGY35" s="41"/>
      <c r="CGZ35" s="41"/>
      <c r="CHA35" s="139"/>
      <c r="CHB35" s="41"/>
      <c r="CHC35" s="41"/>
      <c r="CHD35" s="41"/>
      <c r="CHE35" s="41"/>
      <c r="CHF35" s="41"/>
      <c r="CHG35" s="76"/>
      <c r="CHH35" s="41"/>
      <c r="CHI35" s="41"/>
      <c r="CHJ35" s="41"/>
      <c r="CHK35" s="41"/>
      <c r="CHL35" s="41"/>
      <c r="CHM35" s="139"/>
      <c r="CHN35" s="41"/>
      <c r="CHO35" s="41"/>
      <c r="CHP35" s="41"/>
      <c r="CHQ35" s="41"/>
      <c r="CHR35" s="41"/>
      <c r="CHS35" s="76"/>
      <c r="CHT35" s="66"/>
      <c r="CHU35" s="66"/>
      <c r="CHV35" s="66"/>
      <c r="CHW35" s="66"/>
      <c r="CHX35" s="41"/>
      <c r="CHY35" s="139"/>
      <c r="CHZ35" s="41"/>
      <c r="CIA35" s="41"/>
      <c r="CIB35" s="41"/>
      <c r="CIC35" s="41"/>
      <c r="CID35" s="41"/>
      <c r="CIE35" s="76"/>
      <c r="CIF35" s="41"/>
      <c r="CIG35" s="41"/>
      <c r="CIH35" s="41"/>
      <c r="CII35" s="41"/>
      <c r="CIJ35" s="41"/>
      <c r="CIK35" s="139"/>
      <c r="CIL35" s="41"/>
      <c r="CIM35" s="41"/>
      <c r="CIN35" s="41"/>
      <c r="CIO35" s="41"/>
      <c r="CIP35" s="41"/>
      <c r="CIQ35" s="76"/>
      <c r="CIR35" s="41"/>
      <c r="CIS35" s="41"/>
      <c r="CIT35" s="41"/>
      <c r="CIU35" s="41"/>
      <c r="CIV35" s="41"/>
      <c r="CIW35" s="42"/>
      <c r="CIX35" s="40"/>
      <c r="CIY35" s="66"/>
      <c r="CIZ35" s="66"/>
      <c r="CJA35" s="66"/>
      <c r="CJB35" s="41"/>
      <c r="CJC35" s="134"/>
      <c r="CJD35" s="41"/>
      <c r="CJE35" s="41"/>
      <c r="CJF35" s="41"/>
      <c r="CJG35" s="41"/>
      <c r="CJH35" s="41"/>
      <c r="CJI35" s="139"/>
      <c r="CJJ35" s="41"/>
      <c r="CJK35" s="41"/>
      <c r="CJL35" s="41"/>
      <c r="CJM35" s="41"/>
      <c r="CJN35" s="41"/>
      <c r="CJO35" s="76"/>
      <c r="CJP35" s="41"/>
      <c r="CJQ35" s="41"/>
      <c r="CJR35" s="41"/>
      <c r="CJS35" s="41"/>
      <c r="CJT35" s="41"/>
      <c r="CJU35" s="139"/>
      <c r="CJV35" s="41"/>
      <c r="CJW35" s="41"/>
      <c r="CJX35" s="41"/>
      <c r="CJY35" s="41"/>
      <c r="CJZ35" s="41"/>
      <c r="CKA35" s="76"/>
      <c r="CKB35" s="66"/>
      <c r="CKC35" s="66"/>
      <c r="CKD35" s="66"/>
      <c r="CKE35" s="66"/>
      <c r="CKF35" s="41"/>
      <c r="CKG35" s="139"/>
      <c r="CKH35" s="41"/>
      <c r="CKI35" s="41"/>
      <c r="CKJ35" s="41"/>
      <c r="CKK35" s="41"/>
      <c r="CKL35" s="41"/>
      <c r="CKM35" s="76"/>
      <c r="CKN35" s="41"/>
      <c r="CKO35" s="41"/>
      <c r="CKP35" s="41"/>
      <c r="CKQ35" s="41"/>
      <c r="CKR35" s="41"/>
      <c r="CKS35" s="139"/>
      <c r="CKT35" s="41"/>
      <c r="CKU35" s="41"/>
      <c r="CKV35" s="41"/>
      <c r="CKW35" s="41"/>
      <c r="CKX35" s="41"/>
      <c r="CKY35" s="76"/>
      <c r="CKZ35" s="41"/>
      <c r="CLA35" s="41"/>
      <c r="CLB35" s="41"/>
      <c r="CLC35" s="41"/>
      <c r="CLD35" s="41"/>
      <c r="CLE35" s="42"/>
      <c r="CLF35" s="40"/>
      <c r="CLG35" s="66"/>
      <c r="CLH35" s="66"/>
      <c r="CLI35" s="66"/>
      <c r="CLJ35" s="41"/>
      <c r="CLK35" s="134"/>
      <c r="CLL35" s="41"/>
      <c r="CLM35" s="41"/>
      <c r="CLN35" s="41"/>
      <c r="CLO35" s="41"/>
      <c r="CLP35" s="41"/>
      <c r="CLQ35" s="139"/>
      <c r="CLR35" s="41"/>
      <c r="CLS35" s="41"/>
      <c r="CLT35" s="41"/>
      <c r="CLU35" s="41"/>
      <c r="CLV35" s="41"/>
      <c r="CLW35" s="76"/>
      <c r="CLX35" s="41"/>
      <c r="CLY35" s="41"/>
      <c r="CLZ35" s="41"/>
      <c r="CMA35" s="41"/>
      <c r="CMB35" s="41"/>
      <c r="CMC35" s="139"/>
      <c r="CMD35" s="41"/>
      <c r="CME35" s="41"/>
      <c r="CMF35" s="41"/>
      <c r="CMG35" s="41"/>
      <c r="CMH35" s="41"/>
      <c r="CMI35" s="76"/>
      <c r="CMJ35" s="66"/>
      <c r="CMK35" s="66"/>
      <c r="CML35" s="66"/>
      <c r="CMM35" s="66"/>
      <c r="CMN35" s="41"/>
      <c r="CMO35" s="139"/>
      <c r="CMP35" s="41"/>
      <c r="CMQ35" s="41"/>
      <c r="CMR35" s="41"/>
      <c r="CMS35" s="41"/>
      <c r="CMT35" s="41"/>
      <c r="CMU35" s="76"/>
      <c r="CMV35" s="41"/>
      <c r="CMW35" s="41"/>
      <c r="CMX35" s="41"/>
      <c r="CMY35" s="41"/>
      <c r="CMZ35" s="41"/>
      <c r="CNA35" s="139"/>
      <c r="CNB35" s="41"/>
      <c r="CNC35" s="41"/>
      <c r="CND35" s="41"/>
      <c r="CNE35" s="41"/>
      <c r="CNF35" s="41"/>
      <c r="CNG35" s="76"/>
      <c r="CNH35" s="41"/>
      <c r="CNI35" s="41"/>
      <c r="CNJ35" s="41"/>
      <c r="CNK35" s="41"/>
      <c r="CNL35" s="41"/>
      <c r="CNM35" s="42"/>
      <c r="CNN35" s="40"/>
      <c r="CNO35" s="66"/>
      <c r="CNP35" s="66"/>
      <c r="CNQ35" s="66"/>
      <c r="CNR35" s="41"/>
      <c r="CNS35" s="134"/>
      <c r="CNT35" s="41"/>
      <c r="CNU35" s="41"/>
      <c r="CNV35" s="41"/>
      <c r="CNW35" s="41"/>
      <c r="CNX35" s="41"/>
      <c r="CNY35" s="139"/>
      <c r="CNZ35" s="41"/>
      <c r="COA35" s="41"/>
      <c r="COB35" s="41"/>
      <c r="COC35" s="41"/>
      <c r="COD35" s="41"/>
      <c r="COE35" s="76"/>
      <c r="COF35" s="41"/>
      <c r="COG35" s="41"/>
      <c r="COH35" s="41"/>
      <c r="COI35" s="41"/>
      <c r="COJ35" s="41"/>
      <c r="COK35" s="139"/>
      <c r="COL35" s="41"/>
      <c r="COM35" s="41"/>
      <c r="CON35" s="41"/>
      <c r="COO35" s="41"/>
      <c r="COP35" s="41"/>
      <c r="COQ35" s="76"/>
      <c r="COR35" s="66"/>
      <c r="COS35" s="66"/>
      <c r="COT35" s="66"/>
      <c r="COU35" s="66"/>
      <c r="COV35" s="41"/>
      <c r="COW35" s="139"/>
      <c r="COX35" s="41"/>
      <c r="COY35" s="41"/>
      <c r="COZ35" s="41"/>
      <c r="CPA35" s="41"/>
      <c r="CPB35" s="41"/>
      <c r="CPC35" s="76"/>
      <c r="CPD35" s="41"/>
      <c r="CPE35" s="41"/>
      <c r="CPF35" s="41"/>
      <c r="CPG35" s="41"/>
      <c r="CPH35" s="41"/>
      <c r="CPI35" s="139"/>
      <c r="CPJ35" s="41"/>
      <c r="CPK35" s="41"/>
      <c r="CPL35" s="41"/>
      <c r="CPM35" s="41"/>
      <c r="CPN35" s="41"/>
      <c r="CPO35" s="76"/>
      <c r="CPP35" s="41"/>
      <c r="CPQ35" s="41"/>
      <c r="CPR35" s="41"/>
      <c r="CPS35" s="41"/>
      <c r="CPT35" s="41"/>
      <c r="CPU35" s="42"/>
      <c r="CPV35" s="40"/>
      <c r="CPW35" s="66"/>
      <c r="CPX35" s="66"/>
      <c r="CPY35" s="66"/>
      <c r="CPZ35" s="41"/>
      <c r="CQA35" s="134"/>
      <c r="CQB35" s="41"/>
      <c r="CQC35" s="41"/>
      <c r="CQD35" s="41"/>
      <c r="CQE35" s="41"/>
      <c r="CQF35" s="41"/>
      <c r="CQG35" s="139"/>
      <c r="CQH35" s="41"/>
      <c r="CQI35" s="41"/>
      <c r="CQJ35" s="41"/>
      <c r="CQK35" s="41"/>
      <c r="CQL35" s="41"/>
      <c r="CQM35" s="76"/>
      <c r="CQN35" s="41"/>
      <c r="CQO35" s="41"/>
      <c r="CQP35" s="41"/>
      <c r="CQQ35" s="41"/>
      <c r="CQR35" s="41"/>
      <c r="CQS35" s="139"/>
      <c r="CQT35" s="41"/>
      <c r="CQU35" s="41"/>
      <c r="CQV35" s="41"/>
      <c r="CQW35" s="41"/>
      <c r="CQX35" s="41"/>
      <c r="CQY35" s="76"/>
      <c r="CQZ35" s="66"/>
      <c r="CRA35" s="66"/>
      <c r="CRB35" s="66"/>
      <c r="CRC35" s="66"/>
      <c r="CRD35" s="41"/>
      <c r="CRE35" s="139"/>
      <c r="CRF35" s="41"/>
      <c r="CRG35" s="41"/>
      <c r="CRH35" s="41"/>
      <c r="CRI35" s="41"/>
      <c r="CRJ35" s="41"/>
      <c r="CRK35" s="76"/>
      <c r="CRL35" s="41"/>
      <c r="CRM35" s="41"/>
      <c r="CRN35" s="41"/>
      <c r="CRO35" s="41"/>
      <c r="CRP35" s="41"/>
      <c r="CRQ35" s="139"/>
      <c r="CRR35" s="41"/>
      <c r="CRS35" s="41"/>
      <c r="CRT35" s="41"/>
      <c r="CRU35" s="41"/>
      <c r="CRV35" s="41"/>
      <c r="CRW35" s="76"/>
      <c r="CRX35" s="41"/>
      <c r="CRY35" s="41"/>
      <c r="CRZ35" s="41"/>
      <c r="CSA35" s="41"/>
      <c r="CSB35" s="41"/>
      <c r="CSC35" s="42"/>
      <c r="CSD35" s="90"/>
    </row>
    <row r="36" spans="1:2526" ht="20.100000000000001" customHeight="1" x14ac:dyDescent="0.25">
      <c r="A36" s="100" t="s">
        <v>19</v>
      </c>
      <c r="B36" s="63" t="str">
        <f>IF(LEN(C57)=0,"",C57)</f>
        <v>Discussion</v>
      </c>
      <c r="C36" s="212"/>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28"/>
      <c r="BLW36" s="67"/>
      <c r="BLX36" s="67"/>
      <c r="BLY36" s="67"/>
      <c r="BLZ36" s="29"/>
      <c r="BMA36" s="131"/>
      <c r="BMB36" s="29"/>
      <c r="BMC36" s="29"/>
      <c r="BMD36" s="29"/>
      <c r="BME36" s="29"/>
      <c r="BMF36" s="29"/>
      <c r="BMG36" s="136"/>
      <c r="BMH36" s="29"/>
      <c r="BMI36" s="29"/>
      <c r="BMJ36" s="29"/>
      <c r="BMK36" s="29"/>
      <c r="BML36" s="29"/>
      <c r="BMM36" s="73"/>
      <c r="BMN36" s="29"/>
      <c r="BMO36" s="29"/>
      <c r="BMP36" s="29"/>
      <c r="BMQ36" s="29"/>
      <c r="BMR36" s="29"/>
      <c r="BMS36" s="136"/>
      <c r="BMT36" s="29"/>
      <c r="BMU36" s="29"/>
      <c r="BMV36" s="29"/>
      <c r="BMW36" s="29"/>
      <c r="BMX36" s="29"/>
      <c r="BMY36" s="73"/>
      <c r="BMZ36" s="67"/>
      <c r="BNA36" s="67"/>
      <c r="BNB36" s="67"/>
      <c r="BNC36" s="67"/>
      <c r="BND36" s="29"/>
      <c r="BNE36" s="136"/>
      <c r="BNF36" s="29"/>
      <c r="BNG36" s="29"/>
      <c r="BNH36" s="29"/>
      <c r="BNI36" s="29"/>
      <c r="BNJ36" s="29"/>
      <c r="BNK36" s="73"/>
      <c r="BNL36" s="29"/>
      <c r="BNM36" s="29"/>
      <c r="BNN36" s="29"/>
      <c r="BNO36" s="29"/>
      <c r="BNP36" s="29"/>
      <c r="BNQ36" s="136"/>
      <c r="BNR36" s="29"/>
      <c r="BNS36" s="29"/>
      <c r="BNT36" s="29"/>
      <c r="BNU36" s="29"/>
      <c r="BNV36" s="29"/>
      <c r="BNW36" s="73"/>
      <c r="BNX36" s="29"/>
      <c r="BNY36" s="29"/>
      <c r="BNZ36" s="29"/>
      <c r="BOA36" s="29"/>
      <c r="BOB36" s="29"/>
      <c r="BOC36" s="30"/>
      <c r="BOD36" s="28"/>
      <c r="BOE36" s="67"/>
      <c r="BOF36" s="67"/>
      <c r="BOG36" s="67"/>
      <c r="BOH36" s="29"/>
      <c r="BOI36" s="131"/>
      <c r="BOJ36" s="29"/>
      <c r="BOK36" s="29"/>
      <c r="BOL36" s="29"/>
      <c r="BOM36" s="29"/>
      <c r="BON36" s="29"/>
      <c r="BOO36" s="136"/>
      <c r="BOP36" s="29"/>
      <c r="BOQ36" s="29"/>
      <c r="BOR36" s="29"/>
      <c r="BOS36" s="29"/>
      <c r="BOT36" s="29"/>
      <c r="BOU36" s="73"/>
      <c r="BOV36" s="29"/>
      <c r="BOW36" s="29"/>
      <c r="BOX36" s="29"/>
      <c r="BOY36" s="29"/>
      <c r="BOZ36" s="29"/>
      <c r="BPA36" s="136"/>
      <c r="BPB36" s="29"/>
      <c r="BPC36" s="29"/>
      <c r="BPD36" s="29"/>
      <c r="BPE36" s="29"/>
      <c r="BPF36" s="29"/>
      <c r="BPG36" s="73"/>
      <c r="BPH36" s="67"/>
      <c r="BPI36" s="67"/>
      <c r="BPJ36" s="67"/>
      <c r="BPK36" s="67"/>
      <c r="BPL36" s="29"/>
      <c r="BPM36" s="136"/>
      <c r="BPN36" s="29"/>
      <c r="BPO36" s="29"/>
      <c r="BPP36" s="29"/>
      <c r="BPQ36" s="29"/>
      <c r="BPR36" s="29"/>
      <c r="BPS36" s="73"/>
      <c r="BPT36" s="29"/>
      <c r="BPU36" s="29"/>
      <c r="BPV36" s="29"/>
      <c r="BPW36" s="29"/>
      <c r="BPX36" s="29"/>
      <c r="BPY36" s="136"/>
      <c r="BPZ36" s="29"/>
      <c r="BQA36" s="29"/>
      <c r="BQB36" s="29"/>
      <c r="BQC36" s="29"/>
      <c r="BQD36" s="29"/>
      <c r="BQE36" s="73"/>
      <c r="BQF36" s="29"/>
      <c r="BQG36" s="29"/>
      <c r="BQH36" s="29"/>
      <c r="BQI36" s="29"/>
      <c r="BQJ36" s="29"/>
      <c r="BQK36" s="30"/>
      <c r="BQL36" s="28"/>
      <c r="BQM36" s="67"/>
      <c r="BQN36" s="67"/>
      <c r="BQO36" s="67"/>
      <c r="BQP36" s="29"/>
      <c r="BQQ36" s="131"/>
      <c r="BQR36" s="29"/>
      <c r="BQS36" s="29"/>
      <c r="BQT36" s="29"/>
      <c r="BQU36" s="29"/>
      <c r="BQV36" s="29"/>
      <c r="BQW36" s="136"/>
      <c r="BQX36" s="29"/>
      <c r="BQY36" s="29"/>
      <c r="BQZ36" s="29"/>
      <c r="BRA36" s="29"/>
      <c r="BRB36" s="29"/>
      <c r="BRC36" s="73"/>
      <c r="BRD36" s="29"/>
      <c r="BRE36" s="29"/>
      <c r="BRF36" s="29"/>
      <c r="BRG36" s="29"/>
      <c r="BRH36" s="29"/>
      <c r="BRI36" s="136"/>
      <c r="BRJ36" s="29"/>
      <c r="BRK36" s="29"/>
      <c r="BRL36" s="29"/>
      <c r="BRM36" s="29"/>
      <c r="BRN36" s="29"/>
      <c r="BRO36" s="73"/>
      <c r="BRP36" s="67"/>
      <c r="BRQ36" s="67"/>
      <c r="BRR36" s="67"/>
      <c r="BRS36" s="67"/>
      <c r="BRT36" s="29"/>
      <c r="BRU36" s="136"/>
      <c r="BRV36" s="29"/>
      <c r="BRW36" s="29"/>
      <c r="BRX36" s="29"/>
      <c r="BRY36" s="29"/>
      <c r="BRZ36" s="29"/>
      <c r="BSA36" s="73"/>
      <c r="BSB36" s="29"/>
      <c r="BSC36" s="29"/>
      <c r="BSD36" s="29"/>
      <c r="BSE36" s="29"/>
      <c r="BSF36" s="29"/>
      <c r="BSG36" s="136"/>
      <c r="BSH36" s="29"/>
      <c r="BSI36" s="29"/>
      <c r="BSJ36" s="29"/>
      <c r="BSK36" s="29"/>
      <c r="BSL36" s="29"/>
      <c r="BSM36" s="73"/>
      <c r="BSN36" s="29"/>
      <c r="BSO36" s="29"/>
      <c r="BSP36" s="29"/>
      <c r="BSQ36" s="29"/>
      <c r="BSR36" s="29"/>
      <c r="BSS36" s="30"/>
      <c r="BST36" s="28"/>
      <c r="BSU36" s="67"/>
      <c r="BSV36" s="67"/>
      <c r="BSW36" s="67"/>
      <c r="BSX36" s="29"/>
      <c r="BSY36" s="131"/>
      <c r="BSZ36" s="29"/>
      <c r="BTA36" s="29"/>
      <c r="BTB36" s="29"/>
      <c r="BTC36" s="29"/>
      <c r="BTD36" s="29"/>
      <c r="BTE36" s="136"/>
      <c r="BTF36" s="29"/>
      <c r="BTG36" s="29"/>
      <c r="BTH36" s="29"/>
      <c r="BTI36" s="29"/>
      <c r="BTJ36" s="29"/>
      <c r="BTK36" s="73"/>
      <c r="BTL36" s="29"/>
      <c r="BTM36" s="29"/>
      <c r="BTN36" s="29"/>
      <c r="BTO36" s="29"/>
      <c r="BTP36" s="29"/>
      <c r="BTQ36" s="136"/>
      <c r="BTR36" s="29"/>
      <c r="BTS36" s="29"/>
      <c r="BTT36" s="29"/>
      <c r="BTU36" s="29"/>
      <c r="BTV36" s="29"/>
      <c r="BTW36" s="73"/>
      <c r="BTX36" s="67"/>
      <c r="BTY36" s="67"/>
      <c r="BTZ36" s="67"/>
      <c r="BUA36" s="67"/>
      <c r="BUB36" s="29"/>
      <c r="BUC36" s="136"/>
      <c r="BUD36" s="29"/>
      <c r="BUE36" s="29"/>
      <c r="BUF36" s="29"/>
      <c r="BUG36" s="29"/>
      <c r="BUH36" s="29"/>
      <c r="BUI36" s="73"/>
      <c r="BUJ36" s="29"/>
      <c r="BUK36" s="29"/>
      <c r="BUL36" s="29"/>
      <c r="BUM36" s="29"/>
      <c r="BUN36" s="29"/>
      <c r="BUO36" s="136"/>
      <c r="BUP36" s="29"/>
      <c r="BUQ36" s="29"/>
      <c r="BUR36" s="29"/>
      <c r="BUS36" s="29"/>
      <c r="BUT36" s="29"/>
      <c r="BUU36" s="73"/>
      <c r="BUV36" s="29"/>
      <c r="BUW36" s="29"/>
      <c r="BUX36" s="29"/>
      <c r="BUY36" s="29"/>
      <c r="BUZ36" s="29"/>
      <c r="BVA36" s="30"/>
      <c r="BVB36" s="28"/>
      <c r="BVC36" s="67"/>
      <c r="BVD36" s="67"/>
      <c r="BVE36" s="67"/>
      <c r="BVF36" s="29"/>
      <c r="BVG36" s="131"/>
      <c r="BVH36" s="29"/>
      <c r="BVI36" s="29"/>
      <c r="BVJ36" s="29"/>
      <c r="BVK36" s="29"/>
      <c r="BVL36" s="29"/>
      <c r="BVM36" s="136"/>
      <c r="BVN36" s="29"/>
      <c r="BVO36" s="29"/>
      <c r="BVP36" s="29"/>
      <c r="BVQ36" s="29"/>
      <c r="BVR36" s="29"/>
      <c r="BVS36" s="73"/>
      <c r="BVT36" s="29"/>
      <c r="BVU36" s="29"/>
      <c r="BVV36" s="29"/>
      <c r="BVW36" s="29"/>
      <c r="BVX36" s="29"/>
      <c r="BVY36" s="136"/>
      <c r="BVZ36" s="29"/>
      <c r="BWA36" s="29"/>
      <c r="BWB36" s="29"/>
      <c r="BWC36" s="29"/>
      <c r="BWD36" s="29"/>
      <c r="BWE36" s="73"/>
      <c r="BWF36" s="67"/>
      <c r="BWG36" s="67"/>
      <c r="BWH36" s="67"/>
      <c r="BWI36" s="67"/>
      <c r="BWJ36" s="29"/>
      <c r="BWK36" s="136"/>
      <c r="BWL36" s="29"/>
      <c r="BWM36" s="29"/>
      <c r="BWN36" s="29"/>
      <c r="BWO36" s="29"/>
      <c r="BWP36" s="29"/>
      <c r="BWQ36" s="73"/>
      <c r="BWR36" s="29"/>
      <c r="BWS36" s="29"/>
      <c r="BWT36" s="29"/>
      <c r="BWU36" s="29"/>
      <c r="BWV36" s="29"/>
      <c r="BWW36" s="136"/>
      <c r="BWX36" s="29"/>
      <c r="BWY36" s="29"/>
      <c r="BWZ36" s="29"/>
      <c r="BXA36" s="29"/>
      <c r="BXB36" s="29"/>
      <c r="BXC36" s="73"/>
      <c r="BXD36" s="29"/>
      <c r="BXE36" s="29"/>
      <c r="BXF36" s="29"/>
      <c r="BXG36" s="29"/>
      <c r="BXH36" s="29"/>
      <c r="BXI36" s="30"/>
      <c r="BXJ36" s="28"/>
      <c r="BXK36" s="67"/>
      <c r="BXL36" s="67"/>
      <c r="BXM36" s="67"/>
      <c r="BXN36" s="29"/>
      <c r="BXO36" s="131"/>
      <c r="BXP36" s="29"/>
      <c r="BXQ36" s="29"/>
      <c r="BXR36" s="29"/>
      <c r="BXS36" s="29"/>
      <c r="BXT36" s="29"/>
      <c r="BXU36" s="136"/>
      <c r="BXV36" s="29"/>
      <c r="BXW36" s="29"/>
      <c r="BXX36" s="29"/>
      <c r="BXY36" s="29"/>
      <c r="BXZ36" s="29"/>
      <c r="BYA36" s="73"/>
      <c r="BYB36" s="29"/>
      <c r="BYC36" s="29"/>
      <c r="BYD36" s="29"/>
      <c r="BYE36" s="29"/>
      <c r="BYF36" s="29"/>
      <c r="BYG36" s="136"/>
      <c r="BYH36" s="29"/>
      <c r="BYI36" s="29"/>
      <c r="BYJ36" s="29"/>
      <c r="BYK36" s="29"/>
      <c r="BYL36" s="29"/>
      <c r="BYM36" s="73"/>
      <c r="BYN36" s="67"/>
      <c r="BYO36" s="67"/>
      <c r="BYP36" s="67"/>
      <c r="BYQ36" s="67"/>
      <c r="BYR36" s="29"/>
      <c r="BYS36" s="136"/>
      <c r="BYT36" s="29"/>
      <c r="BYU36" s="29"/>
      <c r="BYV36" s="29"/>
      <c r="BYW36" s="29"/>
      <c r="BYX36" s="29"/>
      <c r="BYY36" s="73"/>
      <c r="BYZ36" s="29"/>
      <c r="BZA36" s="29"/>
      <c r="BZB36" s="29"/>
      <c r="BZC36" s="29"/>
      <c r="BZD36" s="29"/>
      <c r="BZE36" s="136"/>
      <c r="BZF36" s="29"/>
      <c r="BZG36" s="29"/>
      <c r="BZH36" s="29"/>
      <c r="BZI36" s="29"/>
      <c r="BZJ36" s="29"/>
      <c r="BZK36" s="73"/>
      <c r="BZL36" s="29"/>
      <c r="BZM36" s="29"/>
      <c r="BZN36" s="29"/>
      <c r="BZO36" s="29"/>
      <c r="BZP36" s="29"/>
      <c r="BZQ36" s="30"/>
      <c r="BZR36" s="28"/>
      <c r="BZS36" s="67"/>
      <c r="BZT36" s="67"/>
      <c r="BZU36" s="67"/>
      <c r="BZV36" s="29"/>
      <c r="BZW36" s="131"/>
      <c r="BZX36" s="29"/>
      <c r="BZY36" s="29"/>
      <c r="BZZ36" s="29"/>
      <c r="CAA36" s="29"/>
      <c r="CAB36" s="29"/>
      <c r="CAC36" s="136"/>
      <c r="CAD36" s="29"/>
      <c r="CAE36" s="29"/>
      <c r="CAF36" s="29"/>
      <c r="CAG36" s="29"/>
      <c r="CAH36" s="29"/>
      <c r="CAI36" s="73"/>
      <c r="CAJ36" s="29"/>
      <c r="CAK36" s="29"/>
      <c r="CAL36" s="29"/>
      <c r="CAM36" s="29"/>
      <c r="CAN36" s="29"/>
      <c r="CAO36" s="136"/>
      <c r="CAP36" s="29"/>
      <c r="CAQ36" s="29"/>
      <c r="CAR36" s="29"/>
      <c r="CAS36" s="29"/>
      <c r="CAT36" s="29"/>
      <c r="CAU36" s="73"/>
      <c r="CAV36" s="67"/>
      <c r="CAW36" s="67"/>
      <c r="CAX36" s="67"/>
      <c r="CAY36" s="67"/>
      <c r="CAZ36" s="29"/>
      <c r="CBA36" s="136"/>
      <c r="CBB36" s="29"/>
      <c r="CBC36" s="29"/>
      <c r="CBD36" s="29"/>
      <c r="CBE36" s="29"/>
      <c r="CBF36" s="29"/>
      <c r="CBG36" s="73"/>
      <c r="CBH36" s="29"/>
      <c r="CBI36" s="29"/>
      <c r="CBJ36" s="29"/>
      <c r="CBK36" s="29"/>
      <c r="CBL36" s="29"/>
      <c r="CBM36" s="136"/>
      <c r="CBN36" s="29"/>
      <c r="CBO36" s="29"/>
      <c r="CBP36" s="29"/>
      <c r="CBQ36" s="29"/>
      <c r="CBR36" s="29"/>
      <c r="CBS36" s="73"/>
      <c r="CBT36" s="29"/>
      <c r="CBU36" s="29"/>
      <c r="CBV36" s="29"/>
      <c r="CBW36" s="29"/>
      <c r="CBX36" s="29"/>
      <c r="CBY36" s="30"/>
      <c r="CBZ36" s="28"/>
      <c r="CCA36" s="67"/>
      <c r="CCB36" s="67"/>
      <c r="CCC36" s="67"/>
      <c r="CCD36" s="29"/>
      <c r="CCE36" s="131"/>
      <c r="CCF36" s="29"/>
      <c r="CCG36" s="29"/>
      <c r="CCH36" s="29"/>
      <c r="CCI36" s="29"/>
      <c r="CCJ36" s="29"/>
      <c r="CCK36" s="136"/>
      <c r="CCL36" s="29"/>
      <c r="CCM36" s="29"/>
      <c r="CCN36" s="29"/>
      <c r="CCO36" s="29"/>
      <c r="CCP36" s="29"/>
      <c r="CCQ36" s="73"/>
      <c r="CCR36" s="29"/>
      <c r="CCS36" s="29"/>
      <c r="CCT36" s="29"/>
      <c r="CCU36" s="29"/>
      <c r="CCV36" s="29"/>
      <c r="CCW36" s="136"/>
      <c r="CCX36" s="29"/>
      <c r="CCY36" s="29"/>
      <c r="CCZ36" s="29"/>
      <c r="CDA36" s="29"/>
      <c r="CDB36" s="29"/>
      <c r="CDC36" s="73"/>
      <c r="CDD36" s="67"/>
      <c r="CDE36" s="67"/>
      <c r="CDF36" s="67"/>
      <c r="CDG36" s="67"/>
      <c r="CDH36" s="29"/>
      <c r="CDI36" s="136"/>
      <c r="CDJ36" s="29"/>
      <c r="CDK36" s="29"/>
      <c r="CDL36" s="29"/>
      <c r="CDM36" s="29"/>
      <c r="CDN36" s="29"/>
      <c r="CDO36" s="73"/>
      <c r="CDP36" s="29"/>
      <c r="CDQ36" s="29"/>
      <c r="CDR36" s="29"/>
      <c r="CDS36" s="29"/>
      <c r="CDT36" s="29"/>
      <c r="CDU36" s="136"/>
      <c r="CDV36" s="29"/>
      <c r="CDW36" s="29"/>
      <c r="CDX36" s="29"/>
      <c r="CDY36" s="29"/>
      <c r="CDZ36" s="29"/>
      <c r="CEA36" s="73"/>
      <c r="CEB36" s="29"/>
      <c r="CEC36" s="29"/>
      <c r="CED36" s="29"/>
      <c r="CEE36" s="29"/>
      <c r="CEF36" s="29"/>
      <c r="CEG36" s="30"/>
      <c r="CEH36" s="28"/>
      <c r="CEI36" s="67"/>
      <c r="CEJ36" s="67"/>
      <c r="CEK36" s="67"/>
      <c r="CEL36" s="29"/>
      <c r="CEM36" s="131"/>
      <c r="CEN36" s="29"/>
      <c r="CEO36" s="29"/>
      <c r="CEP36" s="29"/>
      <c r="CEQ36" s="29"/>
      <c r="CER36" s="29"/>
      <c r="CES36" s="136"/>
      <c r="CET36" s="29"/>
      <c r="CEU36" s="29"/>
      <c r="CEV36" s="29"/>
      <c r="CEW36" s="29"/>
      <c r="CEX36" s="29"/>
      <c r="CEY36" s="73"/>
      <c r="CEZ36" s="29"/>
      <c r="CFA36" s="29"/>
      <c r="CFB36" s="29"/>
      <c r="CFC36" s="29"/>
      <c r="CFD36" s="29"/>
      <c r="CFE36" s="136"/>
      <c r="CFF36" s="29"/>
      <c r="CFG36" s="29"/>
      <c r="CFH36" s="29"/>
      <c r="CFI36" s="29"/>
      <c r="CFJ36" s="29"/>
      <c r="CFK36" s="73"/>
      <c r="CFL36" s="67"/>
      <c r="CFM36" s="67"/>
      <c r="CFN36" s="67"/>
      <c r="CFO36" s="67"/>
      <c r="CFP36" s="29"/>
      <c r="CFQ36" s="136"/>
      <c r="CFR36" s="29"/>
      <c r="CFS36" s="29"/>
      <c r="CFT36" s="29"/>
      <c r="CFU36" s="29"/>
      <c r="CFV36" s="29"/>
      <c r="CFW36" s="73"/>
      <c r="CFX36" s="29"/>
      <c r="CFY36" s="29"/>
      <c r="CFZ36" s="29"/>
      <c r="CGA36" s="29"/>
      <c r="CGB36" s="29"/>
      <c r="CGC36" s="136"/>
      <c r="CGD36" s="29"/>
      <c r="CGE36" s="29"/>
      <c r="CGF36" s="29"/>
      <c r="CGG36" s="29"/>
      <c r="CGH36" s="29"/>
      <c r="CGI36" s="73"/>
      <c r="CGJ36" s="29"/>
      <c r="CGK36" s="29"/>
      <c r="CGL36" s="29"/>
      <c r="CGM36" s="29"/>
      <c r="CGN36" s="29"/>
      <c r="CGO36" s="30"/>
      <c r="CGP36" s="28"/>
      <c r="CGQ36" s="67"/>
      <c r="CGR36" s="67"/>
      <c r="CGS36" s="67"/>
      <c r="CGT36" s="29"/>
      <c r="CGU36" s="131"/>
      <c r="CGV36" s="29"/>
      <c r="CGW36" s="29"/>
      <c r="CGX36" s="29"/>
      <c r="CGY36" s="29"/>
      <c r="CGZ36" s="29"/>
      <c r="CHA36" s="136"/>
      <c r="CHB36" s="29"/>
      <c r="CHC36" s="29"/>
      <c r="CHD36" s="29"/>
      <c r="CHE36" s="29"/>
      <c r="CHF36" s="29"/>
      <c r="CHG36" s="73"/>
      <c r="CHH36" s="29"/>
      <c r="CHI36" s="29"/>
      <c r="CHJ36" s="29"/>
      <c r="CHK36" s="29"/>
      <c r="CHL36" s="29"/>
      <c r="CHM36" s="136"/>
      <c r="CHN36" s="29"/>
      <c r="CHO36" s="29"/>
      <c r="CHP36" s="29"/>
      <c r="CHQ36" s="29"/>
      <c r="CHR36" s="29"/>
      <c r="CHS36" s="73"/>
      <c r="CHT36" s="67"/>
      <c r="CHU36" s="67"/>
      <c r="CHV36" s="67"/>
      <c r="CHW36" s="67"/>
      <c r="CHX36" s="29"/>
      <c r="CHY36" s="136"/>
      <c r="CHZ36" s="29"/>
      <c r="CIA36" s="29"/>
      <c r="CIB36" s="29"/>
      <c r="CIC36" s="29"/>
      <c r="CID36" s="29"/>
      <c r="CIE36" s="73"/>
      <c r="CIF36" s="29"/>
      <c r="CIG36" s="29"/>
      <c r="CIH36" s="29"/>
      <c r="CII36" s="29"/>
      <c r="CIJ36" s="29"/>
      <c r="CIK36" s="136"/>
      <c r="CIL36" s="29"/>
      <c r="CIM36" s="29"/>
      <c r="CIN36" s="29"/>
      <c r="CIO36" s="29"/>
      <c r="CIP36" s="29"/>
      <c r="CIQ36" s="73"/>
      <c r="CIR36" s="29"/>
      <c r="CIS36" s="29"/>
      <c r="CIT36" s="29"/>
      <c r="CIU36" s="29"/>
      <c r="CIV36" s="29"/>
      <c r="CIW36" s="30"/>
      <c r="CIX36" s="28"/>
      <c r="CIY36" s="67"/>
      <c r="CIZ36" s="67"/>
      <c r="CJA36" s="67"/>
      <c r="CJB36" s="29"/>
      <c r="CJC36" s="131"/>
      <c r="CJD36" s="29"/>
      <c r="CJE36" s="29"/>
      <c r="CJF36" s="29"/>
      <c r="CJG36" s="29"/>
      <c r="CJH36" s="29"/>
      <c r="CJI36" s="136"/>
      <c r="CJJ36" s="29"/>
      <c r="CJK36" s="29"/>
      <c r="CJL36" s="29"/>
      <c r="CJM36" s="29"/>
      <c r="CJN36" s="29"/>
      <c r="CJO36" s="73"/>
      <c r="CJP36" s="29"/>
      <c r="CJQ36" s="29"/>
      <c r="CJR36" s="29"/>
      <c r="CJS36" s="29"/>
      <c r="CJT36" s="29"/>
      <c r="CJU36" s="136"/>
      <c r="CJV36" s="29"/>
      <c r="CJW36" s="29"/>
      <c r="CJX36" s="29"/>
      <c r="CJY36" s="29"/>
      <c r="CJZ36" s="29"/>
      <c r="CKA36" s="73"/>
      <c r="CKB36" s="67"/>
      <c r="CKC36" s="67"/>
      <c r="CKD36" s="67"/>
      <c r="CKE36" s="67"/>
      <c r="CKF36" s="29"/>
      <c r="CKG36" s="136"/>
      <c r="CKH36" s="29"/>
      <c r="CKI36" s="29"/>
      <c r="CKJ36" s="29"/>
      <c r="CKK36" s="29"/>
      <c r="CKL36" s="29"/>
      <c r="CKM36" s="73"/>
      <c r="CKN36" s="29"/>
      <c r="CKO36" s="29"/>
      <c r="CKP36" s="29"/>
      <c r="CKQ36" s="29"/>
      <c r="CKR36" s="29"/>
      <c r="CKS36" s="136"/>
      <c r="CKT36" s="29"/>
      <c r="CKU36" s="29"/>
      <c r="CKV36" s="29"/>
      <c r="CKW36" s="29"/>
      <c r="CKX36" s="29"/>
      <c r="CKY36" s="73"/>
      <c r="CKZ36" s="29"/>
      <c r="CLA36" s="29"/>
      <c r="CLB36" s="29"/>
      <c r="CLC36" s="29"/>
      <c r="CLD36" s="29"/>
      <c r="CLE36" s="30"/>
      <c r="CLF36" s="28"/>
      <c r="CLG36" s="67"/>
      <c r="CLH36" s="67"/>
      <c r="CLI36" s="67"/>
      <c r="CLJ36" s="29"/>
      <c r="CLK36" s="131"/>
      <c r="CLL36" s="29"/>
      <c r="CLM36" s="29"/>
      <c r="CLN36" s="29"/>
      <c r="CLO36" s="29"/>
      <c r="CLP36" s="29"/>
      <c r="CLQ36" s="136"/>
      <c r="CLR36" s="29"/>
      <c r="CLS36" s="29"/>
      <c r="CLT36" s="29"/>
      <c r="CLU36" s="29"/>
      <c r="CLV36" s="29"/>
      <c r="CLW36" s="73"/>
      <c r="CLX36" s="29"/>
      <c r="CLY36" s="29"/>
      <c r="CLZ36" s="29"/>
      <c r="CMA36" s="29"/>
      <c r="CMB36" s="29"/>
      <c r="CMC36" s="136"/>
      <c r="CMD36" s="29"/>
      <c r="CME36" s="29"/>
      <c r="CMF36" s="29"/>
      <c r="CMG36" s="29"/>
      <c r="CMH36" s="29"/>
      <c r="CMI36" s="73"/>
      <c r="CMJ36" s="67"/>
      <c r="CMK36" s="67"/>
      <c r="CML36" s="67"/>
      <c r="CMM36" s="67"/>
      <c r="CMN36" s="29"/>
      <c r="CMO36" s="136"/>
      <c r="CMP36" s="29"/>
      <c r="CMQ36" s="29"/>
      <c r="CMR36" s="29"/>
      <c r="CMS36" s="29"/>
      <c r="CMT36" s="29"/>
      <c r="CMU36" s="73"/>
      <c r="CMV36" s="29"/>
      <c r="CMW36" s="29"/>
      <c r="CMX36" s="29"/>
      <c r="CMY36" s="29"/>
      <c r="CMZ36" s="29"/>
      <c r="CNA36" s="136"/>
      <c r="CNB36" s="29"/>
      <c r="CNC36" s="29"/>
      <c r="CND36" s="29"/>
      <c r="CNE36" s="29"/>
      <c r="CNF36" s="29"/>
      <c r="CNG36" s="73"/>
      <c r="CNH36" s="29"/>
      <c r="CNI36" s="29"/>
      <c r="CNJ36" s="29"/>
      <c r="CNK36" s="29"/>
      <c r="CNL36" s="29"/>
      <c r="CNM36" s="30"/>
      <c r="CNN36" s="28"/>
      <c r="CNO36" s="67"/>
      <c r="CNP36" s="67"/>
      <c r="CNQ36" s="67"/>
      <c r="CNR36" s="29"/>
      <c r="CNS36" s="131"/>
      <c r="CNT36" s="29"/>
      <c r="CNU36" s="29"/>
      <c r="CNV36" s="29"/>
      <c r="CNW36" s="29"/>
      <c r="CNX36" s="29"/>
      <c r="CNY36" s="136"/>
      <c r="CNZ36" s="29"/>
      <c r="COA36" s="29"/>
      <c r="COB36" s="29"/>
      <c r="COC36" s="29"/>
      <c r="COD36" s="29"/>
      <c r="COE36" s="73"/>
      <c r="COF36" s="29"/>
      <c r="COG36" s="29"/>
      <c r="COH36" s="29"/>
      <c r="COI36" s="29"/>
      <c r="COJ36" s="29"/>
      <c r="COK36" s="136"/>
      <c r="COL36" s="29"/>
      <c r="COM36" s="29"/>
      <c r="CON36" s="29"/>
      <c r="COO36" s="29"/>
      <c r="COP36" s="29"/>
      <c r="COQ36" s="73"/>
      <c r="COR36" s="67"/>
      <c r="COS36" s="67"/>
      <c r="COT36" s="67"/>
      <c r="COU36" s="67"/>
      <c r="COV36" s="29"/>
      <c r="COW36" s="136"/>
      <c r="COX36" s="29"/>
      <c r="COY36" s="29"/>
      <c r="COZ36" s="29"/>
      <c r="CPA36" s="29"/>
      <c r="CPB36" s="29"/>
      <c r="CPC36" s="73"/>
      <c r="CPD36" s="29"/>
      <c r="CPE36" s="29"/>
      <c r="CPF36" s="29"/>
      <c r="CPG36" s="29"/>
      <c r="CPH36" s="29"/>
      <c r="CPI36" s="136"/>
      <c r="CPJ36" s="29"/>
      <c r="CPK36" s="29"/>
      <c r="CPL36" s="29"/>
      <c r="CPM36" s="29"/>
      <c r="CPN36" s="29"/>
      <c r="CPO36" s="73"/>
      <c r="CPP36" s="29"/>
      <c r="CPQ36" s="29"/>
      <c r="CPR36" s="29"/>
      <c r="CPS36" s="29"/>
      <c r="CPT36" s="29"/>
      <c r="CPU36" s="30"/>
      <c r="CPV36" s="28"/>
      <c r="CPW36" s="67"/>
      <c r="CPX36" s="67"/>
      <c r="CPY36" s="67"/>
      <c r="CPZ36" s="29"/>
      <c r="CQA36" s="131"/>
      <c r="CQB36" s="29"/>
      <c r="CQC36" s="29"/>
      <c r="CQD36" s="29"/>
      <c r="CQE36" s="29"/>
      <c r="CQF36" s="29"/>
      <c r="CQG36" s="136"/>
      <c r="CQH36" s="29"/>
      <c r="CQI36" s="29"/>
      <c r="CQJ36" s="29"/>
      <c r="CQK36" s="29"/>
      <c r="CQL36" s="29"/>
      <c r="CQM36" s="73"/>
      <c r="CQN36" s="29"/>
      <c r="CQO36" s="29"/>
      <c r="CQP36" s="29"/>
      <c r="CQQ36" s="29"/>
      <c r="CQR36" s="29"/>
      <c r="CQS36" s="136"/>
      <c r="CQT36" s="29"/>
      <c r="CQU36" s="29"/>
      <c r="CQV36" s="29"/>
      <c r="CQW36" s="29"/>
      <c r="CQX36" s="29"/>
      <c r="CQY36" s="73"/>
      <c r="CQZ36" s="67"/>
      <c r="CRA36" s="67"/>
      <c r="CRB36" s="67"/>
      <c r="CRC36" s="67"/>
      <c r="CRD36" s="29"/>
      <c r="CRE36" s="136"/>
      <c r="CRF36" s="29"/>
      <c r="CRG36" s="29"/>
      <c r="CRH36" s="29"/>
      <c r="CRI36" s="29"/>
      <c r="CRJ36" s="29"/>
      <c r="CRK36" s="73"/>
      <c r="CRL36" s="29"/>
      <c r="CRM36" s="29"/>
      <c r="CRN36" s="29"/>
      <c r="CRO36" s="29"/>
      <c r="CRP36" s="29"/>
      <c r="CRQ36" s="136"/>
      <c r="CRR36" s="29"/>
      <c r="CRS36" s="29"/>
      <c r="CRT36" s="29"/>
      <c r="CRU36" s="29"/>
      <c r="CRV36" s="29"/>
      <c r="CRW36" s="73"/>
      <c r="CRX36" s="29"/>
      <c r="CRY36" s="29"/>
      <c r="CRZ36" s="29"/>
      <c r="CSA36" s="29"/>
      <c r="CSB36" s="29"/>
      <c r="CSC36" s="30"/>
      <c r="CSD36" s="90"/>
    </row>
    <row r="37" spans="1:2526" ht="20.100000000000001" customHeight="1" x14ac:dyDescent="0.25">
      <c r="A37" s="100" t="s">
        <v>18</v>
      </c>
      <c r="B37" s="63" t="str">
        <f>IF(LEN(C59)=0,"",C59)</f>
        <v>Documentation - Préparation à la présentation</v>
      </c>
      <c r="C37" s="211" t="s">
        <v>50</v>
      </c>
      <c r="D37" s="146" t="str">
        <f t="shared" si="0"/>
        <v>20h15min</v>
      </c>
      <c r="E37" s="31">
        <v>243</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167"/>
      <c r="AKW37" s="167"/>
      <c r="AKX37" s="167"/>
      <c r="AKY37" s="167"/>
      <c r="AKZ37" s="167"/>
      <c r="ALA37" s="169"/>
      <c r="ALB37" s="167"/>
      <c r="ALC37" s="167"/>
      <c r="ALD37" s="167"/>
      <c r="ALE37" s="167"/>
      <c r="ALF37" s="167"/>
      <c r="ALG37" s="170"/>
      <c r="ALH37" s="166"/>
      <c r="ALI37" s="166"/>
      <c r="ALJ37" s="166"/>
      <c r="ALK37" s="166"/>
      <c r="ALL37" s="167"/>
      <c r="ALM37" s="169"/>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165"/>
      <c r="AMM37" s="166"/>
      <c r="AMN37" s="166"/>
      <c r="AMO37" s="166"/>
      <c r="AMP37" s="167"/>
      <c r="AMQ37" s="168"/>
      <c r="AMR37" s="167"/>
      <c r="AMS37" s="167"/>
      <c r="AMT37" s="167"/>
      <c r="AMU37" s="167"/>
      <c r="AMV37" s="167"/>
      <c r="AMW37" s="169"/>
      <c r="AMX37" s="167"/>
      <c r="AMY37" s="167"/>
      <c r="AMZ37" s="167"/>
      <c r="ANA37" s="167"/>
      <c r="ANB37" s="167"/>
      <c r="ANC37" s="170"/>
      <c r="AND37" s="167"/>
      <c r="ANE37" s="167"/>
      <c r="ANF37" s="167"/>
      <c r="ANG37" s="167"/>
      <c r="ANH37" s="167"/>
      <c r="ANI37" s="169"/>
      <c r="ANJ37" s="167"/>
      <c r="ANK37" s="167"/>
      <c r="ANL37" s="167"/>
      <c r="ANM37" s="167"/>
      <c r="ANN37" s="167"/>
      <c r="ANO37" s="170"/>
      <c r="ANP37" s="166"/>
      <c r="ANQ37" s="166"/>
      <c r="ANR37" s="166"/>
      <c r="ANS37" s="166"/>
      <c r="ANT37" s="167"/>
      <c r="ANU37" s="169"/>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165"/>
      <c r="AOU37" s="166"/>
      <c r="AOV37" s="166"/>
      <c r="AOW37" s="166"/>
      <c r="AOX37" s="167"/>
      <c r="AOY37" s="168"/>
      <c r="AOZ37" s="167"/>
      <c r="APA37" s="167"/>
      <c r="APB37" s="167"/>
      <c r="APC37" s="167"/>
      <c r="APD37" s="167"/>
      <c r="APE37" s="169"/>
      <c r="APF37" s="167"/>
      <c r="APG37" s="167"/>
      <c r="APH37" s="167"/>
      <c r="API37" s="167"/>
      <c r="APJ37" s="167"/>
      <c r="APK37" s="170"/>
      <c r="APL37" s="167"/>
      <c r="APM37" s="167"/>
      <c r="APN37" s="167"/>
      <c r="APO37" s="167"/>
      <c r="APP37" s="167"/>
      <c r="APQ37" s="169"/>
      <c r="APR37" s="167"/>
      <c r="APS37" s="167"/>
      <c r="APT37" s="167"/>
      <c r="APU37" s="167"/>
      <c r="APV37" s="167"/>
      <c r="APW37" s="170"/>
      <c r="APX37" s="166"/>
      <c r="APY37" s="166"/>
      <c r="APZ37" s="166"/>
      <c r="AQA37" s="166"/>
      <c r="AQB37" s="167"/>
      <c r="AQC37" s="169"/>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165"/>
      <c r="ARC37" s="166"/>
      <c r="ARD37" s="166"/>
      <c r="ARE37" s="166"/>
      <c r="ARF37" s="167"/>
      <c r="ARG37" s="168"/>
      <c r="ARH37" s="167"/>
      <c r="ARI37" s="167"/>
      <c r="ARJ37" s="167"/>
      <c r="ARK37" s="167"/>
      <c r="ARL37" s="167"/>
      <c r="ARM37" s="169"/>
      <c r="ARN37" s="167"/>
      <c r="ARO37" s="167"/>
      <c r="ARP37" s="167"/>
      <c r="ARQ37" s="167"/>
      <c r="ARR37" s="167"/>
      <c r="ARS37" s="170"/>
      <c r="ART37" s="167"/>
      <c r="ARU37" s="167"/>
      <c r="ARV37" s="167"/>
      <c r="ARW37" s="167"/>
      <c r="ARX37" s="167"/>
      <c r="ARY37" s="169"/>
      <c r="ARZ37" s="167"/>
      <c r="ASA37" s="167"/>
      <c r="ASB37" s="167"/>
      <c r="ASC37" s="167"/>
      <c r="ASD37" s="167"/>
      <c r="ASE37" s="170"/>
      <c r="ASF37" s="166"/>
      <c r="ASG37" s="166"/>
      <c r="ASH37" s="166"/>
      <c r="ASI37" s="166"/>
      <c r="ASJ37" s="167"/>
      <c r="ASK37" s="169"/>
      <c r="ASL37" s="167"/>
      <c r="ASM37" s="167"/>
      <c r="ASN37" s="167"/>
      <c r="ASO37" s="167"/>
      <c r="ASP37" s="167"/>
      <c r="ASQ37" s="170"/>
      <c r="ASR37" s="167"/>
      <c r="ASS37" s="167"/>
      <c r="AST37" s="167"/>
      <c r="ASU37" s="33"/>
      <c r="ASV37" s="33"/>
      <c r="ASW37" s="137"/>
      <c r="ASX37" s="33"/>
      <c r="ASY37" s="33"/>
      <c r="ASZ37" s="33"/>
      <c r="ATA37" s="33"/>
      <c r="ATB37" s="33"/>
      <c r="ATC37" s="74"/>
      <c r="ATD37" s="33"/>
      <c r="ATE37" s="33"/>
      <c r="ATF37" s="33"/>
      <c r="ATG37" s="33"/>
      <c r="ATH37" s="33"/>
      <c r="ATI37" s="34"/>
      <c r="ATJ37" s="165"/>
      <c r="ATK37" s="166"/>
      <c r="ATL37" s="166"/>
      <c r="ATM37" s="166"/>
      <c r="ATN37" s="167"/>
      <c r="ATO37" s="168"/>
      <c r="ATP37" s="167"/>
      <c r="ATQ37" s="167"/>
      <c r="ATR37" s="167"/>
      <c r="ATS37" s="167"/>
      <c r="ATT37" s="167"/>
      <c r="ATU37" s="169"/>
      <c r="ATV37" s="167"/>
      <c r="ATW37" s="167"/>
      <c r="ATX37" s="167"/>
      <c r="ATY37" s="167"/>
      <c r="ATZ37" s="167"/>
      <c r="AUA37" s="170"/>
      <c r="AUB37" s="167"/>
      <c r="AUC37" s="167"/>
      <c r="AUD37" s="167"/>
      <c r="AUE37" s="167"/>
      <c r="AUF37" s="167"/>
      <c r="AUG37" s="169"/>
      <c r="AUH37" s="167"/>
      <c r="AUI37" s="167"/>
      <c r="AUJ37" s="167"/>
      <c r="AUK37" s="167"/>
      <c r="AUL37" s="167"/>
      <c r="AUM37" s="170"/>
      <c r="AUN37" s="166"/>
      <c r="AUO37" s="166"/>
      <c r="AUP37" s="166"/>
      <c r="AUQ37" s="166"/>
      <c r="AUR37" s="167"/>
      <c r="AUS37" s="169"/>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165"/>
      <c r="AVS37" s="166"/>
      <c r="AVT37" s="166"/>
      <c r="AVU37" s="166"/>
      <c r="AVV37" s="167"/>
      <c r="AVW37" s="168"/>
      <c r="AVX37" s="167"/>
      <c r="AVY37" s="167"/>
      <c r="AVZ37" s="167"/>
      <c r="AWA37" s="167"/>
      <c r="AWB37" s="167"/>
      <c r="AWC37" s="169"/>
      <c r="AWD37" s="167"/>
      <c r="AWE37" s="167"/>
      <c r="AWF37" s="167"/>
      <c r="AWG37" s="167"/>
      <c r="AWH37" s="167"/>
      <c r="AWI37" s="170"/>
      <c r="AWJ37" s="167"/>
      <c r="AWK37" s="167"/>
      <c r="AWL37" s="167"/>
      <c r="AWM37" s="167"/>
      <c r="AWN37" s="167"/>
      <c r="AWO37" s="169"/>
      <c r="AWP37" s="167"/>
      <c r="AWQ37" s="167"/>
      <c r="AWR37" s="167"/>
      <c r="AWS37" s="167"/>
      <c r="AWT37" s="167"/>
      <c r="AWU37" s="170"/>
      <c r="AWV37" s="166"/>
      <c r="AWW37" s="166"/>
      <c r="AWX37" s="166"/>
      <c r="AWY37" s="166"/>
      <c r="AWZ37" s="167"/>
      <c r="AXA37" s="169"/>
      <c r="AXB37" s="167"/>
      <c r="AXC37" s="167"/>
      <c r="AXD37" s="167"/>
      <c r="AXE37" s="167"/>
      <c r="AXF37" s="167"/>
      <c r="AXG37" s="170"/>
      <c r="AXH37" s="167"/>
      <c r="AXI37" s="167"/>
      <c r="AXJ37" s="167"/>
      <c r="AXK37" s="33"/>
      <c r="AXL37" s="33"/>
      <c r="AXM37" s="137"/>
      <c r="AXN37" s="33"/>
      <c r="AXO37" s="33"/>
      <c r="AXP37" s="33"/>
      <c r="AXQ37" s="33"/>
      <c r="AXR37" s="33"/>
      <c r="AXS37" s="74"/>
      <c r="AXT37" s="33"/>
      <c r="AXU37" s="33"/>
      <c r="AXV37" s="33"/>
      <c r="AXW37" s="33"/>
      <c r="AXX37" s="33"/>
      <c r="AXY37" s="34"/>
      <c r="AXZ37" s="165"/>
      <c r="AYA37" s="166"/>
      <c r="AYB37" s="166"/>
      <c r="AYC37" s="166"/>
      <c r="AYD37" s="167"/>
      <c r="AYE37" s="168"/>
      <c r="AYF37" s="167"/>
      <c r="AYG37" s="167"/>
      <c r="AYH37" s="167"/>
      <c r="AYI37" s="167"/>
      <c r="AYJ37" s="167"/>
      <c r="AYK37" s="169"/>
      <c r="AYL37" s="167"/>
      <c r="AYM37" s="167"/>
      <c r="AYN37" s="167"/>
      <c r="AYO37" s="167"/>
      <c r="AYP37" s="167"/>
      <c r="AYQ37" s="170"/>
      <c r="AYR37" s="167"/>
      <c r="AYS37" s="167"/>
      <c r="AYT37" s="167"/>
      <c r="AYU37" s="167"/>
      <c r="AYV37" s="167"/>
      <c r="AYW37" s="169"/>
      <c r="AYX37" s="167"/>
      <c r="AYY37" s="167"/>
      <c r="AYZ37" s="167"/>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32"/>
      <c r="BLW37" s="64"/>
      <c r="BLX37" s="64"/>
      <c r="BLY37" s="64"/>
      <c r="BLZ37" s="33"/>
      <c r="BMA37" s="132"/>
      <c r="BMB37" s="33"/>
      <c r="BMC37" s="33"/>
      <c r="BMD37" s="33"/>
      <c r="BME37" s="33"/>
      <c r="BMF37" s="33"/>
      <c r="BMG37" s="137"/>
      <c r="BMH37" s="33"/>
      <c r="BMI37" s="33"/>
      <c r="BMJ37" s="33"/>
      <c r="BMK37" s="33"/>
      <c r="BML37" s="33"/>
      <c r="BMM37" s="74"/>
      <c r="BMN37" s="33"/>
      <c r="BMO37" s="33"/>
      <c r="BMP37" s="33"/>
      <c r="BMQ37" s="33"/>
      <c r="BMR37" s="33"/>
      <c r="BMS37" s="137"/>
      <c r="BMT37" s="33"/>
      <c r="BMU37" s="33"/>
      <c r="BMV37" s="33"/>
      <c r="BMW37" s="33"/>
      <c r="BMX37" s="33"/>
      <c r="BMY37" s="74"/>
      <c r="BMZ37" s="64"/>
      <c r="BNA37" s="64"/>
      <c r="BNB37" s="64"/>
      <c r="BNC37" s="64"/>
      <c r="BND37" s="33"/>
      <c r="BNE37" s="137"/>
      <c r="BNF37" s="33"/>
      <c r="BNG37" s="33"/>
      <c r="BNH37" s="33"/>
      <c r="BNI37" s="33"/>
      <c r="BNJ37" s="33"/>
      <c r="BNK37" s="74"/>
      <c r="BNL37" s="33"/>
      <c r="BNM37" s="33"/>
      <c r="BNN37" s="33"/>
      <c r="BNO37" s="33"/>
      <c r="BNP37" s="33"/>
      <c r="BNQ37" s="137"/>
      <c r="BNR37" s="33"/>
      <c r="BNS37" s="33"/>
      <c r="BNT37" s="33"/>
      <c r="BNU37" s="33"/>
      <c r="BNV37" s="33"/>
      <c r="BNW37" s="74"/>
      <c r="BNX37" s="33"/>
      <c r="BNY37" s="33"/>
      <c r="BNZ37" s="33"/>
      <c r="BOA37" s="33"/>
      <c r="BOB37" s="33"/>
      <c r="BOC37" s="34"/>
      <c r="BOD37" s="32"/>
      <c r="BOE37" s="64"/>
      <c r="BOF37" s="64"/>
      <c r="BOG37" s="64"/>
      <c r="BOH37" s="33"/>
      <c r="BOI37" s="132"/>
      <c r="BOJ37" s="33"/>
      <c r="BOK37" s="33"/>
      <c r="BOL37" s="33"/>
      <c r="BOM37" s="33"/>
      <c r="BON37" s="33"/>
      <c r="BOO37" s="137"/>
      <c r="BOP37" s="33"/>
      <c r="BOQ37" s="33"/>
      <c r="BOR37" s="33"/>
      <c r="BOS37" s="33"/>
      <c r="BOT37" s="33"/>
      <c r="BOU37" s="74"/>
      <c r="BOV37" s="33"/>
      <c r="BOW37" s="33"/>
      <c r="BOX37" s="33"/>
      <c r="BOY37" s="33"/>
      <c r="BOZ37" s="33"/>
      <c r="BPA37" s="137"/>
      <c r="BPB37" s="33"/>
      <c r="BPC37" s="33"/>
      <c r="BPD37" s="33"/>
      <c r="BPE37" s="33"/>
      <c r="BPF37" s="33"/>
      <c r="BPG37" s="74"/>
      <c r="BPH37" s="64"/>
      <c r="BPI37" s="64"/>
      <c r="BPJ37" s="64"/>
      <c r="BPK37" s="64"/>
      <c r="BPL37" s="33"/>
      <c r="BPM37" s="137"/>
      <c r="BPN37" s="33"/>
      <c r="BPO37" s="33"/>
      <c r="BPP37" s="33"/>
      <c r="BPQ37" s="33"/>
      <c r="BPR37" s="33"/>
      <c r="BPS37" s="74"/>
      <c r="BPT37" s="33"/>
      <c r="BPU37" s="33"/>
      <c r="BPV37" s="33"/>
      <c r="BPW37" s="33"/>
      <c r="BPX37" s="33"/>
      <c r="BPY37" s="137"/>
      <c r="BPZ37" s="33"/>
      <c r="BQA37" s="33"/>
      <c r="BQB37" s="33"/>
      <c r="BQC37" s="33"/>
      <c r="BQD37" s="33"/>
      <c r="BQE37" s="74"/>
      <c r="BQF37" s="33"/>
      <c r="BQG37" s="33"/>
      <c r="BQH37" s="33"/>
      <c r="BQI37" s="33"/>
      <c r="BQJ37" s="33"/>
      <c r="BQK37" s="34"/>
      <c r="BQL37" s="32"/>
      <c r="BQM37" s="64"/>
      <c r="BQN37" s="64"/>
      <c r="BQO37" s="64"/>
      <c r="BQP37" s="33"/>
      <c r="BQQ37" s="132"/>
      <c r="BQR37" s="33"/>
      <c r="BQS37" s="33"/>
      <c r="BQT37" s="33"/>
      <c r="BQU37" s="33"/>
      <c r="BQV37" s="33"/>
      <c r="BQW37" s="137"/>
      <c r="BQX37" s="33"/>
      <c r="BQY37" s="33"/>
      <c r="BQZ37" s="33"/>
      <c r="BRA37" s="33"/>
      <c r="BRB37" s="33"/>
      <c r="BRC37" s="74"/>
      <c r="BRD37" s="33"/>
      <c r="BRE37" s="33"/>
      <c r="BRF37" s="33"/>
      <c r="BRG37" s="33"/>
      <c r="BRH37" s="33"/>
      <c r="BRI37" s="137"/>
      <c r="BRJ37" s="33"/>
      <c r="BRK37" s="33"/>
      <c r="BRL37" s="33"/>
      <c r="BRM37" s="33"/>
      <c r="BRN37" s="33"/>
      <c r="BRO37" s="74"/>
      <c r="BRP37" s="64"/>
      <c r="BRQ37" s="64"/>
      <c r="BRR37" s="64"/>
      <c r="BRS37" s="64"/>
      <c r="BRT37" s="33"/>
      <c r="BRU37" s="137"/>
      <c r="BRV37" s="33"/>
      <c r="BRW37" s="33"/>
      <c r="BRX37" s="33"/>
      <c r="BRY37" s="33"/>
      <c r="BRZ37" s="33"/>
      <c r="BSA37" s="74"/>
      <c r="BSB37" s="33"/>
      <c r="BSC37" s="33"/>
      <c r="BSD37" s="33"/>
      <c r="BSE37" s="33"/>
      <c r="BSF37" s="33"/>
      <c r="BSG37" s="137"/>
      <c r="BSH37" s="33"/>
      <c r="BSI37" s="33"/>
      <c r="BSJ37" s="33"/>
      <c r="BSK37" s="33"/>
      <c r="BSL37" s="33"/>
      <c r="BSM37" s="74"/>
      <c r="BSN37" s="33"/>
      <c r="BSO37" s="33"/>
      <c r="BSP37" s="33"/>
      <c r="BSQ37" s="33"/>
      <c r="BSR37" s="33"/>
      <c r="BSS37" s="34"/>
      <c r="BST37" s="32"/>
      <c r="BSU37" s="64"/>
      <c r="BSV37" s="64"/>
      <c r="BSW37" s="64"/>
      <c r="BSX37" s="33"/>
      <c r="BSY37" s="132"/>
      <c r="BSZ37" s="33"/>
      <c r="BTA37" s="33"/>
      <c r="BTB37" s="33"/>
      <c r="BTC37" s="33"/>
      <c r="BTD37" s="33"/>
      <c r="BTE37" s="137"/>
      <c r="BTF37" s="33"/>
      <c r="BTG37" s="33"/>
      <c r="BTH37" s="33"/>
      <c r="BTI37" s="33"/>
      <c r="BTJ37" s="33"/>
      <c r="BTK37" s="74"/>
      <c r="BTL37" s="33"/>
      <c r="BTM37" s="33"/>
      <c r="BTN37" s="33"/>
      <c r="BTO37" s="33"/>
      <c r="BTP37" s="33"/>
      <c r="BTQ37" s="137"/>
      <c r="BTR37" s="33"/>
      <c r="BTS37" s="33"/>
      <c r="BTT37" s="33"/>
      <c r="BTU37" s="33"/>
      <c r="BTV37" s="33"/>
      <c r="BTW37" s="74"/>
      <c r="BTX37" s="64"/>
      <c r="BTY37" s="64"/>
      <c r="BTZ37" s="64"/>
      <c r="BUA37" s="64"/>
      <c r="BUB37" s="33"/>
      <c r="BUC37" s="137"/>
      <c r="BUD37" s="33"/>
      <c r="BUE37" s="33"/>
      <c r="BUF37" s="33"/>
      <c r="BUG37" s="33"/>
      <c r="BUH37" s="33"/>
      <c r="BUI37" s="74"/>
      <c r="BUJ37" s="33"/>
      <c r="BUK37" s="33"/>
      <c r="BUL37" s="33"/>
      <c r="BUM37" s="33"/>
      <c r="BUN37" s="33"/>
      <c r="BUO37" s="137"/>
      <c r="BUP37" s="33"/>
      <c r="BUQ37" s="33"/>
      <c r="BUR37" s="33"/>
      <c r="BUS37" s="33"/>
      <c r="BUT37" s="33"/>
      <c r="BUU37" s="74"/>
      <c r="BUV37" s="33"/>
      <c r="BUW37" s="33"/>
      <c r="BUX37" s="33"/>
      <c r="BUY37" s="33"/>
      <c r="BUZ37" s="33"/>
      <c r="BVA37" s="34"/>
      <c r="BVB37" s="32"/>
      <c r="BVC37" s="64"/>
      <c r="BVD37" s="64"/>
      <c r="BVE37" s="64"/>
      <c r="BVF37" s="33"/>
      <c r="BVG37" s="132"/>
      <c r="BVH37" s="33"/>
      <c r="BVI37" s="33"/>
      <c r="BVJ37" s="33"/>
      <c r="BVK37" s="33"/>
      <c r="BVL37" s="33"/>
      <c r="BVM37" s="137"/>
      <c r="BVN37" s="33"/>
      <c r="BVO37" s="33"/>
      <c r="BVP37" s="33"/>
      <c r="BVQ37" s="33"/>
      <c r="BVR37" s="33"/>
      <c r="BVS37" s="74"/>
      <c r="BVT37" s="33"/>
      <c r="BVU37" s="33"/>
      <c r="BVV37" s="33"/>
      <c r="BVW37" s="33"/>
      <c r="BVX37" s="33"/>
      <c r="BVY37" s="137"/>
      <c r="BVZ37" s="33"/>
      <c r="BWA37" s="33"/>
      <c r="BWB37" s="33"/>
      <c r="BWC37" s="33"/>
      <c r="BWD37" s="33"/>
      <c r="BWE37" s="74"/>
      <c r="BWF37" s="64"/>
      <c r="BWG37" s="64"/>
      <c r="BWH37" s="64"/>
      <c r="BWI37" s="64"/>
      <c r="BWJ37" s="33"/>
      <c r="BWK37" s="137"/>
      <c r="BWL37" s="33"/>
      <c r="BWM37" s="33"/>
      <c r="BWN37" s="33"/>
      <c r="BWO37" s="33"/>
      <c r="BWP37" s="33"/>
      <c r="BWQ37" s="74"/>
      <c r="BWR37" s="33"/>
      <c r="BWS37" s="33"/>
      <c r="BWT37" s="33"/>
      <c r="BWU37" s="33"/>
      <c r="BWV37" s="33"/>
      <c r="BWW37" s="137"/>
      <c r="BWX37" s="33"/>
      <c r="BWY37" s="33"/>
      <c r="BWZ37" s="33"/>
      <c r="BXA37" s="33"/>
      <c r="BXB37" s="33"/>
      <c r="BXC37" s="74"/>
      <c r="BXD37" s="33"/>
      <c r="BXE37" s="33"/>
      <c r="BXF37" s="33"/>
      <c r="BXG37" s="33"/>
      <c r="BXH37" s="33"/>
      <c r="BXI37" s="34"/>
      <c r="BXJ37" s="32"/>
      <c r="BXK37" s="64"/>
      <c r="BXL37" s="64"/>
      <c r="BXM37" s="64"/>
      <c r="BXN37" s="33"/>
      <c r="BXO37" s="132"/>
      <c r="BXP37" s="33"/>
      <c r="BXQ37" s="33"/>
      <c r="BXR37" s="33"/>
      <c r="BXS37" s="33"/>
      <c r="BXT37" s="33"/>
      <c r="BXU37" s="137"/>
      <c r="BXV37" s="33"/>
      <c r="BXW37" s="33"/>
      <c r="BXX37" s="33"/>
      <c r="BXY37" s="33"/>
      <c r="BXZ37" s="33"/>
      <c r="BYA37" s="74"/>
      <c r="BYB37" s="33"/>
      <c r="BYC37" s="33"/>
      <c r="BYD37" s="33"/>
      <c r="BYE37" s="33"/>
      <c r="BYF37" s="33"/>
      <c r="BYG37" s="137"/>
      <c r="BYH37" s="33"/>
      <c r="BYI37" s="33"/>
      <c r="BYJ37" s="33"/>
      <c r="BYK37" s="33"/>
      <c r="BYL37" s="33"/>
      <c r="BYM37" s="74"/>
      <c r="BYN37" s="64"/>
      <c r="BYO37" s="64"/>
      <c r="BYP37" s="64"/>
      <c r="BYQ37" s="64"/>
      <c r="BYR37" s="33"/>
      <c r="BYS37" s="137"/>
      <c r="BYT37" s="33"/>
      <c r="BYU37" s="33"/>
      <c r="BYV37" s="33"/>
      <c r="BYW37" s="33"/>
      <c r="BYX37" s="33"/>
      <c r="BYY37" s="74"/>
      <c r="BYZ37" s="33"/>
      <c r="BZA37" s="33"/>
      <c r="BZB37" s="33"/>
      <c r="BZC37" s="33"/>
      <c r="BZD37" s="33"/>
      <c r="BZE37" s="137"/>
      <c r="BZF37" s="33"/>
      <c r="BZG37" s="33"/>
      <c r="BZH37" s="33"/>
      <c r="BZI37" s="33"/>
      <c r="BZJ37" s="33"/>
      <c r="BZK37" s="74"/>
      <c r="BZL37" s="33"/>
      <c r="BZM37" s="33"/>
      <c r="BZN37" s="33"/>
      <c r="BZO37" s="33"/>
      <c r="BZP37" s="33"/>
      <c r="BZQ37" s="34"/>
      <c r="BZR37" s="32"/>
      <c r="BZS37" s="64"/>
      <c r="BZT37" s="64"/>
      <c r="BZU37" s="64"/>
      <c r="BZV37" s="33"/>
      <c r="BZW37" s="132"/>
      <c r="BZX37" s="33"/>
      <c r="BZY37" s="33"/>
      <c r="BZZ37" s="33"/>
      <c r="CAA37" s="33"/>
      <c r="CAB37" s="33"/>
      <c r="CAC37" s="137"/>
      <c r="CAD37" s="33"/>
      <c r="CAE37" s="33"/>
      <c r="CAF37" s="33"/>
      <c r="CAG37" s="33"/>
      <c r="CAH37" s="33"/>
      <c r="CAI37" s="74"/>
      <c r="CAJ37" s="33"/>
      <c r="CAK37" s="33"/>
      <c r="CAL37" s="33"/>
      <c r="CAM37" s="33"/>
      <c r="CAN37" s="33"/>
      <c r="CAO37" s="137"/>
      <c r="CAP37" s="33"/>
      <c r="CAQ37" s="33"/>
      <c r="CAR37" s="33"/>
      <c r="CAS37" s="33"/>
      <c r="CAT37" s="33"/>
      <c r="CAU37" s="74"/>
      <c r="CAV37" s="64"/>
      <c r="CAW37" s="64"/>
      <c r="CAX37" s="64"/>
      <c r="CAY37" s="64"/>
      <c r="CAZ37" s="33"/>
      <c r="CBA37" s="137"/>
      <c r="CBB37" s="33"/>
      <c r="CBC37" s="33"/>
      <c r="CBD37" s="33"/>
      <c r="CBE37" s="33"/>
      <c r="CBF37" s="33"/>
      <c r="CBG37" s="74"/>
      <c r="CBH37" s="33"/>
      <c r="CBI37" s="33"/>
      <c r="CBJ37" s="33"/>
      <c r="CBK37" s="33"/>
      <c r="CBL37" s="33"/>
      <c r="CBM37" s="137"/>
      <c r="CBN37" s="33"/>
      <c r="CBO37" s="33"/>
      <c r="CBP37" s="33"/>
      <c r="CBQ37" s="33"/>
      <c r="CBR37" s="33"/>
      <c r="CBS37" s="74"/>
      <c r="CBT37" s="33"/>
      <c r="CBU37" s="33"/>
      <c r="CBV37" s="33"/>
      <c r="CBW37" s="33"/>
      <c r="CBX37" s="33"/>
      <c r="CBY37" s="34"/>
      <c r="CBZ37" s="32"/>
      <c r="CCA37" s="64"/>
      <c r="CCB37" s="64"/>
      <c r="CCC37" s="64"/>
      <c r="CCD37" s="33"/>
      <c r="CCE37" s="132"/>
      <c r="CCF37" s="33"/>
      <c r="CCG37" s="33"/>
      <c r="CCH37" s="33"/>
      <c r="CCI37" s="33"/>
      <c r="CCJ37" s="33"/>
      <c r="CCK37" s="137"/>
      <c r="CCL37" s="33"/>
      <c r="CCM37" s="33"/>
      <c r="CCN37" s="33"/>
      <c r="CCO37" s="33"/>
      <c r="CCP37" s="33"/>
      <c r="CCQ37" s="74"/>
      <c r="CCR37" s="33"/>
      <c r="CCS37" s="33"/>
      <c r="CCT37" s="33"/>
      <c r="CCU37" s="33"/>
      <c r="CCV37" s="33"/>
      <c r="CCW37" s="137"/>
      <c r="CCX37" s="33"/>
      <c r="CCY37" s="33"/>
      <c r="CCZ37" s="33"/>
      <c r="CDA37" s="33"/>
      <c r="CDB37" s="33"/>
      <c r="CDC37" s="74"/>
      <c r="CDD37" s="64"/>
      <c r="CDE37" s="64"/>
      <c r="CDF37" s="64"/>
      <c r="CDG37" s="64"/>
      <c r="CDH37" s="33"/>
      <c r="CDI37" s="137"/>
      <c r="CDJ37" s="33"/>
      <c r="CDK37" s="33"/>
      <c r="CDL37" s="33"/>
      <c r="CDM37" s="33"/>
      <c r="CDN37" s="33"/>
      <c r="CDO37" s="74"/>
      <c r="CDP37" s="33"/>
      <c r="CDQ37" s="33"/>
      <c r="CDR37" s="33"/>
      <c r="CDS37" s="33"/>
      <c r="CDT37" s="33"/>
      <c r="CDU37" s="137"/>
      <c r="CDV37" s="33"/>
      <c r="CDW37" s="33"/>
      <c r="CDX37" s="33"/>
      <c r="CDY37" s="33"/>
      <c r="CDZ37" s="33"/>
      <c r="CEA37" s="74"/>
      <c r="CEB37" s="33"/>
      <c r="CEC37" s="33"/>
      <c r="CED37" s="33"/>
      <c r="CEE37" s="33"/>
      <c r="CEF37" s="33"/>
      <c r="CEG37" s="34"/>
      <c r="CEH37" s="32"/>
      <c r="CEI37" s="64"/>
      <c r="CEJ37" s="64"/>
      <c r="CEK37" s="64"/>
      <c r="CEL37" s="33"/>
      <c r="CEM37" s="132"/>
      <c r="CEN37" s="33"/>
      <c r="CEO37" s="33"/>
      <c r="CEP37" s="33"/>
      <c r="CEQ37" s="33"/>
      <c r="CER37" s="33"/>
      <c r="CES37" s="137"/>
      <c r="CET37" s="33"/>
      <c r="CEU37" s="33"/>
      <c r="CEV37" s="33"/>
      <c r="CEW37" s="33"/>
      <c r="CEX37" s="33"/>
      <c r="CEY37" s="74"/>
      <c r="CEZ37" s="33"/>
      <c r="CFA37" s="33"/>
      <c r="CFB37" s="33"/>
      <c r="CFC37" s="33"/>
      <c r="CFD37" s="33"/>
      <c r="CFE37" s="137"/>
      <c r="CFF37" s="33"/>
      <c r="CFG37" s="33"/>
      <c r="CFH37" s="33"/>
      <c r="CFI37" s="33"/>
      <c r="CFJ37" s="33"/>
      <c r="CFK37" s="74"/>
      <c r="CFL37" s="64"/>
      <c r="CFM37" s="64"/>
      <c r="CFN37" s="64"/>
      <c r="CFO37" s="64"/>
      <c r="CFP37" s="33"/>
      <c r="CFQ37" s="137"/>
      <c r="CFR37" s="33"/>
      <c r="CFS37" s="33"/>
      <c r="CFT37" s="33"/>
      <c r="CFU37" s="33"/>
      <c r="CFV37" s="33"/>
      <c r="CFW37" s="74"/>
      <c r="CFX37" s="33"/>
      <c r="CFY37" s="33"/>
      <c r="CFZ37" s="33"/>
      <c r="CGA37" s="33"/>
      <c r="CGB37" s="33"/>
      <c r="CGC37" s="137"/>
      <c r="CGD37" s="33"/>
      <c r="CGE37" s="33"/>
      <c r="CGF37" s="33"/>
      <c r="CGG37" s="33"/>
      <c r="CGH37" s="33"/>
      <c r="CGI37" s="74"/>
      <c r="CGJ37" s="33"/>
      <c r="CGK37" s="33"/>
      <c r="CGL37" s="33"/>
      <c r="CGM37" s="33"/>
      <c r="CGN37" s="33"/>
      <c r="CGO37" s="34"/>
      <c r="CGP37" s="32"/>
      <c r="CGQ37" s="64"/>
      <c r="CGR37" s="64"/>
      <c r="CGS37" s="64"/>
      <c r="CGT37" s="33"/>
      <c r="CGU37" s="132"/>
      <c r="CGV37" s="33"/>
      <c r="CGW37" s="33"/>
      <c r="CGX37" s="33"/>
      <c r="CGY37" s="33"/>
      <c r="CGZ37" s="33"/>
      <c r="CHA37" s="137"/>
      <c r="CHB37" s="33"/>
      <c r="CHC37" s="33"/>
      <c r="CHD37" s="33"/>
      <c r="CHE37" s="33"/>
      <c r="CHF37" s="33"/>
      <c r="CHG37" s="74"/>
      <c r="CHH37" s="33"/>
      <c r="CHI37" s="33"/>
      <c r="CHJ37" s="33"/>
      <c r="CHK37" s="33"/>
      <c r="CHL37" s="33"/>
      <c r="CHM37" s="137"/>
      <c r="CHN37" s="33"/>
      <c r="CHO37" s="33"/>
      <c r="CHP37" s="33"/>
      <c r="CHQ37" s="33"/>
      <c r="CHR37" s="33"/>
      <c r="CHS37" s="74"/>
      <c r="CHT37" s="64"/>
      <c r="CHU37" s="64"/>
      <c r="CHV37" s="64"/>
      <c r="CHW37" s="64"/>
      <c r="CHX37" s="33"/>
      <c r="CHY37" s="137"/>
      <c r="CHZ37" s="33"/>
      <c r="CIA37" s="33"/>
      <c r="CIB37" s="33"/>
      <c r="CIC37" s="33"/>
      <c r="CID37" s="33"/>
      <c r="CIE37" s="74"/>
      <c r="CIF37" s="33"/>
      <c r="CIG37" s="33"/>
      <c r="CIH37" s="33"/>
      <c r="CII37" s="33"/>
      <c r="CIJ37" s="33"/>
      <c r="CIK37" s="137"/>
      <c r="CIL37" s="33"/>
      <c r="CIM37" s="33"/>
      <c r="CIN37" s="33"/>
      <c r="CIO37" s="33"/>
      <c r="CIP37" s="33"/>
      <c r="CIQ37" s="74"/>
      <c r="CIR37" s="33"/>
      <c r="CIS37" s="33"/>
      <c r="CIT37" s="33"/>
      <c r="CIU37" s="33"/>
      <c r="CIV37" s="33"/>
      <c r="CIW37" s="34"/>
      <c r="CIX37" s="32"/>
      <c r="CIY37" s="64"/>
      <c r="CIZ37" s="64"/>
      <c r="CJA37" s="64"/>
      <c r="CJB37" s="33"/>
      <c r="CJC37" s="132"/>
      <c r="CJD37" s="33"/>
      <c r="CJE37" s="33"/>
      <c r="CJF37" s="33"/>
      <c r="CJG37" s="33"/>
      <c r="CJH37" s="33"/>
      <c r="CJI37" s="137"/>
      <c r="CJJ37" s="33"/>
      <c r="CJK37" s="33"/>
      <c r="CJL37" s="33"/>
      <c r="CJM37" s="33"/>
      <c r="CJN37" s="33"/>
      <c r="CJO37" s="74"/>
      <c r="CJP37" s="33"/>
      <c r="CJQ37" s="33"/>
      <c r="CJR37" s="33"/>
      <c r="CJS37" s="33"/>
      <c r="CJT37" s="33"/>
      <c r="CJU37" s="137"/>
      <c r="CJV37" s="33"/>
      <c r="CJW37" s="33"/>
      <c r="CJX37" s="33"/>
      <c r="CJY37" s="33"/>
      <c r="CJZ37" s="33"/>
      <c r="CKA37" s="74"/>
      <c r="CKB37" s="64"/>
      <c r="CKC37" s="64"/>
      <c r="CKD37" s="64"/>
      <c r="CKE37" s="64"/>
      <c r="CKF37" s="33"/>
      <c r="CKG37" s="137"/>
      <c r="CKH37" s="33"/>
      <c r="CKI37" s="33"/>
      <c r="CKJ37" s="33"/>
      <c r="CKK37" s="33"/>
      <c r="CKL37" s="33"/>
      <c r="CKM37" s="74"/>
      <c r="CKN37" s="33"/>
      <c r="CKO37" s="33"/>
      <c r="CKP37" s="33"/>
      <c r="CKQ37" s="33"/>
      <c r="CKR37" s="33"/>
      <c r="CKS37" s="137"/>
      <c r="CKT37" s="33"/>
      <c r="CKU37" s="33"/>
      <c r="CKV37" s="33"/>
      <c r="CKW37" s="33"/>
      <c r="CKX37" s="33"/>
      <c r="CKY37" s="74"/>
      <c r="CKZ37" s="33"/>
      <c r="CLA37" s="33"/>
      <c r="CLB37" s="33"/>
      <c r="CLC37" s="33"/>
      <c r="CLD37" s="33"/>
      <c r="CLE37" s="34"/>
      <c r="CLF37" s="32"/>
      <c r="CLG37" s="64"/>
      <c r="CLH37" s="64"/>
      <c r="CLI37" s="64"/>
      <c r="CLJ37" s="33"/>
      <c r="CLK37" s="132"/>
      <c r="CLL37" s="33"/>
      <c r="CLM37" s="33"/>
      <c r="CLN37" s="33"/>
      <c r="CLO37" s="33"/>
      <c r="CLP37" s="33"/>
      <c r="CLQ37" s="137"/>
      <c r="CLR37" s="33"/>
      <c r="CLS37" s="33"/>
      <c r="CLT37" s="33"/>
      <c r="CLU37" s="33"/>
      <c r="CLV37" s="33"/>
      <c r="CLW37" s="74"/>
      <c r="CLX37" s="33"/>
      <c r="CLY37" s="33"/>
      <c r="CLZ37" s="33"/>
      <c r="CMA37" s="33"/>
      <c r="CMB37" s="33"/>
      <c r="CMC37" s="137"/>
      <c r="CMD37" s="33"/>
      <c r="CME37" s="33"/>
      <c r="CMF37" s="33"/>
      <c r="CMG37" s="33"/>
      <c r="CMH37" s="33"/>
      <c r="CMI37" s="74"/>
      <c r="CMJ37" s="64"/>
      <c r="CMK37" s="64"/>
      <c r="CML37" s="64"/>
      <c r="CMM37" s="64"/>
      <c r="CMN37" s="33"/>
      <c r="CMO37" s="137"/>
      <c r="CMP37" s="33"/>
      <c r="CMQ37" s="33"/>
      <c r="CMR37" s="33"/>
      <c r="CMS37" s="33"/>
      <c r="CMT37" s="33"/>
      <c r="CMU37" s="74"/>
      <c r="CMV37" s="33"/>
      <c r="CMW37" s="33"/>
      <c r="CMX37" s="33"/>
      <c r="CMY37" s="33"/>
      <c r="CMZ37" s="33"/>
      <c r="CNA37" s="137"/>
      <c r="CNB37" s="33"/>
      <c r="CNC37" s="33"/>
      <c r="CND37" s="33"/>
      <c r="CNE37" s="33"/>
      <c r="CNF37" s="33"/>
      <c r="CNG37" s="74"/>
      <c r="CNH37" s="33"/>
      <c r="CNI37" s="33"/>
      <c r="CNJ37" s="33"/>
      <c r="CNK37" s="33"/>
      <c r="CNL37" s="33"/>
      <c r="CNM37" s="34"/>
      <c r="CNN37" s="32"/>
      <c r="CNO37" s="64"/>
      <c r="CNP37" s="64"/>
      <c r="CNQ37" s="64"/>
      <c r="CNR37" s="33"/>
      <c r="CNS37" s="132"/>
      <c r="CNT37" s="33"/>
      <c r="CNU37" s="33"/>
      <c r="CNV37" s="33"/>
      <c r="CNW37" s="33"/>
      <c r="CNX37" s="33"/>
      <c r="CNY37" s="137"/>
      <c r="CNZ37" s="33"/>
      <c r="COA37" s="33"/>
      <c r="COB37" s="33"/>
      <c r="COC37" s="33"/>
      <c r="COD37" s="33"/>
      <c r="COE37" s="74"/>
      <c r="COF37" s="33"/>
      <c r="COG37" s="33"/>
      <c r="COH37" s="33"/>
      <c r="COI37" s="33"/>
      <c r="COJ37" s="33"/>
      <c r="COK37" s="137"/>
      <c r="COL37" s="33"/>
      <c r="COM37" s="33"/>
      <c r="CON37" s="33"/>
      <c r="COO37" s="33"/>
      <c r="COP37" s="33"/>
      <c r="COQ37" s="74"/>
      <c r="COR37" s="64"/>
      <c r="COS37" s="64"/>
      <c r="COT37" s="64"/>
      <c r="COU37" s="64"/>
      <c r="COV37" s="33"/>
      <c r="COW37" s="137"/>
      <c r="COX37" s="33"/>
      <c r="COY37" s="33"/>
      <c r="COZ37" s="33"/>
      <c r="CPA37" s="33"/>
      <c r="CPB37" s="33"/>
      <c r="CPC37" s="74"/>
      <c r="CPD37" s="33"/>
      <c r="CPE37" s="33"/>
      <c r="CPF37" s="33"/>
      <c r="CPG37" s="33"/>
      <c r="CPH37" s="33"/>
      <c r="CPI37" s="137"/>
      <c r="CPJ37" s="33"/>
      <c r="CPK37" s="33"/>
      <c r="CPL37" s="33"/>
      <c r="CPM37" s="33"/>
      <c r="CPN37" s="33"/>
      <c r="CPO37" s="74"/>
      <c r="CPP37" s="33"/>
      <c r="CPQ37" s="33"/>
      <c r="CPR37" s="33"/>
      <c r="CPS37" s="33"/>
      <c r="CPT37" s="33"/>
      <c r="CPU37" s="34"/>
      <c r="CPV37" s="32"/>
      <c r="CPW37" s="64"/>
      <c r="CPX37" s="64"/>
      <c r="CPY37" s="64"/>
      <c r="CPZ37" s="33"/>
      <c r="CQA37" s="132"/>
      <c r="CQB37" s="33"/>
      <c r="CQC37" s="33"/>
      <c r="CQD37" s="33"/>
      <c r="CQE37" s="33"/>
      <c r="CQF37" s="33"/>
      <c r="CQG37" s="137"/>
      <c r="CQH37" s="33"/>
      <c r="CQI37" s="33"/>
      <c r="CQJ37" s="33"/>
      <c r="CQK37" s="33"/>
      <c r="CQL37" s="33"/>
      <c r="CQM37" s="74"/>
      <c r="CQN37" s="33"/>
      <c r="CQO37" s="33"/>
      <c r="CQP37" s="33"/>
      <c r="CQQ37" s="33"/>
      <c r="CQR37" s="33"/>
      <c r="CQS37" s="137"/>
      <c r="CQT37" s="33"/>
      <c r="CQU37" s="33"/>
      <c r="CQV37" s="33"/>
      <c r="CQW37" s="33"/>
      <c r="CQX37" s="33"/>
      <c r="CQY37" s="74"/>
      <c r="CQZ37" s="64"/>
      <c r="CRA37" s="64"/>
      <c r="CRB37" s="64"/>
      <c r="CRC37" s="64"/>
      <c r="CRD37" s="33"/>
      <c r="CRE37" s="137"/>
      <c r="CRF37" s="33"/>
      <c r="CRG37" s="33"/>
      <c r="CRH37" s="33"/>
      <c r="CRI37" s="33"/>
      <c r="CRJ37" s="33"/>
      <c r="CRK37" s="74"/>
      <c r="CRL37" s="33"/>
      <c r="CRM37" s="33"/>
      <c r="CRN37" s="33"/>
      <c r="CRO37" s="33"/>
      <c r="CRP37" s="33"/>
      <c r="CRQ37" s="137"/>
      <c r="CRR37" s="33"/>
      <c r="CRS37" s="33"/>
      <c r="CRT37" s="33"/>
      <c r="CRU37" s="33"/>
      <c r="CRV37" s="33"/>
      <c r="CRW37" s="74"/>
      <c r="CRX37" s="33"/>
      <c r="CRY37" s="33"/>
      <c r="CRZ37" s="33"/>
      <c r="CSA37" s="33"/>
      <c r="CSB37" s="33"/>
      <c r="CSC37" s="34"/>
      <c r="CSD37" s="90"/>
    </row>
    <row r="38" spans="1:2526" ht="20.100000000000001" customHeight="1" x14ac:dyDescent="0.3">
      <c r="A38" s="100" t="s">
        <v>19</v>
      </c>
      <c r="B38" s="63" t="str">
        <f>IF(LEN(C61)=0,"",C61)</f>
        <v>Autre</v>
      </c>
      <c r="C38" s="212"/>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36"/>
      <c r="BLW38" s="65"/>
      <c r="BLX38" s="65"/>
      <c r="BLY38" s="65"/>
      <c r="BLZ38" s="37"/>
      <c r="BMA38" s="133"/>
      <c r="BMB38" s="37"/>
      <c r="BMC38" s="37"/>
      <c r="BMD38" s="37"/>
      <c r="BME38" s="37"/>
      <c r="BMF38" s="37"/>
      <c r="BMG38" s="138"/>
      <c r="BMH38" s="37"/>
      <c r="BMI38" s="37"/>
      <c r="BMJ38" s="37"/>
      <c r="BMK38" s="37"/>
      <c r="BML38" s="37"/>
      <c r="BMM38" s="75"/>
      <c r="BMN38" s="37"/>
      <c r="BMO38" s="37"/>
      <c r="BMP38" s="37"/>
      <c r="BMQ38" s="37"/>
      <c r="BMR38" s="37"/>
      <c r="BMS38" s="138"/>
      <c r="BMT38" s="37"/>
      <c r="BMU38" s="37"/>
      <c r="BMV38" s="37"/>
      <c r="BMW38" s="37"/>
      <c r="BMX38" s="37"/>
      <c r="BMY38" s="75"/>
      <c r="BMZ38" s="65"/>
      <c r="BNA38" s="65"/>
      <c r="BNB38" s="65"/>
      <c r="BNC38" s="65"/>
      <c r="BND38" s="37"/>
      <c r="BNE38" s="138"/>
      <c r="BNF38" s="37"/>
      <c r="BNG38" s="37"/>
      <c r="BNH38" s="37"/>
      <c r="BNI38" s="37"/>
      <c r="BNJ38" s="37"/>
      <c r="BNK38" s="75"/>
      <c r="BNL38" s="37"/>
      <c r="BNM38" s="37"/>
      <c r="BNN38" s="37"/>
      <c r="BNO38" s="37"/>
      <c r="BNP38" s="37"/>
      <c r="BNQ38" s="138"/>
      <c r="BNR38" s="37"/>
      <c r="BNS38" s="37"/>
      <c r="BNT38" s="37"/>
      <c r="BNU38" s="37"/>
      <c r="BNV38" s="37"/>
      <c r="BNW38" s="75"/>
      <c r="BNX38" s="37"/>
      <c r="BNY38" s="37"/>
      <c r="BNZ38" s="37"/>
      <c r="BOA38" s="37"/>
      <c r="BOB38" s="37"/>
      <c r="BOC38" s="38"/>
      <c r="BOD38" s="36"/>
      <c r="BOE38" s="65"/>
      <c r="BOF38" s="65"/>
      <c r="BOG38" s="65"/>
      <c r="BOH38" s="37"/>
      <c r="BOI38" s="133"/>
      <c r="BOJ38" s="37"/>
      <c r="BOK38" s="37"/>
      <c r="BOL38" s="37"/>
      <c r="BOM38" s="37"/>
      <c r="BON38" s="37"/>
      <c r="BOO38" s="138"/>
      <c r="BOP38" s="37"/>
      <c r="BOQ38" s="37"/>
      <c r="BOR38" s="37"/>
      <c r="BOS38" s="37"/>
      <c r="BOT38" s="37"/>
      <c r="BOU38" s="75"/>
      <c r="BOV38" s="37"/>
      <c r="BOW38" s="37"/>
      <c r="BOX38" s="37"/>
      <c r="BOY38" s="37"/>
      <c r="BOZ38" s="37"/>
      <c r="BPA38" s="138"/>
      <c r="BPB38" s="37"/>
      <c r="BPC38" s="37"/>
      <c r="BPD38" s="37"/>
      <c r="BPE38" s="37"/>
      <c r="BPF38" s="37"/>
      <c r="BPG38" s="75"/>
      <c r="BPH38" s="65"/>
      <c r="BPI38" s="65"/>
      <c r="BPJ38" s="65"/>
      <c r="BPK38" s="65"/>
      <c r="BPL38" s="37"/>
      <c r="BPM38" s="138"/>
      <c r="BPN38" s="37"/>
      <c r="BPO38" s="37"/>
      <c r="BPP38" s="37"/>
      <c r="BPQ38" s="37"/>
      <c r="BPR38" s="37"/>
      <c r="BPS38" s="75"/>
      <c r="BPT38" s="37"/>
      <c r="BPU38" s="37"/>
      <c r="BPV38" s="37"/>
      <c r="BPW38" s="37"/>
      <c r="BPX38" s="37"/>
      <c r="BPY38" s="138"/>
      <c r="BPZ38" s="37"/>
      <c r="BQA38" s="37"/>
      <c r="BQB38" s="37"/>
      <c r="BQC38" s="37"/>
      <c r="BQD38" s="37"/>
      <c r="BQE38" s="75"/>
      <c r="BQF38" s="37"/>
      <c r="BQG38" s="37"/>
      <c r="BQH38" s="37"/>
      <c r="BQI38" s="37"/>
      <c r="BQJ38" s="37"/>
      <c r="BQK38" s="38"/>
      <c r="BQL38" s="36"/>
      <c r="BQM38" s="65"/>
      <c r="BQN38" s="65"/>
      <c r="BQO38" s="65"/>
      <c r="BQP38" s="37"/>
      <c r="BQQ38" s="133"/>
      <c r="BQR38" s="37"/>
      <c r="BQS38" s="37"/>
      <c r="BQT38" s="37"/>
      <c r="BQU38" s="37"/>
      <c r="BQV38" s="37"/>
      <c r="BQW38" s="138"/>
      <c r="BQX38" s="37"/>
      <c r="BQY38" s="37"/>
      <c r="BQZ38" s="37"/>
      <c r="BRA38" s="37"/>
      <c r="BRB38" s="37"/>
      <c r="BRC38" s="75"/>
      <c r="BRD38" s="37"/>
      <c r="BRE38" s="37"/>
      <c r="BRF38" s="37"/>
      <c r="BRG38" s="37"/>
      <c r="BRH38" s="37"/>
      <c r="BRI38" s="138"/>
      <c r="BRJ38" s="37"/>
      <c r="BRK38" s="37"/>
      <c r="BRL38" s="37"/>
      <c r="BRM38" s="37"/>
      <c r="BRN38" s="37"/>
      <c r="BRO38" s="75"/>
      <c r="BRP38" s="65"/>
      <c r="BRQ38" s="65"/>
      <c r="BRR38" s="65"/>
      <c r="BRS38" s="65"/>
      <c r="BRT38" s="37"/>
      <c r="BRU38" s="138"/>
      <c r="BRV38" s="37"/>
      <c r="BRW38" s="37"/>
      <c r="BRX38" s="37"/>
      <c r="BRY38" s="37"/>
      <c r="BRZ38" s="37"/>
      <c r="BSA38" s="75"/>
      <c r="BSB38" s="37"/>
      <c r="BSC38" s="37"/>
      <c r="BSD38" s="37"/>
      <c r="BSE38" s="37"/>
      <c r="BSF38" s="37"/>
      <c r="BSG38" s="138"/>
      <c r="BSH38" s="37"/>
      <c r="BSI38" s="37"/>
      <c r="BSJ38" s="37"/>
      <c r="BSK38" s="37"/>
      <c r="BSL38" s="37"/>
      <c r="BSM38" s="75"/>
      <c r="BSN38" s="37"/>
      <c r="BSO38" s="37"/>
      <c r="BSP38" s="37"/>
      <c r="BSQ38" s="37"/>
      <c r="BSR38" s="37"/>
      <c r="BSS38" s="38"/>
      <c r="BST38" s="36"/>
      <c r="BSU38" s="65"/>
      <c r="BSV38" s="65"/>
      <c r="BSW38" s="65"/>
      <c r="BSX38" s="37"/>
      <c r="BSY38" s="133"/>
      <c r="BSZ38" s="37"/>
      <c r="BTA38" s="37"/>
      <c r="BTB38" s="37"/>
      <c r="BTC38" s="37"/>
      <c r="BTD38" s="37"/>
      <c r="BTE38" s="138"/>
      <c r="BTF38" s="37"/>
      <c r="BTG38" s="37"/>
      <c r="BTH38" s="37"/>
      <c r="BTI38" s="37"/>
      <c r="BTJ38" s="37"/>
      <c r="BTK38" s="75"/>
      <c r="BTL38" s="37"/>
      <c r="BTM38" s="37"/>
      <c r="BTN38" s="37"/>
      <c r="BTO38" s="37"/>
      <c r="BTP38" s="37"/>
      <c r="BTQ38" s="138"/>
      <c r="BTR38" s="37"/>
      <c r="BTS38" s="37"/>
      <c r="BTT38" s="37"/>
      <c r="BTU38" s="37"/>
      <c r="BTV38" s="37"/>
      <c r="BTW38" s="75"/>
      <c r="BTX38" s="65"/>
      <c r="BTY38" s="65"/>
      <c r="BTZ38" s="65"/>
      <c r="BUA38" s="65"/>
      <c r="BUB38" s="37"/>
      <c r="BUC38" s="138"/>
      <c r="BUD38" s="37"/>
      <c r="BUE38" s="37"/>
      <c r="BUF38" s="37"/>
      <c r="BUG38" s="37"/>
      <c r="BUH38" s="37"/>
      <c r="BUI38" s="75"/>
      <c r="BUJ38" s="37"/>
      <c r="BUK38" s="37"/>
      <c r="BUL38" s="37"/>
      <c r="BUM38" s="37"/>
      <c r="BUN38" s="37"/>
      <c r="BUO38" s="138"/>
      <c r="BUP38" s="37"/>
      <c r="BUQ38" s="37"/>
      <c r="BUR38" s="37"/>
      <c r="BUS38" s="37"/>
      <c r="BUT38" s="37"/>
      <c r="BUU38" s="75"/>
      <c r="BUV38" s="37"/>
      <c r="BUW38" s="37"/>
      <c r="BUX38" s="37"/>
      <c r="BUY38" s="37"/>
      <c r="BUZ38" s="37"/>
      <c r="BVA38" s="38"/>
      <c r="BVB38" s="36"/>
      <c r="BVC38" s="65"/>
      <c r="BVD38" s="65"/>
      <c r="BVE38" s="65"/>
      <c r="BVF38" s="37"/>
      <c r="BVG38" s="133"/>
      <c r="BVH38" s="37"/>
      <c r="BVI38" s="37"/>
      <c r="BVJ38" s="37"/>
      <c r="BVK38" s="37"/>
      <c r="BVL38" s="37"/>
      <c r="BVM38" s="138"/>
      <c r="BVN38" s="37"/>
      <c r="BVO38" s="37"/>
      <c r="BVP38" s="37"/>
      <c r="BVQ38" s="37"/>
      <c r="BVR38" s="37"/>
      <c r="BVS38" s="75"/>
      <c r="BVT38" s="37"/>
      <c r="BVU38" s="37"/>
      <c r="BVV38" s="37"/>
      <c r="BVW38" s="37"/>
      <c r="BVX38" s="37"/>
      <c r="BVY38" s="138"/>
      <c r="BVZ38" s="37"/>
      <c r="BWA38" s="37"/>
      <c r="BWB38" s="37"/>
      <c r="BWC38" s="37"/>
      <c r="BWD38" s="37"/>
      <c r="BWE38" s="75"/>
      <c r="BWF38" s="65"/>
      <c r="BWG38" s="65"/>
      <c r="BWH38" s="65"/>
      <c r="BWI38" s="65"/>
      <c r="BWJ38" s="37"/>
      <c r="BWK38" s="138"/>
      <c r="BWL38" s="37"/>
      <c r="BWM38" s="37"/>
      <c r="BWN38" s="37"/>
      <c r="BWO38" s="37"/>
      <c r="BWP38" s="37"/>
      <c r="BWQ38" s="75"/>
      <c r="BWR38" s="37"/>
      <c r="BWS38" s="37"/>
      <c r="BWT38" s="37"/>
      <c r="BWU38" s="37"/>
      <c r="BWV38" s="37"/>
      <c r="BWW38" s="138"/>
      <c r="BWX38" s="37"/>
      <c r="BWY38" s="37"/>
      <c r="BWZ38" s="37"/>
      <c r="BXA38" s="37"/>
      <c r="BXB38" s="37"/>
      <c r="BXC38" s="75"/>
      <c r="BXD38" s="37"/>
      <c r="BXE38" s="37"/>
      <c r="BXF38" s="37"/>
      <c r="BXG38" s="37"/>
      <c r="BXH38" s="37"/>
      <c r="BXI38" s="38"/>
      <c r="BXJ38" s="36"/>
      <c r="BXK38" s="65"/>
      <c r="BXL38" s="65"/>
      <c r="BXM38" s="65"/>
      <c r="BXN38" s="37"/>
      <c r="BXO38" s="133"/>
      <c r="BXP38" s="37"/>
      <c r="BXQ38" s="37"/>
      <c r="BXR38" s="37"/>
      <c r="BXS38" s="37"/>
      <c r="BXT38" s="37"/>
      <c r="BXU38" s="138"/>
      <c r="BXV38" s="37"/>
      <c r="BXW38" s="37"/>
      <c r="BXX38" s="37"/>
      <c r="BXY38" s="37"/>
      <c r="BXZ38" s="37"/>
      <c r="BYA38" s="75"/>
      <c r="BYB38" s="37"/>
      <c r="BYC38" s="37"/>
      <c r="BYD38" s="37"/>
      <c r="BYE38" s="37"/>
      <c r="BYF38" s="37"/>
      <c r="BYG38" s="138"/>
      <c r="BYH38" s="37"/>
      <c r="BYI38" s="37"/>
      <c r="BYJ38" s="37"/>
      <c r="BYK38" s="37"/>
      <c r="BYL38" s="37"/>
      <c r="BYM38" s="75"/>
      <c r="BYN38" s="65"/>
      <c r="BYO38" s="65"/>
      <c r="BYP38" s="65"/>
      <c r="BYQ38" s="65"/>
      <c r="BYR38" s="37"/>
      <c r="BYS38" s="138"/>
      <c r="BYT38" s="37"/>
      <c r="BYU38" s="37"/>
      <c r="BYV38" s="37"/>
      <c r="BYW38" s="37"/>
      <c r="BYX38" s="37"/>
      <c r="BYY38" s="75"/>
      <c r="BYZ38" s="37"/>
      <c r="BZA38" s="37"/>
      <c r="BZB38" s="37"/>
      <c r="BZC38" s="37"/>
      <c r="BZD38" s="37"/>
      <c r="BZE38" s="138"/>
      <c r="BZF38" s="37"/>
      <c r="BZG38" s="37"/>
      <c r="BZH38" s="37"/>
      <c r="BZI38" s="37"/>
      <c r="BZJ38" s="37"/>
      <c r="BZK38" s="75"/>
      <c r="BZL38" s="37"/>
      <c r="BZM38" s="37"/>
      <c r="BZN38" s="37"/>
      <c r="BZO38" s="37"/>
      <c r="BZP38" s="37"/>
      <c r="BZQ38" s="38"/>
      <c r="BZR38" s="36"/>
      <c r="BZS38" s="65"/>
      <c r="BZT38" s="65"/>
      <c r="BZU38" s="65"/>
      <c r="BZV38" s="37"/>
      <c r="BZW38" s="133"/>
      <c r="BZX38" s="37"/>
      <c r="BZY38" s="37"/>
      <c r="BZZ38" s="37"/>
      <c r="CAA38" s="37"/>
      <c r="CAB38" s="37"/>
      <c r="CAC38" s="138"/>
      <c r="CAD38" s="37"/>
      <c r="CAE38" s="37"/>
      <c r="CAF38" s="37"/>
      <c r="CAG38" s="37"/>
      <c r="CAH38" s="37"/>
      <c r="CAI38" s="75"/>
      <c r="CAJ38" s="37"/>
      <c r="CAK38" s="37"/>
      <c r="CAL38" s="37"/>
      <c r="CAM38" s="37"/>
      <c r="CAN38" s="37"/>
      <c r="CAO38" s="138"/>
      <c r="CAP38" s="37"/>
      <c r="CAQ38" s="37"/>
      <c r="CAR38" s="37"/>
      <c r="CAS38" s="37"/>
      <c r="CAT38" s="37"/>
      <c r="CAU38" s="75"/>
      <c r="CAV38" s="65"/>
      <c r="CAW38" s="65"/>
      <c r="CAX38" s="65"/>
      <c r="CAY38" s="65"/>
      <c r="CAZ38" s="37"/>
      <c r="CBA38" s="138"/>
      <c r="CBB38" s="37"/>
      <c r="CBC38" s="37"/>
      <c r="CBD38" s="37"/>
      <c r="CBE38" s="37"/>
      <c r="CBF38" s="37"/>
      <c r="CBG38" s="75"/>
      <c r="CBH38" s="37"/>
      <c r="CBI38" s="37"/>
      <c r="CBJ38" s="37"/>
      <c r="CBK38" s="37"/>
      <c r="CBL38" s="37"/>
      <c r="CBM38" s="138"/>
      <c r="CBN38" s="37"/>
      <c r="CBO38" s="37"/>
      <c r="CBP38" s="37"/>
      <c r="CBQ38" s="37"/>
      <c r="CBR38" s="37"/>
      <c r="CBS38" s="75"/>
      <c r="CBT38" s="37"/>
      <c r="CBU38" s="37"/>
      <c r="CBV38" s="37"/>
      <c r="CBW38" s="37"/>
      <c r="CBX38" s="37"/>
      <c r="CBY38" s="38"/>
      <c r="CBZ38" s="36"/>
      <c r="CCA38" s="65"/>
      <c r="CCB38" s="65"/>
      <c r="CCC38" s="65"/>
      <c r="CCD38" s="37"/>
      <c r="CCE38" s="133"/>
      <c r="CCF38" s="37"/>
      <c r="CCG38" s="37"/>
      <c r="CCH38" s="37"/>
      <c r="CCI38" s="37"/>
      <c r="CCJ38" s="37"/>
      <c r="CCK38" s="138"/>
      <c r="CCL38" s="37"/>
      <c r="CCM38" s="37"/>
      <c r="CCN38" s="37"/>
      <c r="CCO38" s="37"/>
      <c r="CCP38" s="37"/>
      <c r="CCQ38" s="75"/>
      <c r="CCR38" s="37"/>
      <c r="CCS38" s="37"/>
      <c r="CCT38" s="37"/>
      <c r="CCU38" s="37"/>
      <c r="CCV38" s="37"/>
      <c r="CCW38" s="138"/>
      <c r="CCX38" s="37"/>
      <c r="CCY38" s="37"/>
      <c r="CCZ38" s="37"/>
      <c r="CDA38" s="37"/>
      <c r="CDB38" s="37"/>
      <c r="CDC38" s="75"/>
      <c r="CDD38" s="65"/>
      <c r="CDE38" s="65"/>
      <c r="CDF38" s="65"/>
      <c r="CDG38" s="65"/>
      <c r="CDH38" s="37"/>
      <c r="CDI38" s="138"/>
      <c r="CDJ38" s="37"/>
      <c r="CDK38" s="37"/>
      <c r="CDL38" s="37"/>
      <c r="CDM38" s="37"/>
      <c r="CDN38" s="37"/>
      <c r="CDO38" s="75"/>
      <c r="CDP38" s="37"/>
      <c r="CDQ38" s="37"/>
      <c r="CDR38" s="37"/>
      <c r="CDS38" s="37"/>
      <c r="CDT38" s="37"/>
      <c r="CDU38" s="138"/>
      <c r="CDV38" s="37"/>
      <c r="CDW38" s="37"/>
      <c r="CDX38" s="37"/>
      <c r="CDY38" s="37"/>
      <c r="CDZ38" s="37"/>
      <c r="CEA38" s="75"/>
      <c r="CEB38" s="37"/>
      <c r="CEC38" s="37"/>
      <c r="CED38" s="37"/>
      <c r="CEE38" s="37"/>
      <c r="CEF38" s="37"/>
      <c r="CEG38" s="38"/>
      <c r="CEH38" s="36"/>
      <c r="CEI38" s="65"/>
      <c r="CEJ38" s="65"/>
      <c r="CEK38" s="65"/>
      <c r="CEL38" s="37"/>
      <c r="CEM38" s="133"/>
      <c r="CEN38" s="37"/>
      <c r="CEO38" s="37"/>
      <c r="CEP38" s="37"/>
      <c r="CEQ38" s="37"/>
      <c r="CER38" s="37"/>
      <c r="CES38" s="138"/>
      <c r="CET38" s="37"/>
      <c r="CEU38" s="37"/>
      <c r="CEV38" s="37"/>
      <c r="CEW38" s="37"/>
      <c r="CEX38" s="37"/>
      <c r="CEY38" s="75"/>
      <c r="CEZ38" s="37"/>
      <c r="CFA38" s="37"/>
      <c r="CFB38" s="37"/>
      <c r="CFC38" s="37"/>
      <c r="CFD38" s="37"/>
      <c r="CFE38" s="138"/>
      <c r="CFF38" s="37"/>
      <c r="CFG38" s="37"/>
      <c r="CFH38" s="37"/>
      <c r="CFI38" s="37"/>
      <c r="CFJ38" s="37"/>
      <c r="CFK38" s="75"/>
      <c r="CFL38" s="65"/>
      <c r="CFM38" s="65"/>
      <c r="CFN38" s="65"/>
      <c r="CFO38" s="65"/>
      <c r="CFP38" s="37"/>
      <c r="CFQ38" s="138"/>
      <c r="CFR38" s="37"/>
      <c r="CFS38" s="37"/>
      <c r="CFT38" s="37"/>
      <c r="CFU38" s="37"/>
      <c r="CFV38" s="37"/>
      <c r="CFW38" s="75"/>
      <c r="CFX38" s="37"/>
      <c r="CFY38" s="37"/>
      <c r="CFZ38" s="37"/>
      <c r="CGA38" s="37"/>
      <c r="CGB38" s="37"/>
      <c r="CGC38" s="138"/>
      <c r="CGD38" s="37"/>
      <c r="CGE38" s="37"/>
      <c r="CGF38" s="37"/>
      <c r="CGG38" s="37"/>
      <c r="CGH38" s="37"/>
      <c r="CGI38" s="75"/>
      <c r="CGJ38" s="37"/>
      <c r="CGK38" s="37"/>
      <c r="CGL38" s="37"/>
      <c r="CGM38" s="37"/>
      <c r="CGN38" s="37"/>
      <c r="CGO38" s="38"/>
      <c r="CGP38" s="36"/>
      <c r="CGQ38" s="65"/>
      <c r="CGR38" s="65"/>
      <c r="CGS38" s="65"/>
      <c r="CGT38" s="37"/>
      <c r="CGU38" s="133"/>
      <c r="CGV38" s="37"/>
      <c r="CGW38" s="37"/>
      <c r="CGX38" s="37"/>
      <c r="CGY38" s="37"/>
      <c r="CGZ38" s="37"/>
      <c r="CHA38" s="138"/>
      <c r="CHB38" s="37"/>
      <c r="CHC38" s="37"/>
      <c r="CHD38" s="37"/>
      <c r="CHE38" s="37"/>
      <c r="CHF38" s="37"/>
      <c r="CHG38" s="75"/>
      <c r="CHH38" s="37"/>
      <c r="CHI38" s="37"/>
      <c r="CHJ38" s="37"/>
      <c r="CHK38" s="37"/>
      <c r="CHL38" s="37"/>
      <c r="CHM38" s="138"/>
      <c r="CHN38" s="37"/>
      <c r="CHO38" s="37"/>
      <c r="CHP38" s="37"/>
      <c r="CHQ38" s="37"/>
      <c r="CHR38" s="37"/>
      <c r="CHS38" s="75"/>
      <c r="CHT38" s="65"/>
      <c r="CHU38" s="65"/>
      <c r="CHV38" s="65"/>
      <c r="CHW38" s="65"/>
      <c r="CHX38" s="37"/>
      <c r="CHY38" s="138"/>
      <c r="CHZ38" s="37"/>
      <c r="CIA38" s="37"/>
      <c r="CIB38" s="37"/>
      <c r="CIC38" s="37"/>
      <c r="CID38" s="37"/>
      <c r="CIE38" s="75"/>
      <c r="CIF38" s="37"/>
      <c r="CIG38" s="37"/>
      <c r="CIH38" s="37"/>
      <c r="CII38" s="37"/>
      <c r="CIJ38" s="37"/>
      <c r="CIK38" s="138"/>
      <c r="CIL38" s="37"/>
      <c r="CIM38" s="37"/>
      <c r="CIN38" s="37"/>
      <c r="CIO38" s="37"/>
      <c r="CIP38" s="37"/>
      <c r="CIQ38" s="75"/>
      <c r="CIR38" s="37"/>
      <c r="CIS38" s="37"/>
      <c r="CIT38" s="37"/>
      <c r="CIU38" s="37"/>
      <c r="CIV38" s="37"/>
      <c r="CIW38" s="38"/>
      <c r="CIX38" s="36"/>
      <c r="CIY38" s="65"/>
      <c r="CIZ38" s="65"/>
      <c r="CJA38" s="65"/>
      <c r="CJB38" s="37"/>
      <c r="CJC38" s="133"/>
      <c r="CJD38" s="37"/>
      <c r="CJE38" s="37"/>
      <c r="CJF38" s="37"/>
      <c r="CJG38" s="37"/>
      <c r="CJH38" s="37"/>
      <c r="CJI38" s="138"/>
      <c r="CJJ38" s="37"/>
      <c r="CJK38" s="37"/>
      <c r="CJL38" s="37"/>
      <c r="CJM38" s="37"/>
      <c r="CJN38" s="37"/>
      <c r="CJO38" s="75"/>
      <c r="CJP38" s="37"/>
      <c r="CJQ38" s="37"/>
      <c r="CJR38" s="37"/>
      <c r="CJS38" s="37"/>
      <c r="CJT38" s="37"/>
      <c r="CJU38" s="138"/>
      <c r="CJV38" s="37"/>
      <c r="CJW38" s="37"/>
      <c r="CJX38" s="37"/>
      <c r="CJY38" s="37"/>
      <c r="CJZ38" s="37"/>
      <c r="CKA38" s="75"/>
      <c r="CKB38" s="65"/>
      <c r="CKC38" s="65"/>
      <c r="CKD38" s="65"/>
      <c r="CKE38" s="65"/>
      <c r="CKF38" s="37"/>
      <c r="CKG38" s="138"/>
      <c r="CKH38" s="37"/>
      <c r="CKI38" s="37"/>
      <c r="CKJ38" s="37"/>
      <c r="CKK38" s="37"/>
      <c r="CKL38" s="37"/>
      <c r="CKM38" s="75"/>
      <c r="CKN38" s="37"/>
      <c r="CKO38" s="37"/>
      <c r="CKP38" s="37"/>
      <c r="CKQ38" s="37"/>
      <c r="CKR38" s="37"/>
      <c r="CKS38" s="138"/>
      <c r="CKT38" s="37"/>
      <c r="CKU38" s="37"/>
      <c r="CKV38" s="37"/>
      <c r="CKW38" s="37"/>
      <c r="CKX38" s="37"/>
      <c r="CKY38" s="75"/>
      <c r="CKZ38" s="37"/>
      <c r="CLA38" s="37"/>
      <c r="CLB38" s="37"/>
      <c r="CLC38" s="37"/>
      <c r="CLD38" s="37"/>
      <c r="CLE38" s="38"/>
      <c r="CLF38" s="36"/>
      <c r="CLG38" s="65"/>
      <c r="CLH38" s="65"/>
      <c r="CLI38" s="65"/>
      <c r="CLJ38" s="37"/>
      <c r="CLK38" s="133"/>
      <c r="CLL38" s="37"/>
      <c r="CLM38" s="37"/>
      <c r="CLN38" s="37"/>
      <c r="CLO38" s="37"/>
      <c r="CLP38" s="37"/>
      <c r="CLQ38" s="138"/>
      <c r="CLR38" s="37"/>
      <c r="CLS38" s="37"/>
      <c r="CLT38" s="37"/>
      <c r="CLU38" s="37"/>
      <c r="CLV38" s="37"/>
      <c r="CLW38" s="75"/>
      <c r="CLX38" s="37"/>
      <c r="CLY38" s="37"/>
      <c r="CLZ38" s="37"/>
      <c r="CMA38" s="37"/>
      <c r="CMB38" s="37"/>
      <c r="CMC38" s="138"/>
      <c r="CMD38" s="37"/>
      <c r="CME38" s="37"/>
      <c r="CMF38" s="37"/>
      <c r="CMG38" s="37"/>
      <c r="CMH38" s="37"/>
      <c r="CMI38" s="75"/>
      <c r="CMJ38" s="65"/>
      <c r="CMK38" s="65"/>
      <c r="CML38" s="65"/>
      <c r="CMM38" s="65"/>
      <c r="CMN38" s="37"/>
      <c r="CMO38" s="138"/>
      <c r="CMP38" s="37"/>
      <c r="CMQ38" s="37"/>
      <c r="CMR38" s="37"/>
      <c r="CMS38" s="37"/>
      <c r="CMT38" s="37"/>
      <c r="CMU38" s="75"/>
      <c r="CMV38" s="37"/>
      <c r="CMW38" s="37"/>
      <c r="CMX38" s="37"/>
      <c r="CMY38" s="37"/>
      <c r="CMZ38" s="37"/>
      <c r="CNA38" s="138"/>
      <c r="CNB38" s="37"/>
      <c r="CNC38" s="37"/>
      <c r="CND38" s="37"/>
      <c r="CNE38" s="37"/>
      <c r="CNF38" s="37"/>
      <c r="CNG38" s="75"/>
      <c r="CNH38" s="37"/>
      <c r="CNI38" s="37"/>
      <c r="CNJ38" s="37"/>
      <c r="CNK38" s="37"/>
      <c r="CNL38" s="37"/>
      <c r="CNM38" s="38"/>
      <c r="CNN38" s="36"/>
      <c r="CNO38" s="65"/>
      <c r="CNP38" s="65"/>
      <c r="CNQ38" s="65"/>
      <c r="CNR38" s="37"/>
      <c r="CNS38" s="133"/>
      <c r="CNT38" s="37"/>
      <c r="CNU38" s="37"/>
      <c r="CNV38" s="37"/>
      <c r="CNW38" s="37"/>
      <c r="CNX38" s="37"/>
      <c r="CNY38" s="138"/>
      <c r="CNZ38" s="37"/>
      <c r="COA38" s="37"/>
      <c r="COB38" s="37"/>
      <c r="COC38" s="37"/>
      <c r="COD38" s="37"/>
      <c r="COE38" s="75"/>
      <c r="COF38" s="37"/>
      <c r="COG38" s="37"/>
      <c r="COH38" s="37"/>
      <c r="COI38" s="37"/>
      <c r="COJ38" s="37"/>
      <c r="COK38" s="138"/>
      <c r="COL38" s="37"/>
      <c r="COM38" s="37"/>
      <c r="CON38" s="37"/>
      <c r="COO38" s="37"/>
      <c r="COP38" s="37"/>
      <c r="COQ38" s="75"/>
      <c r="COR38" s="65"/>
      <c r="COS38" s="65"/>
      <c r="COT38" s="65"/>
      <c r="COU38" s="65"/>
      <c r="COV38" s="37"/>
      <c r="COW38" s="138"/>
      <c r="COX38" s="37"/>
      <c r="COY38" s="37"/>
      <c r="COZ38" s="37"/>
      <c r="CPA38" s="37"/>
      <c r="CPB38" s="37"/>
      <c r="CPC38" s="75"/>
      <c r="CPD38" s="37"/>
      <c r="CPE38" s="37"/>
      <c r="CPF38" s="37"/>
      <c r="CPG38" s="37"/>
      <c r="CPH38" s="37"/>
      <c r="CPI38" s="138"/>
      <c r="CPJ38" s="37"/>
      <c r="CPK38" s="37"/>
      <c r="CPL38" s="37"/>
      <c r="CPM38" s="37"/>
      <c r="CPN38" s="37"/>
      <c r="CPO38" s="75"/>
      <c r="CPP38" s="37"/>
      <c r="CPQ38" s="37"/>
      <c r="CPR38" s="37"/>
      <c r="CPS38" s="37"/>
      <c r="CPT38" s="37"/>
      <c r="CPU38" s="38"/>
      <c r="CPV38" s="36"/>
      <c r="CPW38" s="65"/>
      <c r="CPX38" s="65"/>
      <c r="CPY38" s="65"/>
      <c r="CPZ38" s="37"/>
      <c r="CQA38" s="133"/>
      <c r="CQB38" s="37"/>
      <c r="CQC38" s="37"/>
      <c r="CQD38" s="37"/>
      <c r="CQE38" s="37"/>
      <c r="CQF38" s="37"/>
      <c r="CQG38" s="138"/>
      <c r="CQH38" s="37"/>
      <c r="CQI38" s="37"/>
      <c r="CQJ38" s="37"/>
      <c r="CQK38" s="37"/>
      <c r="CQL38" s="37"/>
      <c r="CQM38" s="75"/>
      <c r="CQN38" s="37"/>
      <c r="CQO38" s="37"/>
      <c r="CQP38" s="37"/>
      <c r="CQQ38" s="37"/>
      <c r="CQR38" s="37"/>
      <c r="CQS38" s="138"/>
      <c r="CQT38" s="37"/>
      <c r="CQU38" s="37"/>
      <c r="CQV38" s="37"/>
      <c r="CQW38" s="37"/>
      <c r="CQX38" s="37"/>
      <c r="CQY38" s="75"/>
      <c r="CQZ38" s="65"/>
      <c r="CRA38" s="65"/>
      <c r="CRB38" s="65"/>
      <c r="CRC38" s="65"/>
      <c r="CRD38" s="37"/>
      <c r="CRE38" s="138"/>
      <c r="CRF38" s="37"/>
      <c r="CRG38" s="37"/>
      <c r="CRH38" s="37"/>
      <c r="CRI38" s="37"/>
      <c r="CRJ38" s="37"/>
      <c r="CRK38" s="75"/>
      <c r="CRL38" s="37"/>
      <c r="CRM38" s="37"/>
      <c r="CRN38" s="37"/>
      <c r="CRO38" s="37"/>
      <c r="CRP38" s="37"/>
      <c r="CRQ38" s="138"/>
      <c r="CRR38" s="37"/>
      <c r="CRS38" s="37"/>
      <c r="CRT38" s="37"/>
      <c r="CRU38" s="37"/>
      <c r="CRV38" s="37"/>
      <c r="CRW38" s="75"/>
      <c r="CRX38" s="37"/>
      <c r="CRY38" s="37"/>
      <c r="CRZ38" s="37"/>
      <c r="CSA38" s="37"/>
      <c r="CSB38" s="37"/>
      <c r="CSC38" s="38"/>
      <c r="CSD38" s="90"/>
    </row>
    <row r="39" spans="1:2526" ht="20.100000000000001" customHeight="1" x14ac:dyDescent="0.25">
      <c r="A39" s="100" t="s">
        <v>18</v>
      </c>
      <c r="B39" s="63" t="str">
        <f>IF(LEN(C63)=0,"",C63)</f>
        <v/>
      </c>
      <c r="C39" s="211" t="s">
        <v>51</v>
      </c>
      <c r="D39" s="146"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40"/>
      <c r="BLW39" s="66"/>
      <c r="BLX39" s="66"/>
      <c r="BLY39" s="66"/>
      <c r="BLZ39" s="41"/>
      <c r="BMA39" s="134"/>
      <c r="BMB39" s="41"/>
      <c r="BMC39" s="41"/>
      <c r="BMD39" s="41"/>
      <c r="BME39" s="41"/>
      <c r="BMF39" s="41"/>
      <c r="BMG39" s="139"/>
      <c r="BMH39" s="41"/>
      <c r="BMI39" s="41"/>
      <c r="BMJ39" s="41"/>
      <c r="BMK39" s="41"/>
      <c r="BML39" s="41"/>
      <c r="BMM39" s="76"/>
      <c r="BMN39" s="41"/>
      <c r="BMO39" s="41"/>
      <c r="BMP39" s="41"/>
      <c r="BMQ39" s="41"/>
      <c r="BMR39" s="41"/>
      <c r="BMS39" s="139"/>
      <c r="BMT39" s="41"/>
      <c r="BMU39" s="41"/>
      <c r="BMV39" s="41"/>
      <c r="BMW39" s="41"/>
      <c r="BMX39" s="41"/>
      <c r="BMY39" s="76"/>
      <c r="BMZ39" s="66"/>
      <c r="BNA39" s="66"/>
      <c r="BNB39" s="66"/>
      <c r="BNC39" s="66"/>
      <c r="BND39" s="41"/>
      <c r="BNE39" s="139"/>
      <c r="BNF39" s="41"/>
      <c r="BNG39" s="41"/>
      <c r="BNH39" s="41"/>
      <c r="BNI39" s="41"/>
      <c r="BNJ39" s="41"/>
      <c r="BNK39" s="76"/>
      <c r="BNL39" s="41"/>
      <c r="BNM39" s="41"/>
      <c r="BNN39" s="41"/>
      <c r="BNO39" s="41"/>
      <c r="BNP39" s="41"/>
      <c r="BNQ39" s="139"/>
      <c r="BNR39" s="41"/>
      <c r="BNS39" s="41"/>
      <c r="BNT39" s="41"/>
      <c r="BNU39" s="41"/>
      <c r="BNV39" s="41"/>
      <c r="BNW39" s="76"/>
      <c r="BNX39" s="41"/>
      <c r="BNY39" s="41"/>
      <c r="BNZ39" s="41"/>
      <c r="BOA39" s="41"/>
      <c r="BOB39" s="41"/>
      <c r="BOC39" s="42"/>
      <c r="BOD39" s="40"/>
      <c r="BOE39" s="66"/>
      <c r="BOF39" s="66"/>
      <c r="BOG39" s="66"/>
      <c r="BOH39" s="41"/>
      <c r="BOI39" s="134"/>
      <c r="BOJ39" s="41"/>
      <c r="BOK39" s="41"/>
      <c r="BOL39" s="41"/>
      <c r="BOM39" s="41"/>
      <c r="BON39" s="41"/>
      <c r="BOO39" s="139"/>
      <c r="BOP39" s="41"/>
      <c r="BOQ39" s="41"/>
      <c r="BOR39" s="41"/>
      <c r="BOS39" s="41"/>
      <c r="BOT39" s="41"/>
      <c r="BOU39" s="76"/>
      <c r="BOV39" s="41"/>
      <c r="BOW39" s="41"/>
      <c r="BOX39" s="41"/>
      <c r="BOY39" s="41"/>
      <c r="BOZ39" s="41"/>
      <c r="BPA39" s="139"/>
      <c r="BPB39" s="41"/>
      <c r="BPC39" s="41"/>
      <c r="BPD39" s="41"/>
      <c r="BPE39" s="41"/>
      <c r="BPF39" s="41"/>
      <c r="BPG39" s="76"/>
      <c r="BPH39" s="66"/>
      <c r="BPI39" s="66"/>
      <c r="BPJ39" s="66"/>
      <c r="BPK39" s="66"/>
      <c r="BPL39" s="41"/>
      <c r="BPM39" s="139"/>
      <c r="BPN39" s="41"/>
      <c r="BPO39" s="41"/>
      <c r="BPP39" s="41"/>
      <c r="BPQ39" s="41"/>
      <c r="BPR39" s="41"/>
      <c r="BPS39" s="76"/>
      <c r="BPT39" s="41"/>
      <c r="BPU39" s="41"/>
      <c r="BPV39" s="41"/>
      <c r="BPW39" s="41"/>
      <c r="BPX39" s="41"/>
      <c r="BPY39" s="139"/>
      <c r="BPZ39" s="41"/>
      <c r="BQA39" s="41"/>
      <c r="BQB39" s="41"/>
      <c r="BQC39" s="41"/>
      <c r="BQD39" s="41"/>
      <c r="BQE39" s="76"/>
      <c r="BQF39" s="41"/>
      <c r="BQG39" s="41"/>
      <c r="BQH39" s="41"/>
      <c r="BQI39" s="41"/>
      <c r="BQJ39" s="41"/>
      <c r="BQK39" s="42"/>
      <c r="BQL39" s="40"/>
      <c r="BQM39" s="66"/>
      <c r="BQN39" s="66"/>
      <c r="BQO39" s="66"/>
      <c r="BQP39" s="41"/>
      <c r="BQQ39" s="134"/>
      <c r="BQR39" s="41"/>
      <c r="BQS39" s="41"/>
      <c r="BQT39" s="41"/>
      <c r="BQU39" s="41"/>
      <c r="BQV39" s="41"/>
      <c r="BQW39" s="139"/>
      <c r="BQX39" s="41"/>
      <c r="BQY39" s="41"/>
      <c r="BQZ39" s="41"/>
      <c r="BRA39" s="41"/>
      <c r="BRB39" s="41"/>
      <c r="BRC39" s="76"/>
      <c r="BRD39" s="41"/>
      <c r="BRE39" s="41"/>
      <c r="BRF39" s="41"/>
      <c r="BRG39" s="41"/>
      <c r="BRH39" s="41"/>
      <c r="BRI39" s="139"/>
      <c r="BRJ39" s="41"/>
      <c r="BRK39" s="41"/>
      <c r="BRL39" s="41"/>
      <c r="BRM39" s="41"/>
      <c r="BRN39" s="41"/>
      <c r="BRO39" s="76"/>
      <c r="BRP39" s="66"/>
      <c r="BRQ39" s="66"/>
      <c r="BRR39" s="66"/>
      <c r="BRS39" s="66"/>
      <c r="BRT39" s="41"/>
      <c r="BRU39" s="139"/>
      <c r="BRV39" s="41"/>
      <c r="BRW39" s="41"/>
      <c r="BRX39" s="41"/>
      <c r="BRY39" s="41"/>
      <c r="BRZ39" s="41"/>
      <c r="BSA39" s="76"/>
      <c r="BSB39" s="41"/>
      <c r="BSC39" s="41"/>
      <c r="BSD39" s="41"/>
      <c r="BSE39" s="41"/>
      <c r="BSF39" s="41"/>
      <c r="BSG39" s="139"/>
      <c r="BSH39" s="41"/>
      <c r="BSI39" s="41"/>
      <c r="BSJ39" s="41"/>
      <c r="BSK39" s="41"/>
      <c r="BSL39" s="41"/>
      <c r="BSM39" s="76"/>
      <c r="BSN39" s="41"/>
      <c r="BSO39" s="41"/>
      <c r="BSP39" s="41"/>
      <c r="BSQ39" s="41"/>
      <c r="BSR39" s="41"/>
      <c r="BSS39" s="42"/>
      <c r="BST39" s="40"/>
      <c r="BSU39" s="66"/>
      <c r="BSV39" s="66"/>
      <c r="BSW39" s="66"/>
      <c r="BSX39" s="41"/>
      <c r="BSY39" s="134"/>
      <c r="BSZ39" s="41"/>
      <c r="BTA39" s="41"/>
      <c r="BTB39" s="41"/>
      <c r="BTC39" s="41"/>
      <c r="BTD39" s="41"/>
      <c r="BTE39" s="139"/>
      <c r="BTF39" s="41"/>
      <c r="BTG39" s="41"/>
      <c r="BTH39" s="41"/>
      <c r="BTI39" s="41"/>
      <c r="BTJ39" s="41"/>
      <c r="BTK39" s="76"/>
      <c r="BTL39" s="41"/>
      <c r="BTM39" s="41"/>
      <c r="BTN39" s="41"/>
      <c r="BTO39" s="41"/>
      <c r="BTP39" s="41"/>
      <c r="BTQ39" s="139"/>
      <c r="BTR39" s="41"/>
      <c r="BTS39" s="41"/>
      <c r="BTT39" s="41"/>
      <c r="BTU39" s="41"/>
      <c r="BTV39" s="41"/>
      <c r="BTW39" s="76"/>
      <c r="BTX39" s="66"/>
      <c r="BTY39" s="66"/>
      <c r="BTZ39" s="66"/>
      <c r="BUA39" s="66"/>
      <c r="BUB39" s="41"/>
      <c r="BUC39" s="139"/>
      <c r="BUD39" s="41"/>
      <c r="BUE39" s="41"/>
      <c r="BUF39" s="41"/>
      <c r="BUG39" s="41"/>
      <c r="BUH39" s="41"/>
      <c r="BUI39" s="76"/>
      <c r="BUJ39" s="41"/>
      <c r="BUK39" s="41"/>
      <c r="BUL39" s="41"/>
      <c r="BUM39" s="41"/>
      <c r="BUN39" s="41"/>
      <c r="BUO39" s="139"/>
      <c r="BUP39" s="41"/>
      <c r="BUQ39" s="41"/>
      <c r="BUR39" s="41"/>
      <c r="BUS39" s="41"/>
      <c r="BUT39" s="41"/>
      <c r="BUU39" s="76"/>
      <c r="BUV39" s="41"/>
      <c r="BUW39" s="41"/>
      <c r="BUX39" s="41"/>
      <c r="BUY39" s="41"/>
      <c r="BUZ39" s="41"/>
      <c r="BVA39" s="42"/>
      <c r="BVB39" s="40"/>
      <c r="BVC39" s="66"/>
      <c r="BVD39" s="66"/>
      <c r="BVE39" s="66"/>
      <c r="BVF39" s="41"/>
      <c r="BVG39" s="134"/>
      <c r="BVH39" s="41"/>
      <c r="BVI39" s="41"/>
      <c r="BVJ39" s="41"/>
      <c r="BVK39" s="41"/>
      <c r="BVL39" s="41"/>
      <c r="BVM39" s="139"/>
      <c r="BVN39" s="41"/>
      <c r="BVO39" s="41"/>
      <c r="BVP39" s="41"/>
      <c r="BVQ39" s="41"/>
      <c r="BVR39" s="41"/>
      <c r="BVS39" s="76"/>
      <c r="BVT39" s="41"/>
      <c r="BVU39" s="41"/>
      <c r="BVV39" s="41"/>
      <c r="BVW39" s="41"/>
      <c r="BVX39" s="41"/>
      <c r="BVY39" s="139"/>
      <c r="BVZ39" s="41"/>
      <c r="BWA39" s="41"/>
      <c r="BWB39" s="41"/>
      <c r="BWC39" s="41"/>
      <c r="BWD39" s="41"/>
      <c r="BWE39" s="76"/>
      <c r="BWF39" s="66"/>
      <c r="BWG39" s="66"/>
      <c r="BWH39" s="66"/>
      <c r="BWI39" s="66"/>
      <c r="BWJ39" s="41"/>
      <c r="BWK39" s="139"/>
      <c r="BWL39" s="41"/>
      <c r="BWM39" s="41"/>
      <c r="BWN39" s="41"/>
      <c r="BWO39" s="41"/>
      <c r="BWP39" s="41"/>
      <c r="BWQ39" s="76"/>
      <c r="BWR39" s="41"/>
      <c r="BWS39" s="41"/>
      <c r="BWT39" s="41"/>
      <c r="BWU39" s="41"/>
      <c r="BWV39" s="41"/>
      <c r="BWW39" s="139"/>
      <c r="BWX39" s="41"/>
      <c r="BWY39" s="41"/>
      <c r="BWZ39" s="41"/>
      <c r="BXA39" s="41"/>
      <c r="BXB39" s="41"/>
      <c r="BXC39" s="76"/>
      <c r="BXD39" s="41"/>
      <c r="BXE39" s="41"/>
      <c r="BXF39" s="41"/>
      <c r="BXG39" s="41"/>
      <c r="BXH39" s="41"/>
      <c r="BXI39" s="42"/>
      <c r="BXJ39" s="40"/>
      <c r="BXK39" s="66"/>
      <c r="BXL39" s="66"/>
      <c r="BXM39" s="66"/>
      <c r="BXN39" s="41"/>
      <c r="BXO39" s="134"/>
      <c r="BXP39" s="41"/>
      <c r="BXQ39" s="41"/>
      <c r="BXR39" s="41"/>
      <c r="BXS39" s="41"/>
      <c r="BXT39" s="41"/>
      <c r="BXU39" s="139"/>
      <c r="BXV39" s="41"/>
      <c r="BXW39" s="41"/>
      <c r="BXX39" s="41"/>
      <c r="BXY39" s="41"/>
      <c r="BXZ39" s="41"/>
      <c r="BYA39" s="76"/>
      <c r="BYB39" s="41"/>
      <c r="BYC39" s="41"/>
      <c r="BYD39" s="41"/>
      <c r="BYE39" s="41"/>
      <c r="BYF39" s="41"/>
      <c r="BYG39" s="139"/>
      <c r="BYH39" s="41"/>
      <c r="BYI39" s="41"/>
      <c r="BYJ39" s="41"/>
      <c r="BYK39" s="41"/>
      <c r="BYL39" s="41"/>
      <c r="BYM39" s="76"/>
      <c r="BYN39" s="66"/>
      <c r="BYO39" s="66"/>
      <c r="BYP39" s="66"/>
      <c r="BYQ39" s="66"/>
      <c r="BYR39" s="41"/>
      <c r="BYS39" s="139"/>
      <c r="BYT39" s="41"/>
      <c r="BYU39" s="41"/>
      <c r="BYV39" s="41"/>
      <c r="BYW39" s="41"/>
      <c r="BYX39" s="41"/>
      <c r="BYY39" s="76"/>
      <c r="BYZ39" s="41"/>
      <c r="BZA39" s="41"/>
      <c r="BZB39" s="41"/>
      <c r="BZC39" s="41"/>
      <c r="BZD39" s="41"/>
      <c r="BZE39" s="139"/>
      <c r="BZF39" s="41"/>
      <c r="BZG39" s="41"/>
      <c r="BZH39" s="41"/>
      <c r="BZI39" s="41"/>
      <c r="BZJ39" s="41"/>
      <c r="BZK39" s="76"/>
      <c r="BZL39" s="41"/>
      <c r="BZM39" s="41"/>
      <c r="BZN39" s="41"/>
      <c r="BZO39" s="41"/>
      <c r="BZP39" s="41"/>
      <c r="BZQ39" s="42"/>
      <c r="BZR39" s="40"/>
      <c r="BZS39" s="66"/>
      <c r="BZT39" s="66"/>
      <c r="BZU39" s="66"/>
      <c r="BZV39" s="41"/>
      <c r="BZW39" s="134"/>
      <c r="BZX39" s="41"/>
      <c r="BZY39" s="41"/>
      <c r="BZZ39" s="41"/>
      <c r="CAA39" s="41"/>
      <c r="CAB39" s="41"/>
      <c r="CAC39" s="139"/>
      <c r="CAD39" s="41"/>
      <c r="CAE39" s="41"/>
      <c r="CAF39" s="41"/>
      <c r="CAG39" s="41"/>
      <c r="CAH39" s="41"/>
      <c r="CAI39" s="76"/>
      <c r="CAJ39" s="41"/>
      <c r="CAK39" s="41"/>
      <c r="CAL39" s="41"/>
      <c r="CAM39" s="41"/>
      <c r="CAN39" s="41"/>
      <c r="CAO39" s="139"/>
      <c r="CAP39" s="41"/>
      <c r="CAQ39" s="41"/>
      <c r="CAR39" s="41"/>
      <c r="CAS39" s="41"/>
      <c r="CAT39" s="41"/>
      <c r="CAU39" s="76"/>
      <c r="CAV39" s="66"/>
      <c r="CAW39" s="66"/>
      <c r="CAX39" s="66"/>
      <c r="CAY39" s="66"/>
      <c r="CAZ39" s="41"/>
      <c r="CBA39" s="139"/>
      <c r="CBB39" s="41"/>
      <c r="CBC39" s="41"/>
      <c r="CBD39" s="41"/>
      <c r="CBE39" s="41"/>
      <c r="CBF39" s="41"/>
      <c r="CBG39" s="76"/>
      <c r="CBH39" s="41"/>
      <c r="CBI39" s="41"/>
      <c r="CBJ39" s="41"/>
      <c r="CBK39" s="41"/>
      <c r="CBL39" s="41"/>
      <c r="CBM39" s="139"/>
      <c r="CBN39" s="41"/>
      <c r="CBO39" s="41"/>
      <c r="CBP39" s="41"/>
      <c r="CBQ39" s="41"/>
      <c r="CBR39" s="41"/>
      <c r="CBS39" s="76"/>
      <c r="CBT39" s="41"/>
      <c r="CBU39" s="41"/>
      <c r="CBV39" s="41"/>
      <c r="CBW39" s="41"/>
      <c r="CBX39" s="41"/>
      <c r="CBY39" s="42"/>
      <c r="CBZ39" s="40"/>
      <c r="CCA39" s="66"/>
      <c r="CCB39" s="66"/>
      <c r="CCC39" s="66"/>
      <c r="CCD39" s="41"/>
      <c r="CCE39" s="134"/>
      <c r="CCF39" s="41"/>
      <c r="CCG39" s="41"/>
      <c r="CCH39" s="41"/>
      <c r="CCI39" s="41"/>
      <c r="CCJ39" s="41"/>
      <c r="CCK39" s="139"/>
      <c r="CCL39" s="41"/>
      <c r="CCM39" s="41"/>
      <c r="CCN39" s="41"/>
      <c r="CCO39" s="41"/>
      <c r="CCP39" s="41"/>
      <c r="CCQ39" s="76"/>
      <c r="CCR39" s="41"/>
      <c r="CCS39" s="41"/>
      <c r="CCT39" s="41"/>
      <c r="CCU39" s="41"/>
      <c r="CCV39" s="41"/>
      <c r="CCW39" s="139"/>
      <c r="CCX39" s="41"/>
      <c r="CCY39" s="41"/>
      <c r="CCZ39" s="41"/>
      <c r="CDA39" s="41"/>
      <c r="CDB39" s="41"/>
      <c r="CDC39" s="76"/>
      <c r="CDD39" s="66"/>
      <c r="CDE39" s="66"/>
      <c r="CDF39" s="66"/>
      <c r="CDG39" s="66"/>
      <c r="CDH39" s="41"/>
      <c r="CDI39" s="139"/>
      <c r="CDJ39" s="41"/>
      <c r="CDK39" s="41"/>
      <c r="CDL39" s="41"/>
      <c r="CDM39" s="41"/>
      <c r="CDN39" s="41"/>
      <c r="CDO39" s="76"/>
      <c r="CDP39" s="41"/>
      <c r="CDQ39" s="41"/>
      <c r="CDR39" s="41"/>
      <c r="CDS39" s="41"/>
      <c r="CDT39" s="41"/>
      <c r="CDU39" s="139"/>
      <c r="CDV39" s="41"/>
      <c r="CDW39" s="41"/>
      <c r="CDX39" s="41"/>
      <c r="CDY39" s="41"/>
      <c r="CDZ39" s="41"/>
      <c r="CEA39" s="76"/>
      <c r="CEB39" s="41"/>
      <c r="CEC39" s="41"/>
      <c r="CED39" s="41"/>
      <c r="CEE39" s="41"/>
      <c r="CEF39" s="41"/>
      <c r="CEG39" s="42"/>
      <c r="CEH39" s="40"/>
      <c r="CEI39" s="66"/>
      <c r="CEJ39" s="66"/>
      <c r="CEK39" s="66"/>
      <c r="CEL39" s="41"/>
      <c r="CEM39" s="134"/>
      <c r="CEN39" s="41"/>
      <c r="CEO39" s="41"/>
      <c r="CEP39" s="41"/>
      <c r="CEQ39" s="41"/>
      <c r="CER39" s="41"/>
      <c r="CES39" s="139"/>
      <c r="CET39" s="41"/>
      <c r="CEU39" s="41"/>
      <c r="CEV39" s="41"/>
      <c r="CEW39" s="41"/>
      <c r="CEX39" s="41"/>
      <c r="CEY39" s="76"/>
      <c r="CEZ39" s="41"/>
      <c r="CFA39" s="41"/>
      <c r="CFB39" s="41"/>
      <c r="CFC39" s="41"/>
      <c r="CFD39" s="41"/>
      <c r="CFE39" s="139"/>
      <c r="CFF39" s="41"/>
      <c r="CFG39" s="41"/>
      <c r="CFH39" s="41"/>
      <c r="CFI39" s="41"/>
      <c r="CFJ39" s="41"/>
      <c r="CFK39" s="76"/>
      <c r="CFL39" s="66"/>
      <c r="CFM39" s="66"/>
      <c r="CFN39" s="66"/>
      <c r="CFO39" s="66"/>
      <c r="CFP39" s="41"/>
      <c r="CFQ39" s="139"/>
      <c r="CFR39" s="41"/>
      <c r="CFS39" s="41"/>
      <c r="CFT39" s="41"/>
      <c r="CFU39" s="41"/>
      <c r="CFV39" s="41"/>
      <c r="CFW39" s="76"/>
      <c r="CFX39" s="41"/>
      <c r="CFY39" s="41"/>
      <c r="CFZ39" s="41"/>
      <c r="CGA39" s="41"/>
      <c r="CGB39" s="41"/>
      <c r="CGC39" s="139"/>
      <c r="CGD39" s="41"/>
      <c r="CGE39" s="41"/>
      <c r="CGF39" s="41"/>
      <c r="CGG39" s="41"/>
      <c r="CGH39" s="41"/>
      <c r="CGI39" s="76"/>
      <c r="CGJ39" s="41"/>
      <c r="CGK39" s="41"/>
      <c r="CGL39" s="41"/>
      <c r="CGM39" s="41"/>
      <c r="CGN39" s="41"/>
      <c r="CGO39" s="42"/>
      <c r="CGP39" s="40"/>
      <c r="CGQ39" s="66"/>
      <c r="CGR39" s="66"/>
      <c r="CGS39" s="66"/>
      <c r="CGT39" s="41"/>
      <c r="CGU39" s="134"/>
      <c r="CGV39" s="41"/>
      <c r="CGW39" s="41"/>
      <c r="CGX39" s="41"/>
      <c r="CGY39" s="41"/>
      <c r="CGZ39" s="41"/>
      <c r="CHA39" s="139"/>
      <c r="CHB39" s="41"/>
      <c r="CHC39" s="41"/>
      <c r="CHD39" s="41"/>
      <c r="CHE39" s="41"/>
      <c r="CHF39" s="41"/>
      <c r="CHG39" s="76"/>
      <c r="CHH39" s="41"/>
      <c r="CHI39" s="41"/>
      <c r="CHJ39" s="41"/>
      <c r="CHK39" s="41"/>
      <c r="CHL39" s="41"/>
      <c r="CHM39" s="139"/>
      <c r="CHN39" s="41"/>
      <c r="CHO39" s="41"/>
      <c r="CHP39" s="41"/>
      <c r="CHQ39" s="41"/>
      <c r="CHR39" s="41"/>
      <c r="CHS39" s="76"/>
      <c r="CHT39" s="66"/>
      <c r="CHU39" s="66"/>
      <c r="CHV39" s="66"/>
      <c r="CHW39" s="66"/>
      <c r="CHX39" s="41"/>
      <c r="CHY39" s="139"/>
      <c r="CHZ39" s="41"/>
      <c r="CIA39" s="41"/>
      <c r="CIB39" s="41"/>
      <c r="CIC39" s="41"/>
      <c r="CID39" s="41"/>
      <c r="CIE39" s="76"/>
      <c r="CIF39" s="41"/>
      <c r="CIG39" s="41"/>
      <c r="CIH39" s="41"/>
      <c r="CII39" s="41"/>
      <c r="CIJ39" s="41"/>
      <c r="CIK39" s="139"/>
      <c r="CIL39" s="41"/>
      <c r="CIM39" s="41"/>
      <c r="CIN39" s="41"/>
      <c r="CIO39" s="41"/>
      <c r="CIP39" s="41"/>
      <c r="CIQ39" s="76"/>
      <c r="CIR39" s="41"/>
      <c r="CIS39" s="41"/>
      <c r="CIT39" s="41"/>
      <c r="CIU39" s="41"/>
      <c r="CIV39" s="41"/>
      <c r="CIW39" s="42"/>
      <c r="CIX39" s="40"/>
      <c r="CIY39" s="66"/>
      <c r="CIZ39" s="66"/>
      <c r="CJA39" s="66"/>
      <c r="CJB39" s="41"/>
      <c r="CJC39" s="134"/>
      <c r="CJD39" s="41"/>
      <c r="CJE39" s="41"/>
      <c r="CJF39" s="41"/>
      <c r="CJG39" s="41"/>
      <c r="CJH39" s="41"/>
      <c r="CJI39" s="139"/>
      <c r="CJJ39" s="41"/>
      <c r="CJK39" s="41"/>
      <c r="CJL39" s="41"/>
      <c r="CJM39" s="41"/>
      <c r="CJN39" s="41"/>
      <c r="CJO39" s="76"/>
      <c r="CJP39" s="41"/>
      <c r="CJQ39" s="41"/>
      <c r="CJR39" s="41"/>
      <c r="CJS39" s="41"/>
      <c r="CJT39" s="41"/>
      <c r="CJU39" s="139"/>
      <c r="CJV39" s="41"/>
      <c r="CJW39" s="41"/>
      <c r="CJX39" s="41"/>
      <c r="CJY39" s="41"/>
      <c r="CJZ39" s="41"/>
      <c r="CKA39" s="76"/>
      <c r="CKB39" s="66"/>
      <c r="CKC39" s="66"/>
      <c r="CKD39" s="66"/>
      <c r="CKE39" s="66"/>
      <c r="CKF39" s="41"/>
      <c r="CKG39" s="139"/>
      <c r="CKH39" s="41"/>
      <c r="CKI39" s="41"/>
      <c r="CKJ39" s="41"/>
      <c r="CKK39" s="41"/>
      <c r="CKL39" s="41"/>
      <c r="CKM39" s="76"/>
      <c r="CKN39" s="41"/>
      <c r="CKO39" s="41"/>
      <c r="CKP39" s="41"/>
      <c r="CKQ39" s="41"/>
      <c r="CKR39" s="41"/>
      <c r="CKS39" s="139"/>
      <c r="CKT39" s="41"/>
      <c r="CKU39" s="41"/>
      <c r="CKV39" s="41"/>
      <c r="CKW39" s="41"/>
      <c r="CKX39" s="41"/>
      <c r="CKY39" s="76"/>
      <c r="CKZ39" s="41"/>
      <c r="CLA39" s="41"/>
      <c r="CLB39" s="41"/>
      <c r="CLC39" s="41"/>
      <c r="CLD39" s="41"/>
      <c r="CLE39" s="42"/>
      <c r="CLF39" s="40"/>
      <c r="CLG39" s="66"/>
      <c r="CLH39" s="66"/>
      <c r="CLI39" s="66"/>
      <c r="CLJ39" s="41"/>
      <c r="CLK39" s="134"/>
      <c r="CLL39" s="41"/>
      <c r="CLM39" s="41"/>
      <c r="CLN39" s="41"/>
      <c r="CLO39" s="41"/>
      <c r="CLP39" s="41"/>
      <c r="CLQ39" s="139"/>
      <c r="CLR39" s="41"/>
      <c r="CLS39" s="41"/>
      <c r="CLT39" s="41"/>
      <c r="CLU39" s="41"/>
      <c r="CLV39" s="41"/>
      <c r="CLW39" s="76"/>
      <c r="CLX39" s="41"/>
      <c r="CLY39" s="41"/>
      <c r="CLZ39" s="41"/>
      <c r="CMA39" s="41"/>
      <c r="CMB39" s="41"/>
      <c r="CMC39" s="139"/>
      <c r="CMD39" s="41"/>
      <c r="CME39" s="41"/>
      <c r="CMF39" s="41"/>
      <c r="CMG39" s="41"/>
      <c r="CMH39" s="41"/>
      <c r="CMI39" s="76"/>
      <c r="CMJ39" s="66"/>
      <c r="CMK39" s="66"/>
      <c r="CML39" s="66"/>
      <c r="CMM39" s="66"/>
      <c r="CMN39" s="41"/>
      <c r="CMO39" s="139"/>
      <c r="CMP39" s="41"/>
      <c r="CMQ39" s="41"/>
      <c r="CMR39" s="41"/>
      <c r="CMS39" s="41"/>
      <c r="CMT39" s="41"/>
      <c r="CMU39" s="76"/>
      <c r="CMV39" s="41"/>
      <c r="CMW39" s="41"/>
      <c r="CMX39" s="41"/>
      <c r="CMY39" s="41"/>
      <c r="CMZ39" s="41"/>
      <c r="CNA39" s="139"/>
      <c r="CNB39" s="41"/>
      <c r="CNC39" s="41"/>
      <c r="CND39" s="41"/>
      <c r="CNE39" s="41"/>
      <c r="CNF39" s="41"/>
      <c r="CNG39" s="76"/>
      <c r="CNH39" s="41"/>
      <c r="CNI39" s="41"/>
      <c r="CNJ39" s="41"/>
      <c r="CNK39" s="41"/>
      <c r="CNL39" s="41"/>
      <c r="CNM39" s="42"/>
      <c r="CNN39" s="40"/>
      <c r="CNO39" s="66"/>
      <c r="CNP39" s="66"/>
      <c r="CNQ39" s="66"/>
      <c r="CNR39" s="41"/>
      <c r="CNS39" s="134"/>
      <c r="CNT39" s="41"/>
      <c r="CNU39" s="41"/>
      <c r="CNV39" s="41"/>
      <c r="CNW39" s="41"/>
      <c r="CNX39" s="41"/>
      <c r="CNY39" s="139"/>
      <c r="CNZ39" s="41"/>
      <c r="COA39" s="41"/>
      <c r="COB39" s="41"/>
      <c r="COC39" s="41"/>
      <c r="COD39" s="41"/>
      <c r="COE39" s="76"/>
      <c r="COF39" s="41"/>
      <c r="COG39" s="41"/>
      <c r="COH39" s="41"/>
      <c r="COI39" s="41"/>
      <c r="COJ39" s="41"/>
      <c r="COK39" s="139"/>
      <c r="COL39" s="41"/>
      <c r="COM39" s="41"/>
      <c r="CON39" s="41"/>
      <c r="COO39" s="41"/>
      <c r="COP39" s="41"/>
      <c r="COQ39" s="76"/>
      <c r="COR39" s="66"/>
      <c r="COS39" s="66"/>
      <c r="COT39" s="66"/>
      <c r="COU39" s="66"/>
      <c r="COV39" s="41"/>
      <c r="COW39" s="139"/>
      <c r="COX39" s="41"/>
      <c r="COY39" s="41"/>
      <c r="COZ39" s="41"/>
      <c r="CPA39" s="41"/>
      <c r="CPB39" s="41"/>
      <c r="CPC39" s="76"/>
      <c r="CPD39" s="41"/>
      <c r="CPE39" s="41"/>
      <c r="CPF39" s="41"/>
      <c r="CPG39" s="41"/>
      <c r="CPH39" s="41"/>
      <c r="CPI39" s="139"/>
      <c r="CPJ39" s="41"/>
      <c r="CPK39" s="41"/>
      <c r="CPL39" s="41"/>
      <c r="CPM39" s="41"/>
      <c r="CPN39" s="41"/>
      <c r="CPO39" s="76"/>
      <c r="CPP39" s="41"/>
      <c r="CPQ39" s="41"/>
      <c r="CPR39" s="41"/>
      <c r="CPS39" s="41"/>
      <c r="CPT39" s="41"/>
      <c r="CPU39" s="42"/>
      <c r="CPV39" s="40"/>
      <c r="CPW39" s="66"/>
      <c r="CPX39" s="66"/>
      <c r="CPY39" s="66"/>
      <c r="CPZ39" s="41"/>
      <c r="CQA39" s="134"/>
      <c r="CQB39" s="41"/>
      <c r="CQC39" s="41"/>
      <c r="CQD39" s="41"/>
      <c r="CQE39" s="41"/>
      <c r="CQF39" s="41"/>
      <c r="CQG39" s="139"/>
      <c r="CQH39" s="41"/>
      <c r="CQI39" s="41"/>
      <c r="CQJ39" s="41"/>
      <c r="CQK39" s="41"/>
      <c r="CQL39" s="41"/>
      <c r="CQM39" s="76"/>
      <c r="CQN39" s="41"/>
      <c r="CQO39" s="41"/>
      <c r="CQP39" s="41"/>
      <c r="CQQ39" s="41"/>
      <c r="CQR39" s="41"/>
      <c r="CQS39" s="139"/>
      <c r="CQT39" s="41"/>
      <c r="CQU39" s="41"/>
      <c r="CQV39" s="41"/>
      <c r="CQW39" s="41"/>
      <c r="CQX39" s="41"/>
      <c r="CQY39" s="76"/>
      <c r="CQZ39" s="66"/>
      <c r="CRA39" s="66"/>
      <c r="CRB39" s="66"/>
      <c r="CRC39" s="66"/>
      <c r="CRD39" s="41"/>
      <c r="CRE39" s="139"/>
      <c r="CRF39" s="41"/>
      <c r="CRG39" s="41"/>
      <c r="CRH39" s="41"/>
      <c r="CRI39" s="41"/>
      <c r="CRJ39" s="41"/>
      <c r="CRK39" s="76"/>
      <c r="CRL39" s="41"/>
      <c r="CRM39" s="41"/>
      <c r="CRN39" s="41"/>
      <c r="CRO39" s="41"/>
      <c r="CRP39" s="41"/>
      <c r="CRQ39" s="139"/>
      <c r="CRR39" s="41"/>
      <c r="CRS39" s="41"/>
      <c r="CRT39" s="41"/>
      <c r="CRU39" s="41"/>
      <c r="CRV39" s="41"/>
      <c r="CRW39" s="76"/>
      <c r="CRX39" s="41"/>
      <c r="CRY39" s="41"/>
      <c r="CRZ39" s="41"/>
      <c r="CSA39" s="41"/>
      <c r="CSB39" s="41"/>
      <c r="CSC39" s="42"/>
      <c r="CSD39" s="90"/>
    </row>
    <row r="40" spans="1:2526" ht="20.100000000000001" customHeight="1" x14ac:dyDescent="0.25">
      <c r="A40" s="100" t="s">
        <v>19</v>
      </c>
      <c r="B40" s="63" t="str">
        <f>IF(LEN(C65)=0,"",C65)</f>
        <v/>
      </c>
      <c r="C40" s="212"/>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28"/>
      <c r="BLW40" s="67"/>
      <c r="BLX40" s="67"/>
      <c r="BLY40" s="67"/>
      <c r="BLZ40" s="29"/>
      <c r="BMA40" s="131"/>
      <c r="BMB40" s="29"/>
      <c r="BMC40" s="29"/>
      <c r="BMD40" s="29"/>
      <c r="BME40" s="29"/>
      <c r="BMF40" s="29"/>
      <c r="BMG40" s="136"/>
      <c r="BMH40" s="29"/>
      <c r="BMI40" s="29"/>
      <c r="BMJ40" s="29"/>
      <c r="BMK40" s="29"/>
      <c r="BML40" s="29"/>
      <c r="BMM40" s="73"/>
      <c r="BMN40" s="29"/>
      <c r="BMO40" s="29"/>
      <c r="BMP40" s="29"/>
      <c r="BMQ40" s="29"/>
      <c r="BMR40" s="29"/>
      <c r="BMS40" s="136"/>
      <c r="BMT40" s="29"/>
      <c r="BMU40" s="29"/>
      <c r="BMV40" s="29"/>
      <c r="BMW40" s="29"/>
      <c r="BMX40" s="29"/>
      <c r="BMY40" s="73"/>
      <c r="BMZ40" s="67"/>
      <c r="BNA40" s="67"/>
      <c r="BNB40" s="67"/>
      <c r="BNC40" s="67"/>
      <c r="BND40" s="29"/>
      <c r="BNE40" s="136"/>
      <c r="BNF40" s="29"/>
      <c r="BNG40" s="29"/>
      <c r="BNH40" s="29"/>
      <c r="BNI40" s="29"/>
      <c r="BNJ40" s="29"/>
      <c r="BNK40" s="73"/>
      <c r="BNL40" s="29"/>
      <c r="BNM40" s="29"/>
      <c r="BNN40" s="29"/>
      <c r="BNO40" s="29"/>
      <c r="BNP40" s="29"/>
      <c r="BNQ40" s="136"/>
      <c r="BNR40" s="29"/>
      <c r="BNS40" s="29"/>
      <c r="BNT40" s="29"/>
      <c r="BNU40" s="29"/>
      <c r="BNV40" s="29"/>
      <c r="BNW40" s="73"/>
      <c r="BNX40" s="29"/>
      <c r="BNY40" s="29"/>
      <c r="BNZ40" s="29"/>
      <c r="BOA40" s="29"/>
      <c r="BOB40" s="29"/>
      <c r="BOC40" s="30"/>
      <c r="BOD40" s="28"/>
      <c r="BOE40" s="67"/>
      <c r="BOF40" s="67"/>
      <c r="BOG40" s="67"/>
      <c r="BOH40" s="29"/>
      <c r="BOI40" s="131"/>
      <c r="BOJ40" s="29"/>
      <c r="BOK40" s="29"/>
      <c r="BOL40" s="29"/>
      <c r="BOM40" s="29"/>
      <c r="BON40" s="29"/>
      <c r="BOO40" s="136"/>
      <c r="BOP40" s="29"/>
      <c r="BOQ40" s="29"/>
      <c r="BOR40" s="29"/>
      <c r="BOS40" s="29"/>
      <c r="BOT40" s="29"/>
      <c r="BOU40" s="73"/>
      <c r="BOV40" s="29"/>
      <c r="BOW40" s="29"/>
      <c r="BOX40" s="29"/>
      <c r="BOY40" s="29"/>
      <c r="BOZ40" s="29"/>
      <c r="BPA40" s="136"/>
      <c r="BPB40" s="29"/>
      <c r="BPC40" s="29"/>
      <c r="BPD40" s="29"/>
      <c r="BPE40" s="29"/>
      <c r="BPF40" s="29"/>
      <c r="BPG40" s="73"/>
      <c r="BPH40" s="67"/>
      <c r="BPI40" s="67"/>
      <c r="BPJ40" s="67"/>
      <c r="BPK40" s="67"/>
      <c r="BPL40" s="29"/>
      <c r="BPM40" s="136"/>
      <c r="BPN40" s="29"/>
      <c r="BPO40" s="29"/>
      <c r="BPP40" s="29"/>
      <c r="BPQ40" s="29"/>
      <c r="BPR40" s="29"/>
      <c r="BPS40" s="73"/>
      <c r="BPT40" s="29"/>
      <c r="BPU40" s="29"/>
      <c r="BPV40" s="29"/>
      <c r="BPW40" s="29"/>
      <c r="BPX40" s="29"/>
      <c r="BPY40" s="136"/>
      <c r="BPZ40" s="29"/>
      <c r="BQA40" s="29"/>
      <c r="BQB40" s="29"/>
      <c r="BQC40" s="29"/>
      <c r="BQD40" s="29"/>
      <c r="BQE40" s="73"/>
      <c r="BQF40" s="29"/>
      <c r="BQG40" s="29"/>
      <c r="BQH40" s="29"/>
      <c r="BQI40" s="29"/>
      <c r="BQJ40" s="29"/>
      <c r="BQK40" s="30"/>
      <c r="BQL40" s="28"/>
      <c r="BQM40" s="67"/>
      <c r="BQN40" s="67"/>
      <c r="BQO40" s="67"/>
      <c r="BQP40" s="29"/>
      <c r="BQQ40" s="131"/>
      <c r="BQR40" s="29"/>
      <c r="BQS40" s="29"/>
      <c r="BQT40" s="29"/>
      <c r="BQU40" s="29"/>
      <c r="BQV40" s="29"/>
      <c r="BQW40" s="136"/>
      <c r="BQX40" s="29"/>
      <c r="BQY40" s="29"/>
      <c r="BQZ40" s="29"/>
      <c r="BRA40" s="29"/>
      <c r="BRB40" s="29"/>
      <c r="BRC40" s="73"/>
      <c r="BRD40" s="29"/>
      <c r="BRE40" s="29"/>
      <c r="BRF40" s="29"/>
      <c r="BRG40" s="29"/>
      <c r="BRH40" s="29"/>
      <c r="BRI40" s="136"/>
      <c r="BRJ40" s="29"/>
      <c r="BRK40" s="29"/>
      <c r="BRL40" s="29"/>
      <c r="BRM40" s="29"/>
      <c r="BRN40" s="29"/>
      <c r="BRO40" s="73"/>
      <c r="BRP40" s="67"/>
      <c r="BRQ40" s="67"/>
      <c r="BRR40" s="67"/>
      <c r="BRS40" s="67"/>
      <c r="BRT40" s="29"/>
      <c r="BRU40" s="136"/>
      <c r="BRV40" s="29"/>
      <c r="BRW40" s="29"/>
      <c r="BRX40" s="29"/>
      <c r="BRY40" s="29"/>
      <c r="BRZ40" s="29"/>
      <c r="BSA40" s="73"/>
      <c r="BSB40" s="29"/>
      <c r="BSC40" s="29"/>
      <c r="BSD40" s="29"/>
      <c r="BSE40" s="29"/>
      <c r="BSF40" s="29"/>
      <c r="BSG40" s="136"/>
      <c r="BSH40" s="29"/>
      <c r="BSI40" s="29"/>
      <c r="BSJ40" s="29"/>
      <c r="BSK40" s="29"/>
      <c r="BSL40" s="29"/>
      <c r="BSM40" s="73"/>
      <c r="BSN40" s="29"/>
      <c r="BSO40" s="29"/>
      <c r="BSP40" s="29"/>
      <c r="BSQ40" s="29"/>
      <c r="BSR40" s="29"/>
      <c r="BSS40" s="30"/>
      <c r="BST40" s="28"/>
      <c r="BSU40" s="67"/>
      <c r="BSV40" s="67"/>
      <c r="BSW40" s="67"/>
      <c r="BSX40" s="29"/>
      <c r="BSY40" s="131"/>
      <c r="BSZ40" s="29"/>
      <c r="BTA40" s="29"/>
      <c r="BTB40" s="29"/>
      <c r="BTC40" s="29"/>
      <c r="BTD40" s="29"/>
      <c r="BTE40" s="136"/>
      <c r="BTF40" s="29"/>
      <c r="BTG40" s="29"/>
      <c r="BTH40" s="29"/>
      <c r="BTI40" s="29"/>
      <c r="BTJ40" s="29"/>
      <c r="BTK40" s="73"/>
      <c r="BTL40" s="29"/>
      <c r="BTM40" s="29"/>
      <c r="BTN40" s="29"/>
      <c r="BTO40" s="29"/>
      <c r="BTP40" s="29"/>
      <c r="BTQ40" s="136"/>
      <c r="BTR40" s="29"/>
      <c r="BTS40" s="29"/>
      <c r="BTT40" s="29"/>
      <c r="BTU40" s="29"/>
      <c r="BTV40" s="29"/>
      <c r="BTW40" s="73"/>
      <c r="BTX40" s="67"/>
      <c r="BTY40" s="67"/>
      <c r="BTZ40" s="67"/>
      <c r="BUA40" s="67"/>
      <c r="BUB40" s="29"/>
      <c r="BUC40" s="136"/>
      <c r="BUD40" s="29"/>
      <c r="BUE40" s="29"/>
      <c r="BUF40" s="29"/>
      <c r="BUG40" s="29"/>
      <c r="BUH40" s="29"/>
      <c r="BUI40" s="73"/>
      <c r="BUJ40" s="29"/>
      <c r="BUK40" s="29"/>
      <c r="BUL40" s="29"/>
      <c r="BUM40" s="29"/>
      <c r="BUN40" s="29"/>
      <c r="BUO40" s="136"/>
      <c r="BUP40" s="29"/>
      <c r="BUQ40" s="29"/>
      <c r="BUR40" s="29"/>
      <c r="BUS40" s="29"/>
      <c r="BUT40" s="29"/>
      <c r="BUU40" s="73"/>
      <c r="BUV40" s="29"/>
      <c r="BUW40" s="29"/>
      <c r="BUX40" s="29"/>
      <c r="BUY40" s="29"/>
      <c r="BUZ40" s="29"/>
      <c r="BVA40" s="30"/>
      <c r="BVB40" s="28"/>
      <c r="BVC40" s="67"/>
      <c r="BVD40" s="67"/>
      <c r="BVE40" s="67"/>
      <c r="BVF40" s="29"/>
      <c r="BVG40" s="131"/>
      <c r="BVH40" s="29"/>
      <c r="BVI40" s="29"/>
      <c r="BVJ40" s="29"/>
      <c r="BVK40" s="29"/>
      <c r="BVL40" s="29"/>
      <c r="BVM40" s="136"/>
      <c r="BVN40" s="29"/>
      <c r="BVO40" s="29"/>
      <c r="BVP40" s="29"/>
      <c r="BVQ40" s="29"/>
      <c r="BVR40" s="29"/>
      <c r="BVS40" s="73"/>
      <c r="BVT40" s="29"/>
      <c r="BVU40" s="29"/>
      <c r="BVV40" s="29"/>
      <c r="BVW40" s="29"/>
      <c r="BVX40" s="29"/>
      <c r="BVY40" s="136"/>
      <c r="BVZ40" s="29"/>
      <c r="BWA40" s="29"/>
      <c r="BWB40" s="29"/>
      <c r="BWC40" s="29"/>
      <c r="BWD40" s="29"/>
      <c r="BWE40" s="73"/>
      <c r="BWF40" s="67"/>
      <c r="BWG40" s="67"/>
      <c r="BWH40" s="67"/>
      <c r="BWI40" s="67"/>
      <c r="BWJ40" s="29"/>
      <c r="BWK40" s="136"/>
      <c r="BWL40" s="29"/>
      <c r="BWM40" s="29"/>
      <c r="BWN40" s="29"/>
      <c r="BWO40" s="29"/>
      <c r="BWP40" s="29"/>
      <c r="BWQ40" s="73"/>
      <c r="BWR40" s="29"/>
      <c r="BWS40" s="29"/>
      <c r="BWT40" s="29"/>
      <c r="BWU40" s="29"/>
      <c r="BWV40" s="29"/>
      <c r="BWW40" s="136"/>
      <c r="BWX40" s="29"/>
      <c r="BWY40" s="29"/>
      <c r="BWZ40" s="29"/>
      <c r="BXA40" s="29"/>
      <c r="BXB40" s="29"/>
      <c r="BXC40" s="73"/>
      <c r="BXD40" s="29"/>
      <c r="BXE40" s="29"/>
      <c r="BXF40" s="29"/>
      <c r="BXG40" s="29"/>
      <c r="BXH40" s="29"/>
      <c r="BXI40" s="30"/>
      <c r="BXJ40" s="28"/>
      <c r="BXK40" s="67"/>
      <c r="BXL40" s="67"/>
      <c r="BXM40" s="67"/>
      <c r="BXN40" s="29"/>
      <c r="BXO40" s="131"/>
      <c r="BXP40" s="29"/>
      <c r="BXQ40" s="29"/>
      <c r="BXR40" s="29"/>
      <c r="BXS40" s="29"/>
      <c r="BXT40" s="29"/>
      <c r="BXU40" s="136"/>
      <c r="BXV40" s="29"/>
      <c r="BXW40" s="29"/>
      <c r="BXX40" s="29"/>
      <c r="BXY40" s="29"/>
      <c r="BXZ40" s="29"/>
      <c r="BYA40" s="73"/>
      <c r="BYB40" s="29"/>
      <c r="BYC40" s="29"/>
      <c r="BYD40" s="29"/>
      <c r="BYE40" s="29"/>
      <c r="BYF40" s="29"/>
      <c r="BYG40" s="136"/>
      <c r="BYH40" s="29"/>
      <c r="BYI40" s="29"/>
      <c r="BYJ40" s="29"/>
      <c r="BYK40" s="29"/>
      <c r="BYL40" s="29"/>
      <c r="BYM40" s="73"/>
      <c r="BYN40" s="67"/>
      <c r="BYO40" s="67"/>
      <c r="BYP40" s="67"/>
      <c r="BYQ40" s="67"/>
      <c r="BYR40" s="29"/>
      <c r="BYS40" s="136"/>
      <c r="BYT40" s="29"/>
      <c r="BYU40" s="29"/>
      <c r="BYV40" s="29"/>
      <c r="BYW40" s="29"/>
      <c r="BYX40" s="29"/>
      <c r="BYY40" s="73"/>
      <c r="BYZ40" s="29"/>
      <c r="BZA40" s="29"/>
      <c r="BZB40" s="29"/>
      <c r="BZC40" s="29"/>
      <c r="BZD40" s="29"/>
      <c r="BZE40" s="136"/>
      <c r="BZF40" s="29"/>
      <c r="BZG40" s="29"/>
      <c r="BZH40" s="29"/>
      <c r="BZI40" s="29"/>
      <c r="BZJ40" s="29"/>
      <c r="BZK40" s="73"/>
      <c r="BZL40" s="29"/>
      <c r="BZM40" s="29"/>
      <c r="BZN40" s="29"/>
      <c r="BZO40" s="29"/>
      <c r="BZP40" s="29"/>
      <c r="BZQ40" s="30"/>
      <c r="BZR40" s="28"/>
      <c r="BZS40" s="67"/>
      <c r="BZT40" s="67"/>
      <c r="BZU40" s="67"/>
      <c r="BZV40" s="29"/>
      <c r="BZW40" s="131"/>
      <c r="BZX40" s="29"/>
      <c r="BZY40" s="29"/>
      <c r="BZZ40" s="29"/>
      <c r="CAA40" s="29"/>
      <c r="CAB40" s="29"/>
      <c r="CAC40" s="136"/>
      <c r="CAD40" s="29"/>
      <c r="CAE40" s="29"/>
      <c r="CAF40" s="29"/>
      <c r="CAG40" s="29"/>
      <c r="CAH40" s="29"/>
      <c r="CAI40" s="73"/>
      <c r="CAJ40" s="29"/>
      <c r="CAK40" s="29"/>
      <c r="CAL40" s="29"/>
      <c r="CAM40" s="29"/>
      <c r="CAN40" s="29"/>
      <c r="CAO40" s="136"/>
      <c r="CAP40" s="29"/>
      <c r="CAQ40" s="29"/>
      <c r="CAR40" s="29"/>
      <c r="CAS40" s="29"/>
      <c r="CAT40" s="29"/>
      <c r="CAU40" s="73"/>
      <c r="CAV40" s="67"/>
      <c r="CAW40" s="67"/>
      <c r="CAX40" s="67"/>
      <c r="CAY40" s="67"/>
      <c r="CAZ40" s="29"/>
      <c r="CBA40" s="136"/>
      <c r="CBB40" s="29"/>
      <c r="CBC40" s="29"/>
      <c r="CBD40" s="29"/>
      <c r="CBE40" s="29"/>
      <c r="CBF40" s="29"/>
      <c r="CBG40" s="73"/>
      <c r="CBH40" s="29"/>
      <c r="CBI40" s="29"/>
      <c r="CBJ40" s="29"/>
      <c r="CBK40" s="29"/>
      <c r="CBL40" s="29"/>
      <c r="CBM40" s="136"/>
      <c r="CBN40" s="29"/>
      <c r="CBO40" s="29"/>
      <c r="CBP40" s="29"/>
      <c r="CBQ40" s="29"/>
      <c r="CBR40" s="29"/>
      <c r="CBS40" s="73"/>
      <c r="CBT40" s="29"/>
      <c r="CBU40" s="29"/>
      <c r="CBV40" s="29"/>
      <c r="CBW40" s="29"/>
      <c r="CBX40" s="29"/>
      <c r="CBY40" s="30"/>
      <c r="CBZ40" s="28"/>
      <c r="CCA40" s="67"/>
      <c r="CCB40" s="67"/>
      <c r="CCC40" s="67"/>
      <c r="CCD40" s="29"/>
      <c r="CCE40" s="131"/>
      <c r="CCF40" s="29"/>
      <c r="CCG40" s="29"/>
      <c r="CCH40" s="29"/>
      <c r="CCI40" s="29"/>
      <c r="CCJ40" s="29"/>
      <c r="CCK40" s="136"/>
      <c r="CCL40" s="29"/>
      <c r="CCM40" s="29"/>
      <c r="CCN40" s="29"/>
      <c r="CCO40" s="29"/>
      <c r="CCP40" s="29"/>
      <c r="CCQ40" s="73"/>
      <c r="CCR40" s="29"/>
      <c r="CCS40" s="29"/>
      <c r="CCT40" s="29"/>
      <c r="CCU40" s="29"/>
      <c r="CCV40" s="29"/>
      <c r="CCW40" s="136"/>
      <c r="CCX40" s="29"/>
      <c r="CCY40" s="29"/>
      <c r="CCZ40" s="29"/>
      <c r="CDA40" s="29"/>
      <c r="CDB40" s="29"/>
      <c r="CDC40" s="73"/>
      <c r="CDD40" s="67"/>
      <c r="CDE40" s="67"/>
      <c r="CDF40" s="67"/>
      <c r="CDG40" s="67"/>
      <c r="CDH40" s="29"/>
      <c r="CDI40" s="136"/>
      <c r="CDJ40" s="29"/>
      <c r="CDK40" s="29"/>
      <c r="CDL40" s="29"/>
      <c r="CDM40" s="29"/>
      <c r="CDN40" s="29"/>
      <c r="CDO40" s="73"/>
      <c r="CDP40" s="29"/>
      <c r="CDQ40" s="29"/>
      <c r="CDR40" s="29"/>
      <c r="CDS40" s="29"/>
      <c r="CDT40" s="29"/>
      <c r="CDU40" s="136"/>
      <c r="CDV40" s="29"/>
      <c r="CDW40" s="29"/>
      <c r="CDX40" s="29"/>
      <c r="CDY40" s="29"/>
      <c r="CDZ40" s="29"/>
      <c r="CEA40" s="73"/>
      <c r="CEB40" s="29"/>
      <c r="CEC40" s="29"/>
      <c r="CED40" s="29"/>
      <c r="CEE40" s="29"/>
      <c r="CEF40" s="29"/>
      <c r="CEG40" s="30"/>
      <c r="CEH40" s="28"/>
      <c r="CEI40" s="67"/>
      <c r="CEJ40" s="67"/>
      <c r="CEK40" s="67"/>
      <c r="CEL40" s="29"/>
      <c r="CEM40" s="131"/>
      <c r="CEN40" s="29"/>
      <c r="CEO40" s="29"/>
      <c r="CEP40" s="29"/>
      <c r="CEQ40" s="29"/>
      <c r="CER40" s="29"/>
      <c r="CES40" s="136"/>
      <c r="CET40" s="29"/>
      <c r="CEU40" s="29"/>
      <c r="CEV40" s="29"/>
      <c r="CEW40" s="29"/>
      <c r="CEX40" s="29"/>
      <c r="CEY40" s="73"/>
      <c r="CEZ40" s="29"/>
      <c r="CFA40" s="29"/>
      <c r="CFB40" s="29"/>
      <c r="CFC40" s="29"/>
      <c r="CFD40" s="29"/>
      <c r="CFE40" s="136"/>
      <c r="CFF40" s="29"/>
      <c r="CFG40" s="29"/>
      <c r="CFH40" s="29"/>
      <c r="CFI40" s="29"/>
      <c r="CFJ40" s="29"/>
      <c r="CFK40" s="73"/>
      <c r="CFL40" s="67"/>
      <c r="CFM40" s="67"/>
      <c r="CFN40" s="67"/>
      <c r="CFO40" s="67"/>
      <c r="CFP40" s="29"/>
      <c r="CFQ40" s="136"/>
      <c r="CFR40" s="29"/>
      <c r="CFS40" s="29"/>
      <c r="CFT40" s="29"/>
      <c r="CFU40" s="29"/>
      <c r="CFV40" s="29"/>
      <c r="CFW40" s="73"/>
      <c r="CFX40" s="29"/>
      <c r="CFY40" s="29"/>
      <c r="CFZ40" s="29"/>
      <c r="CGA40" s="29"/>
      <c r="CGB40" s="29"/>
      <c r="CGC40" s="136"/>
      <c r="CGD40" s="29"/>
      <c r="CGE40" s="29"/>
      <c r="CGF40" s="29"/>
      <c r="CGG40" s="29"/>
      <c r="CGH40" s="29"/>
      <c r="CGI40" s="73"/>
      <c r="CGJ40" s="29"/>
      <c r="CGK40" s="29"/>
      <c r="CGL40" s="29"/>
      <c r="CGM40" s="29"/>
      <c r="CGN40" s="29"/>
      <c r="CGO40" s="30"/>
      <c r="CGP40" s="28"/>
      <c r="CGQ40" s="67"/>
      <c r="CGR40" s="67"/>
      <c r="CGS40" s="67"/>
      <c r="CGT40" s="29"/>
      <c r="CGU40" s="131"/>
      <c r="CGV40" s="29"/>
      <c r="CGW40" s="29"/>
      <c r="CGX40" s="29"/>
      <c r="CGY40" s="29"/>
      <c r="CGZ40" s="29"/>
      <c r="CHA40" s="136"/>
      <c r="CHB40" s="29"/>
      <c r="CHC40" s="29"/>
      <c r="CHD40" s="29"/>
      <c r="CHE40" s="29"/>
      <c r="CHF40" s="29"/>
      <c r="CHG40" s="73"/>
      <c r="CHH40" s="29"/>
      <c r="CHI40" s="29"/>
      <c r="CHJ40" s="29"/>
      <c r="CHK40" s="29"/>
      <c r="CHL40" s="29"/>
      <c r="CHM40" s="136"/>
      <c r="CHN40" s="29"/>
      <c r="CHO40" s="29"/>
      <c r="CHP40" s="29"/>
      <c r="CHQ40" s="29"/>
      <c r="CHR40" s="29"/>
      <c r="CHS40" s="73"/>
      <c r="CHT40" s="67"/>
      <c r="CHU40" s="67"/>
      <c r="CHV40" s="67"/>
      <c r="CHW40" s="67"/>
      <c r="CHX40" s="29"/>
      <c r="CHY40" s="136"/>
      <c r="CHZ40" s="29"/>
      <c r="CIA40" s="29"/>
      <c r="CIB40" s="29"/>
      <c r="CIC40" s="29"/>
      <c r="CID40" s="29"/>
      <c r="CIE40" s="73"/>
      <c r="CIF40" s="29"/>
      <c r="CIG40" s="29"/>
      <c r="CIH40" s="29"/>
      <c r="CII40" s="29"/>
      <c r="CIJ40" s="29"/>
      <c r="CIK40" s="136"/>
      <c r="CIL40" s="29"/>
      <c r="CIM40" s="29"/>
      <c r="CIN40" s="29"/>
      <c r="CIO40" s="29"/>
      <c r="CIP40" s="29"/>
      <c r="CIQ40" s="73"/>
      <c r="CIR40" s="29"/>
      <c r="CIS40" s="29"/>
      <c r="CIT40" s="29"/>
      <c r="CIU40" s="29"/>
      <c r="CIV40" s="29"/>
      <c r="CIW40" s="30"/>
      <c r="CIX40" s="28"/>
      <c r="CIY40" s="67"/>
      <c r="CIZ40" s="67"/>
      <c r="CJA40" s="67"/>
      <c r="CJB40" s="29"/>
      <c r="CJC40" s="131"/>
      <c r="CJD40" s="29"/>
      <c r="CJE40" s="29"/>
      <c r="CJF40" s="29"/>
      <c r="CJG40" s="29"/>
      <c r="CJH40" s="29"/>
      <c r="CJI40" s="136"/>
      <c r="CJJ40" s="29"/>
      <c r="CJK40" s="29"/>
      <c r="CJL40" s="29"/>
      <c r="CJM40" s="29"/>
      <c r="CJN40" s="29"/>
      <c r="CJO40" s="73"/>
      <c r="CJP40" s="29"/>
      <c r="CJQ40" s="29"/>
      <c r="CJR40" s="29"/>
      <c r="CJS40" s="29"/>
      <c r="CJT40" s="29"/>
      <c r="CJU40" s="136"/>
      <c r="CJV40" s="29"/>
      <c r="CJW40" s="29"/>
      <c r="CJX40" s="29"/>
      <c r="CJY40" s="29"/>
      <c r="CJZ40" s="29"/>
      <c r="CKA40" s="73"/>
      <c r="CKB40" s="67"/>
      <c r="CKC40" s="67"/>
      <c r="CKD40" s="67"/>
      <c r="CKE40" s="67"/>
      <c r="CKF40" s="29"/>
      <c r="CKG40" s="136"/>
      <c r="CKH40" s="29"/>
      <c r="CKI40" s="29"/>
      <c r="CKJ40" s="29"/>
      <c r="CKK40" s="29"/>
      <c r="CKL40" s="29"/>
      <c r="CKM40" s="73"/>
      <c r="CKN40" s="29"/>
      <c r="CKO40" s="29"/>
      <c r="CKP40" s="29"/>
      <c r="CKQ40" s="29"/>
      <c r="CKR40" s="29"/>
      <c r="CKS40" s="136"/>
      <c r="CKT40" s="29"/>
      <c r="CKU40" s="29"/>
      <c r="CKV40" s="29"/>
      <c r="CKW40" s="29"/>
      <c r="CKX40" s="29"/>
      <c r="CKY40" s="73"/>
      <c r="CKZ40" s="29"/>
      <c r="CLA40" s="29"/>
      <c r="CLB40" s="29"/>
      <c r="CLC40" s="29"/>
      <c r="CLD40" s="29"/>
      <c r="CLE40" s="30"/>
      <c r="CLF40" s="28"/>
      <c r="CLG40" s="67"/>
      <c r="CLH40" s="67"/>
      <c r="CLI40" s="67"/>
      <c r="CLJ40" s="29"/>
      <c r="CLK40" s="131"/>
      <c r="CLL40" s="29"/>
      <c r="CLM40" s="29"/>
      <c r="CLN40" s="29"/>
      <c r="CLO40" s="29"/>
      <c r="CLP40" s="29"/>
      <c r="CLQ40" s="136"/>
      <c r="CLR40" s="29"/>
      <c r="CLS40" s="29"/>
      <c r="CLT40" s="29"/>
      <c r="CLU40" s="29"/>
      <c r="CLV40" s="29"/>
      <c r="CLW40" s="73"/>
      <c r="CLX40" s="29"/>
      <c r="CLY40" s="29"/>
      <c r="CLZ40" s="29"/>
      <c r="CMA40" s="29"/>
      <c r="CMB40" s="29"/>
      <c r="CMC40" s="136"/>
      <c r="CMD40" s="29"/>
      <c r="CME40" s="29"/>
      <c r="CMF40" s="29"/>
      <c r="CMG40" s="29"/>
      <c r="CMH40" s="29"/>
      <c r="CMI40" s="73"/>
      <c r="CMJ40" s="67"/>
      <c r="CMK40" s="67"/>
      <c r="CML40" s="67"/>
      <c r="CMM40" s="67"/>
      <c r="CMN40" s="29"/>
      <c r="CMO40" s="136"/>
      <c r="CMP40" s="29"/>
      <c r="CMQ40" s="29"/>
      <c r="CMR40" s="29"/>
      <c r="CMS40" s="29"/>
      <c r="CMT40" s="29"/>
      <c r="CMU40" s="73"/>
      <c r="CMV40" s="29"/>
      <c r="CMW40" s="29"/>
      <c r="CMX40" s="29"/>
      <c r="CMY40" s="29"/>
      <c r="CMZ40" s="29"/>
      <c r="CNA40" s="136"/>
      <c r="CNB40" s="29"/>
      <c r="CNC40" s="29"/>
      <c r="CND40" s="29"/>
      <c r="CNE40" s="29"/>
      <c r="CNF40" s="29"/>
      <c r="CNG40" s="73"/>
      <c r="CNH40" s="29"/>
      <c r="CNI40" s="29"/>
      <c r="CNJ40" s="29"/>
      <c r="CNK40" s="29"/>
      <c r="CNL40" s="29"/>
      <c r="CNM40" s="30"/>
      <c r="CNN40" s="28"/>
      <c r="CNO40" s="67"/>
      <c r="CNP40" s="67"/>
      <c r="CNQ40" s="67"/>
      <c r="CNR40" s="29"/>
      <c r="CNS40" s="131"/>
      <c r="CNT40" s="29"/>
      <c r="CNU40" s="29"/>
      <c r="CNV40" s="29"/>
      <c r="CNW40" s="29"/>
      <c r="CNX40" s="29"/>
      <c r="CNY40" s="136"/>
      <c r="CNZ40" s="29"/>
      <c r="COA40" s="29"/>
      <c r="COB40" s="29"/>
      <c r="COC40" s="29"/>
      <c r="COD40" s="29"/>
      <c r="COE40" s="73"/>
      <c r="COF40" s="29"/>
      <c r="COG40" s="29"/>
      <c r="COH40" s="29"/>
      <c r="COI40" s="29"/>
      <c r="COJ40" s="29"/>
      <c r="COK40" s="136"/>
      <c r="COL40" s="29"/>
      <c r="COM40" s="29"/>
      <c r="CON40" s="29"/>
      <c r="COO40" s="29"/>
      <c r="COP40" s="29"/>
      <c r="COQ40" s="73"/>
      <c r="COR40" s="67"/>
      <c r="COS40" s="67"/>
      <c r="COT40" s="67"/>
      <c r="COU40" s="67"/>
      <c r="COV40" s="29"/>
      <c r="COW40" s="136"/>
      <c r="COX40" s="29"/>
      <c r="COY40" s="29"/>
      <c r="COZ40" s="29"/>
      <c r="CPA40" s="29"/>
      <c r="CPB40" s="29"/>
      <c r="CPC40" s="73"/>
      <c r="CPD40" s="29"/>
      <c r="CPE40" s="29"/>
      <c r="CPF40" s="29"/>
      <c r="CPG40" s="29"/>
      <c r="CPH40" s="29"/>
      <c r="CPI40" s="136"/>
      <c r="CPJ40" s="29"/>
      <c r="CPK40" s="29"/>
      <c r="CPL40" s="29"/>
      <c r="CPM40" s="29"/>
      <c r="CPN40" s="29"/>
      <c r="CPO40" s="73"/>
      <c r="CPP40" s="29"/>
      <c r="CPQ40" s="29"/>
      <c r="CPR40" s="29"/>
      <c r="CPS40" s="29"/>
      <c r="CPT40" s="29"/>
      <c r="CPU40" s="30"/>
      <c r="CPV40" s="28"/>
      <c r="CPW40" s="67"/>
      <c r="CPX40" s="67"/>
      <c r="CPY40" s="67"/>
      <c r="CPZ40" s="29"/>
      <c r="CQA40" s="131"/>
      <c r="CQB40" s="29"/>
      <c r="CQC40" s="29"/>
      <c r="CQD40" s="29"/>
      <c r="CQE40" s="29"/>
      <c r="CQF40" s="29"/>
      <c r="CQG40" s="136"/>
      <c r="CQH40" s="29"/>
      <c r="CQI40" s="29"/>
      <c r="CQJ40" s="29"/>
      <c r="CQK40" s="29"/>
      <c r="CQL40" s="29"/>
      <c r="CQM40" s="73"/>
      <c r="CQN40" s="29"/>
      <c r="CQO40" s="29"/>
      <c r="CQP40" s="29"/>
      <c r="CQQ40" s="29"/>
      <c r="CQR40" s="29"/>
      <c r="CQS40" s="136"/>
      <c r="CQT40" s="29"/>
      <c r="CQU40" s="29"/>
      <c r="CQV40" s="29"/>
      <c r="CQW40" s="29"/>
      <c r="CQX40" s="29"/>
      <c r="CQY40" s="73"/>
      <c r="CQZ40" s="67"/>
      <c r="CRA40" s="67"/>
      <c r="CRB40" s="67"/>
      <c r="CRC40" s="67"/>
      <c r="CRD40" s="29"/>
      <c r="CRE40" s="136"/>
      <c r="CRF40" s="29"/>
      <c r="CRG40" s="29"/>
      <c r="CRH40" s="29"/>
      <c r="CRI40" s="29"/>
      <c r="CRJ40" s="29"/>
      <c r="CRK40" s="73"/>
      <c r="CRL40" s="29"/>
      <c r="CRM40" s="29"/>
      <c r="CRN40" s="29"/>
      <c r="CRO40" s="29"/>
      <c r="CRP40" s="29"/>
      <c r="CRQ40" s="136"/>
      <c r="CRR40" s="29"/>
      <c r="CRS40" s="29"/>
      <c r="CRT40" s="29"/>
      <c r="CRU40" s="29"/>
      <c r="CRV40" s="29"/>
      <c r="CRW40" s="73"/>
      <c r="CRX40" s="29"/>
      <c r="CRY40" s="29"/>
      <c r="CRZ40" s="29"/>
      <c r="CSA40" s="29"/>
      <c r="CSB40" s="29"/>
      <c r="CSC40" s="30"/>
      <c r="CSD40" s="90"/>
    </row>
    <row r="41" spans="1:2526" ht="20.100000000000001" customHeight="1" x14ac:dyDescent="0.25">
      <c r="A41" s="100" t="s">
        <v>18</v>
      </c>
      <c r="B41" s="63" t="str">
        <f>IF(LEN(C67)=0,"",C67)</f>
        <v/>
      </c>
      <c r="C41" s="211" t="s">
        <v>52</v>
      </c>
      <c r="D41" s="146"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32"/>
      <c r="BLW41" s="64"/>
      <c r="BLX41" s="64"/>
      <c r="BLY41" s="64"/>
      <c r="BLZ41" s="33"/>
      <c r="BMA41" s="132"/>
      <c r="BMB41" s="33"/>
      <c r="BMC41" s="33"/>
      <c r="BMD41" s="33"/>
      <c r="BME41" s="33"/>
      <c r="BMF41" s="33"/>
      <c r="BMG41" s="137"/>
      <c r="BMH41" s="33"/>
      <c r="BMI41" s="33"/>
      <c r="BMJ41" s="33"/>
      <c r="BMK41" s="33"/>
      <c r="BML41" s="33"/>
      <c r="BMM41" s="74"/>
      <c r="BMN41" s="33"/>
      <c r="BMO41" s="33"/>
      <c r="BMP41" s="33"/>
      <c r="BMQ41" s="33"/>
      <c r="BMR41" s="33"/>
      <c r="BMS41" s="137"/>
      <c r="BMT41" s="33"/>
      <c r="BMU41" s="33"/>
      <c r="BMV41" s="33"/>
      <c r="BMW41" s="33"/>
      <c r="BMX41" s="33"/>
      <c r="BMY41" s="74"/>
      <c r="BMZ41" s="64"/>
      <c r="BNA41" s="64"/>
      <c r="BNB41" s="64"/>
      <c r="BNC41" s="64"/>
      <c r="BND41" s="33"/>
      <c r="BNE41" s="137"/>
      <c r="BNF41" s="33"/>
      <c r="BNG41" s="33"/>
      <c r="BNH41" s="33"/>
      <c r="BNI41" s="33"/>
      <c r="BNJ41" s="33"/>
      <c r="BNK41" s="74"/>
      <c r="BNL41" s="33"/>
      <c r="BNM41" s="33"/>
      <c r="BNN41" s="33"/>
      <c r="BNO41" s="33"/>
      <c r="BNP41" s="33"/>
      <c r="BNQ41" s="137"/>
      <c r="BNR41" s="33"/>
      <c r="BNS41" s="33"/>
      <c r="BNT41" s="33"/>
      <c r="BNU41" s="33"/>
      <c r="BNV41" s="33"/>
      <c r="BNW41" s="74"/>
      <c r="BNX41" s="33"/>
      <c r="BNY41" s="33"/>
      <c r="BNZ41" s="33"/>
      <c r="BOA41" s="33"/>
      <c r="BOB41" s="33"/>
      <c r="BOC41" s="34"/>
      <c r="BOD41" s="32"/>
      <c r="BOE41" s="64"/>
      <c r="BOF41" s="64"/>
      <c r="BOG41" s="64"/>
      <c r="BOH41" s="33"/>
      <c r="BOI41" s="132"/>
      <c r="BOJ41" s="33"/>
      <c r="BOK41" s="33"/>
      <c r="BOL41" s="33"/>
      <c r="BOM41" s="33"/>
      <c r="BON41" s="33"/>
      <c r="BOO41" s="137"/>
      <c r="BOP41" s="33"/>
      <c r="BOQ41" s="33"/>
      <c r="BOR41" s="33"/>
      <c r="BOS41" s="33"/>
      <c r="BOT41" s="33"/>
      <c r="BOU41" s="74"/>
      <c r="BOV41" s="33"/>
      <c r="BOW41" s="33"/>
      <c r="BOX41" s="33"/>
      <c r="BOY41" s="33"/>
      <c r="BOZ41" s="33"/>
      <c r="BPA41" s="137"/>
      <c r="BPB41" s="33"/>
      <c r="BPC41" s="33"/>
      <c r="BPD41" s="33"/>
      <c r="BPE41" s="33"/>
      <c r="BPF41" s="33"/>
      <c r="BPG41" s="74"/>
      <c r="BPH41" s="64"/>
      <c r="BPI41" s="64"/>
      <c r="BPJ41" s="64"/>
      <c r="BPK41" s="64"/>
      <c r="BPL41" s="33"/>
      <c r="BPM41" s="137"/>
      <c r="BPN41" s="33"/>
      <c r="BPO41" s="33"/>
      <c r="BPP41" s="33"/>
      <c r="BPQ41" s="33"/>
      <c r="BPR41" s="33"/>
      <c r="BPS41" s="74"/>
      <c r="BPT41" s="33"/>
      <c r="BPU41" s="33"/>
      <c r="BPV41" s="33"/>
      <c r="BPW41" s="33"/>
      <c r="BPX41" s="33"/>
      <c r="BPY41" s="137"/>
      <c r="BPZ41" s="33"/>
      <c r="BQA41" s="33"/>
      <c r="BQB41" s="33"/>
      <c r="BQC41" s="33"/>
      <c r="BQD41" s="33"/>
      <c r="BQE41" s="74"/>
      <c r="BQF41" s="33"/>
      <c r="BQG41" s="33"/>
      <c r="BQH41" s="33"/>
      <c r="BQI41" s="33"/>
      <c r="BQJ41" s="33"/>
      <c r="BQK41" s="34"/>
      <c r="BQL41" s="32"/>
      <c r="BQM41" s="64"/>
      <c r="BQN41" s="64"/>
      <c r="BQO41" s="64"/>
      <c r="BQP41" s="33"/>
      <c r="BQQ41" s="132"/>
      <c r="BQR41" s="33"/>
      <c r="BQS41" s="33"/>
      <c r="BQT41" s="33"/>
      <c r="BQU41" s="33"/>
      <c r="BQV41" s="33"/>
      <c r="BQW41" s="137"/>
      <c r="BQX41" s="33"/>
      <c r="BQY41" s="33"/>
      <c r="BQZ41" s="33"/>
      <c r="BRA41" s="33"/>
      <c r="BRB41" s="33"/>
      <c r="BRC41" s="74"/>
      <c r="BRD41" s="33"/>
      <c r="BRE41" s="33"/>
      <c r="BRF41" s="33"/>
      <c r="BRG41" s="33"/>
      <c r="BRH41" s="33"/>
      <c r="BRI41" s="137"/>
      <c r="BRJ41" s="33"/>
      <c r="BRK41" s="33"/>
      <c r="BRL41" s="33"/>
      <c r="BRM41" s="33"/>
      <c r="BRN41" s="33"/>
      <c r="BRO41" s="74"/>
      <c r="BRP41" s="64"/>
      <c r="BRQ41" s="64"/>
      <c r="BRR41" s="64"/>
      <c r="BRS41" s="64"/>
      <c r="BRT41" s="33"/>
      <c r="BRU41" s="137"/>
      <c r="BRV41" s="33"/>
      <c r="BRW41" s="33"/>
      <c r="BRX41" s="33"/>
      <c r="BRY41" s="33"/>
      <c r="BRZ41" s="33"/>
      <c r="BSA41" s="74"/>
      <c r="BSB41" s="33"/>
      <c r="BSC41" s="33"/>
      <c r="BSD41" s="33"/>
      <c r="BSE41" s="33"/>
      <c r="BSF41" s="33"/>
      <c r="BSG41" s="137"/>
      <c r="BSH41" s="33"/>
      <c r="BSI41" s="33"/>
      <c r="BSJ41" s="33"/>
      <c r="BSK41" s="33"/>
      <c r="BSL41" s="33"/>
      <c r="BSM41" s="74"/>
      <c r="BSN41" s="33"/>
      <c r="BSO41" s="33"/>
      <c r="BSP41" s="33"/>
      <c r="BSQ41" s="33"/>
      <c r="BSR41" s="33"/>
      <c r="BSS41" s="34"/>
      <c r="BST41" s="32"/>
      <c r="BSU41" s="64"/>
      <c r="BSV41" s="64"/>
      <c r="BSW41" s="64"/>
      <c r="BSX41" s="33"/>
      <c r="BSY41" s="132"/>
      <c r="BSZ41" s="33"/>
      <c r="BTA41" s="33"/>
      <c r="BTB41" s="33"/>
      <c r="BTC41" s="33"/>
      <c r="BTD41" s="33"/>
      <c r="BTE41" s="137"/>
      <c r="BTF41" s="33"/>
      <c r="BTG41" s="33"/>
      <c r="BTH41" s="33"/>
      <c r="BTI41" s="33"/>
      <c r="BTJ41" s="33"/>
      <c r="BTK41" s="74"/>
      <c r="BTL41" s="33"/>
      <c r="BTM41" s="33"/>
      <c r="BTN41" s="33"/>
      <c r="BTO41" s="33"/>
      <c r="BTP41" s="33"/>
      <c r="BTQ41" s="137"/>
      <c r="BTR41" s="33"/>
      <c r="BTS41" s="33"/>
      <c r="BTT41" s="33"/>
      <c r="BTU41" s="33"/>
      <c r="BTV41" s="33"/>
      <c r="BTW41" s="74"/>
      <c r="BTX41" s="64"/>
      <c r="BTY41" s="64"/>
      <c r="BTZ41" s="64"/>
      <c r="BUA41" s="64"/>
      <c r="BUB41" s="33"/>
      <c r="BUC41" s="137"/>
      <c r="BUD41" s="33"/>
      <c r="BUE41" s="33"/>
      <c r="BUF41" s="33"/>
      <c r="BUG41" s="33"/>
      <c r="BUH41" s="33"/>
      <c r="BUI41" s="74"/>
      <c r="BUJ41" s="33"/>
      <c r="BUK41" s="33"/>
      <c r="BUL41" s="33"/>
      <c r="BUM41" s="33"/>
      <c r="BUN41" s="33"/>
      <c r="BUO41" s="137"/>
      <c r="BUP41" s="33"/>
      <c r="BUQ41" s="33"/>
      <c r="BUR41" s="33"/>
      <c r="BUS41" s="33"/>
      <c r="BUT41" s="33"/>
      <c r="BUU41" s="74"/>
      <c r="BUV41" s="33"/>
      <c r="BUW41" s="33"/>
      <c r="BUX41" s="33"/>
      <c r="BUY41" s="33"/>
      <c r="BUZ41" s="33"/>
      <c r="BVA41" s="34"/>
      <c r="BVB41" s="32"/>
      <c r="BVC41" s="64"/>
      <c r="BVD41" s="64"/>
      <c r="BVE41" s="64"/>
      <c r="BVF41" s="33"/>
      <c r="BVG41" s="132"/>
      <c r="BVH41" s="33"/>
      <c r="BVI41" s="33"/>
      <c r="BVJ41" s="33"/>
      <c r="BVK41" s="33"/>
      <c r="BVL41" s="33"/>
      <c r="BVM41" s="137"/>
      <c r="BVN41" s="33"/>
      <c r="BVO41" s="33"/>
      <c r="BVP41" s="33"/>
      <c r="BVQ41" s="33"/>
      <c r="BVR41" s="33"/>
      <c r="BVS41" s="74"/>
      <c r="BVT41" s="33"/>
      <c r="BVU41" s="33"/>
      <c r="BVV41" s="33"/>
      <c r="BVW41" s="33"/>
      <c r="BVX41" s="33"/>
      <c r="BVY41" s="137"/>
      <c r="BVZ41" s="33"/>
      <c r="BWA41" s="33"/>
      <c r="BWB41" s="33"/>
      <c r="BWC41" s="33"/>
      <c r="BWD41" s="33"/>
      <c r="BWE41" s="74"/>
      <c r="BWF41" s="64"/>
      <c r="BWG41" s="64"/>
      <c r="BWH41" s="64"/>
      <c r="BWI41" s="64"/>
      <c r="BWJ41" s="33"/>
      <c r="BWK41" s="137"/>
      <c r="BWL41" s="33"/>
      <c r="BWM41" s="33"/>
      <c r="BWN41" s="33"/>
      <c r="BWO41" s="33"/>
      <c r="BWP41" s="33"/>
      <c r="BWQ41" s="74"/>
      <c r="BWR41" s="33"/>
      <c r="BWS41" s="33"/>
      <c r="BWT41" s="33"/>
      <c r="BWU41" s="33"/>
      <c r="BWV41" s="33"/>
      <c r="BWW41" s="137"/>
      <c r="BWX41" s="33"/>
      <c r="BWY41" s="33"/>
      <c r="BWZ41" s="33"/>
      <c r="BXA41" s="33"/>
      <c r="BXB41" s="33"/>
      <c r="BXC41" s="74"/>
      <c r="BXD41" s="33"/>
      <c r="BXE41" s="33"/>
      <c r="BXF41" s="33"/>
      <c r="BXG41" s="33"/>
      <c r="BXH41" s="33"/>
      <c r="BXI41" s="34"/>
      <c r="BXJ41" s="32"/>
      <c r="BXK41" s="64"/>
      <c r="BXL41" s="64"/>
      <c r="BXM41" s="64"/>
      <c r="BXN41" s="33"/>
      <c r="BXO41" s="132"/>
      <c r="BXP41" s="33"/>
      <c r="BXQ41" s="33"/>
      <c r="BXR41" s="33"/>
      <c r="BXS41" s="33"/>
      <c r="BXT41" s="33"/>
      <c r="BXU41" s="137"/>
      <c r="BXV41" s="33"/>
      <c r="BXW41" s="33"/>
      <c r="BXX41" s="33"/>
      <c r="BXY41" s="33"/>
      <c r="BXZ41" s="33"/>
      <c r="BYA41" s="74"/>
      <c r="BYB41" s="33"/>
      <c r="BYC41" s="33"/>
      <c r="BYD41" s="33"/>
      <c r="BYE41" s="33"/>
      <c r="BYF41" s="33"/>
      <c r="BYG41" s="137"/>
      <c r="BYH41" s="33"/>
      <c r="BYI41" s="33"/>
      <c r="BYJ41" s="33"/>
      <c r="BYK41" s="33"/>
      <c r="BYL41" s="33"/>
      <c r="BYM41" s="74"/>
      <c r="BYN41" s="64"/>
      <c r="BYO41" s="64"/>
      <c r="BYP41" s="64"/>
      <c r="BYQ41" s="64"/>
      <c r="BYR41" s="33"/>
      <c r="BYS41" s="137"/>
      <c r="BYT41" s="33"/>
      <c r="BYU41" s="33"/>
      <c r="BYV41" s="33"/>
      <c r="BYW41" s="33"/>
      <c r="BYX41" s="33"/>
      <c r="BYY41" s="74"/>
      <c r="BYZ41" s="33"/>
      <c r="BZA41" s="33"/>
      <c r="BZB41" s="33"/>
      <c r="BZC41" s="33"/>
      <c r="BZD41" s="33"/>
      <c r="BZE41" s="137"/>
      <c r="BZF41" s="33"/>
      <c r="BZG41" s="33"/>
      <c r="BZH41" s="33"/>
      <c r="BZI41" s="33"/>
      <c r="BZJ41" s="33"/>
      <c r="BZK41" s="74"/>
      <c r="BZL41" s="33"/>
      <c r="BZM41" s="33"/>
      <c r="BZN41" s="33"/>
      <c r="BZO41" s="33"/>
      <c r="BZP41" s="33"/>
      <c r="BZQ41" s="34"/>
      <c r="BZR41" s="32"/>
      <c r="BZS41" s="64"/>
      <c r="BZT41" s="64"/>
      <c r="BZU41" s="64"/>
      <c r="BZV41" s="33"/>
      <c r="BZW41" s="132"/>
      <c r="BZX41" s="33"/>
      <c r="BZY41" s="33"/>
      <c r="BZZ41" s="33"/>
      <c r="CAA41" s="33"/>
      <c r="CAB41" s="33"/>
      <c r="CAC41" s="137"/>
      <c r="CAD41" s="33"/>
      <c r="CAE41" s="33"/>
      <c r="CAF41" s="33"/>
      <c r="CAG41" s="33"/>
      <c r="CAH41" s="33"/>
      <c r="CAI41" s="74"/>
      <c r="CAJ41" s="33"/>
      <c r="CAK41" s="33"/>
      <c r="CAL41" s="33"/>
      <c r="CAM41" s="33"/>
      <c r="CAN41" s="33"/>
      <c r="CAO41" s="137"/>
      <c r="CAP41" s="33"/>
      <c r="CAQ41" s="33"/>
      <c r="CAR41" s="33"/>
      <c r="CAS41" s="33"/>
      <c r="CAT41" s="33"/>
      <c r="CAU41" s="74"/>
      <c r="CAV41" s="64"/>
      <c r="CAW41" s="64"/>
      <c r="CAX41" s="64"/>
      <c r="CAY41" s="64"/>
      <c r="CAZ41" s="33"/>
      <c r="CBA41" s="137"/>
      <c r="CBB41" s="33"/>
      <c r="CBC41" s="33"/>
      <c r="CBD41" s="33"/>
      <c r="CBE41" s="33"/>
      <c r="CBF41" s="33"/>
      <c r="CBG41" s="74"/>
      <c r="CBH41" s="33"/>
      <c r="CBI41" s="33"/>
      <c r="CBJ41" s="33"/>
      <c r="CBK41" s="33"/>
      <c r="CBL41" s="33"/>
      <c r="CBM41" s="137"/>
      <c r="CBN41" s="33"/>
      <c r="CBO41" s="33"/>
      <c r="CBP41" s="33"/>
      <c r="CBQ41" s="33"/>
      <c r="CBR41" s="33"/>
      <c r="CBS41" s="74"/>
      <c r="CBT41" s="33"/>
      <c r="CBU41" s="33"/>
      <c r="CBV41" s="33"/>
      <c r="CBW41" s="33"/>
      <c r="CBX41" s="33"/>
      <c r="CBY41" s="34"/>
      <c r="CBZ41" s="32"/>
      <c r="CCA41" s="64"/>
      <c r="CCB41" s="64"/>
      <c r="CCC41" s="64"/>
      <c r="CCD41" s="33"/>
      <c r="CCE41" s="132"/>
      <c r="CCF41" s="33"/>
      <c r="CCG41" s="33"/>
      <c r="CCH41" s="33"/>
      <c r="CCI41" s="33"/>
      <c r="CCJ41" s="33"/>
      <c r="CCK41" s="137"/>
      <c r="CCL41" s="33"/>
      <c r="CCM41" s="33"/>
      <c r="CCN41" s="33"/>
      <c r="CCO41" s="33"/>
      <c r="CCP41" s="33"/>
      <c r="CCQ41" s="74"/>
      <c r="CCR41" s="33"/>
      <c r="CCS41" s="33"/>
      <c r="CCT41" s="33"/>
      <c r="CCU41" s="33"/>
      <c r="CCV41" s="33"/>
      <c r="CCW41" s="137"/>
      <c r="CCX41" s="33"/>
      <c r="CCY41" s="33"/>
      <c r="CCZ41" s="33"/>
      <c r="CDA41" s="33"/>
      <c r="CDB41" s="33"/>
      <c r="CDC41" s="74"/>
      <c r="CDD41" s="64"/>
      <c r="CDE41" s="64"/>
      <c r="CDF41" s="64"/>
      <c r="CDG41" s="64"/>
      <c r="CDH41" s="33"/>
      <c r="CDI41" s="137"/>
      <c r="CDJ41" s="33"/>
      <c r="CDK41" s="33"/>
      <c r="CDL41" s="33"/>
      <c r="CDM41" s="33"/>
      <c r="CDN41" s="33"/>
      <c r="CDO41" s="74"/>
      <c r="CDP41" s="33"/>
      <c r="CDQ41" s="33"/>
      <c r="CDR41" s="33"/>
      <c r="CDS41" s="33"/>
      <c r="CDT41" s="33"/>
      <c r="CDU41" s="137"/>
      <c r="CDV41" s="33"/>
      <c r="CDW41" s="33"/>
      <c r="CDX41" s="33"/>
      <c r="CDY41" s="33"/>
      <c r="CDZ41" s="33"/>
      <c r="CEA41" s="74"/>
      <c r="CEB41" s="33"/>
      <c r="CEC41" s="33"/>
      <c r="CED41" s="33"/>
      <c r="CEE41" s="33"/>
      <c r="CEF41" s="33"/>
      <c r="CEG41" s="34"/>
      <c r="CEH41" s="32"/>
      <c r="CEI41" s="64"/>
      <c r="CEJ41" s="64"/>
      <c r="CEK41" s="64"/>
      <c r="CEL41" s="33"/>
      <c r="CEM41" s="132"/>
      <c r="CEN41" s="33"/>
      <c r="CEO41" s="33"/>
      <c r="CEP41" s="33"/>
      <c r="CEQ41" s="33"/>
      <c r="CER41" s="33"/>
      <c r="CES41" s="137"/>
      <c r="CET41" s="33"/>
      <c r="CEU41" s="33"/>
      <c r="CEV41" s="33"/>
      <c r="CEW41" s="33"/>
      <c r="CEX41" s="33"/>
      <c r="CEY41" s="74"/>
      <c r="CEZ41" s="33"/>
      <c r="CFA41" s="33"/>
      <c r="CFB41" s="33"/>
      <c r="CFC41" s="33"/>
      <c r="CFD41" s="33"/>
      <c r="CFE41" s="137"/>
      <c r="CFF41" s="33"/>
      <c r="CFG41" s="33"/>
      <c r="CFH41" s="33"/>
      <c r="CFI41" s="33"/>
      <c r="CFJ41" s="33"/>
      <c r="CFK41" s="74"/>
      <c r="CFL41" s="64"/>
      <c r="CFM41" s="64"/>
      <c r="CFN41" s="64"/>
      <c r="CFO41" s="64"/>
      <c r="CFP41" s="33"/>
      <c r="CFQ41" s="137"/>
      <c r="CFR41" s="33"/>
      <c r="CFS41" s="33"/>
      <c r="CFT41" s="33"/>
      <c r="CFU41" s="33"/>
      <c r="CFV41" s="33"/>
      <c r="CFW41" s="74"/>
      <c r="CFX41" s="33"/>
      <c r="CFY41" s="33"/>
      <c r="CFZ41" s="33"/>
      <c r="CGA41" s="33"/>
      <c r="CGB41" s="33"/>
      <c r="CGC41" s="137"/>
      <c r="CGD41" s="33"/>
      <c r="CGE41" s="33"/>
      <c r="CGF41" s="33"/>
      <c r="CGG41" s="33"/>
      <c r="CGH41" s="33"/>
      <c r="CGI41" s="74"/>
      <c r="CGJ41" s="33"/>
      <c r="CGK41" s="33"/>
      <c r="CGL41" s="33"/>
      <c r="CGM41" s="33"/>
      <c r="CGN41" s="33"/>
      <c r="CGO41" s="34"/>
      <c r="CGP41" s="32"/>
      <c r="CGQ41" s="64"/>
      <c r="CGR41" s="64"/>
      <c r="CGS41" s="64"/>
      <c r="CGT41" s="33"/>
      <c r="CGU41" s="132"/>
      <c r="CGV41" s="33"/>
      <c r="CGW41" s="33"/>
      <c r="CGX41" s="33"/>
      <c r="CGY41" s="33"/>
      <c r="CGZ41" s="33"/>
      <c r="CHA41" s="137"/>
      <c r="CHB41" s="33"/>
      <c r="CHC41" s="33"/>
      <c r="CHD41" s="33"/>
      <c r="CHE41" s="33"/>
      <c r="CHF41" s="33"/>
      <c r="CHG41" s="74"/>
      <c r="CHH41" s="33"/>
      <c r="CHI41" s="33"/>
      <c r="CHJ41" s="33"/>
      <c r="CHK41" s="33"/>
      <c r="CHL41" s="33"/>
      <c r="CHM41" s="137"/>
      <c r="CHN41" s="33"/>
      <c r="CHO41" s="33"/>
      <c r="CHP41" s="33"/>
      <c r="CHQ41" s="33"/>
      <c r="CHR41" s="33"/>
      <c r="CHS41" s="74"/>
      <c r="CHT41" s="64"/>
      <c r="CHU41" s="64"/>
      <c r="CHV41" s="64"/>
      <c r="CHW41" s="64"/>
      <c r="CHX41" s="33"/>
      <c r="CHY41" s="137"/>
      <c r="CHZ41" s="33"/>
      <c r="CIA41" s="33"/>
      <c r="CIB41" s="33"/>
      <c r="CIC41" s="33"/>
      <c r="CID41" s="33"/>
      <c r="CIE41" s="74"/>
      <c r="CIF41" s="33"/>
      <c r="CIG41" s="33"/>
      <c r="CIH41" s="33"/>
      <c r="CII41" s="33"/>
      <c r="CIJ41" s="33"/>
      <c r="CIK41" s="137"/>
      <c r="CIL41" s="33"/>
      <c r="CIM41" s="33"/>
      <c r="CIN41" s="33"/>
      <c r="CIO41" s="33"/>
      <c r="CIP41" s="33"/>
      <c r="CIQ41" s="74"/>
      <c r="CIR41" s="33"/>
      <c r="CIS41" s="33"/>
      <c r="CIT41" s="33"/>
      <c r="CIU41" s="33"/>
      <c r="CIV41" s="33"/>
      <c r="CIW41" s="34"/>
      <c r="CIX41" s="32"/>
      <c r="CIY41" s="64"/>
      <c r="CIZ41" s="64"/>
      <c r="CJA41" s="64"/>
      <c r="CJB41" s="33"/>
      <c r="CJC41" s="132"/>
      <c r="CJD41" s="33"/>
      <c r="CJE41" s="33"/>
      <c r="CJF41" s="33"/>
      <c r="CJG41" s="33"/>
      <c r="CJH41" s="33"/>
      <c r="CJI41" s="137"/>
      <c r="CJJ41" s="33"/>
      <c r="CJK41" s="33"/>
      <c r="CJL41" s="33"/>
      <c r="CJM41" s="33"/>
      <c r="CJN41" s="33"/>
      <c r="CJO41" s="74"/>
      <c r="CJP41" s="33"/>
      <c r="CJQ41" s="33"/>
      <c r="CJR41" s="33"/>
      <c r="CJS41" s="33"/>
      <c r="CJT41" s="33"/>
      <c r="CJU41" s="137"/>
      <c r="CJV41" s="33"/>
      <c r="CJW41" s="33"/>
      <c r="CJX41" s="33"/>
      <c r="CJY41" s="33"/>
      <c r="CJZ41" s="33"/>
      <c r="CKA41" s="74"/>
      <c r="CKB41" s="64"/>
      <c r="CKC41" s="64"/>
      <c r="CKD41" s="64"/>
      <c r="CKE41" s="64"/>
      <c r="CKF41" s="33"/>
      <c r="CKG41" s="137"/>
      <c r="CKH41" s="33"/>
      <c r="CKI41" s="33"/>
      <c r="CKJ41" s="33"/>
      <c r="CKK41" s="33"/>
      <c r="CKL41" s="33"/>
      <c r="CKM41" s="74"/>
      <c r="CKN41" s="33"/>
      <c r="CKO41" s="33"/>
      <c r="CKP41" s="33"/>
      <c r="CKQ41" s="33"/>
      <c r="CKR41" s="33"/>
      <c r="CKS41" s="137"/>
      <c r="CKT41" s="33"/>
      <c r="CKU41" s="33"/>
      <c r="CKV41" s="33"/>
      <c r="CKW41" s="33"/>
      <c r="CKX41" s="33"/>
      <c r="CKY41" s="74"/>
      <c r="CKZ41" s="33"/>
      <c r="CLA41" s="33"/>
      <c r="CLB41" s="33"/>
      <c r="CLC41" s="33"/>
      <c r="CLD41" s="33"/>
      <c r="CLE41" s="34"/>
      <c r="CLF41" s="32"/>
      <c r="CLG41" s="64"/>
      <c r="CLH41" s="64"/>
      <c r="CLI41" s="64"/>
      <c r="CLJ41" s="33"/>
      <c r="CLK41" s="132"/>
      <c r="CLL41" s="33"/>
      <c r="CLM41" s="33"/>
      <c r="CLN41" s="33"/>
      <c r="CLO41" s="33"/>
      <c r="CLP41" s="33"/>
      <c r="CLQ41" s="137"/>
      <c r="CLR41" s="33"/>
      <c r="CLS41" s="33"/>
      <c r="CLT41" s="33"/>
      <c r="CLU41" s="33"/>
      <c r="CLV41" s="33"/>
      <c r="CLW41" s="74"/>
      <c r="CLX41" s="33"/>
      <c r="CLY41" s="33"/>
      <c r="CLZ41" s="33"/>
      <c r="CMA41" s="33"/>
      <c r="CMB41" s="33"/>
      <c r="CMC41" s="137"/>
      <c r="CMD41" s="33"/>
      <c r="CME41" s="33"/>
      <c r="CMF41" s="33"/>
      <c r="CMG41" s="33"/>
      <c r="CMH41" s="33"/>
      <c r="CMI41" s="74"/>
      <c r="CMJ41" s="64"/>
      <c r="CMK41" s="64"/>
      <c r="CML41" s="64"/>
      <c r="CMM41" s="64"/>
      <c r="CMN41" s="33"/>
      <c r="CMO41" s="137"/>
      <c r="CMP41" s="33"/>
      <c r="CMQ41" s="33"/>
      <c r="CMR41" s="33"/>
      <c r="CMS41" s="33"/>
      <c r="CMT41" s="33"/>
      <c r="CMU41" s="74"/>
      <c r="CMV41" s="33"/>
      <c r="CMW41" s="33"/>
      <c r="CMX41" s="33"/>
      <c r="CMY41" s="33"/>
      <c r="CMZ41" s="33"/>
      <c r="CNA41" s="137"/>
      <c r="CNB41" s="33"/>
      <c r="CNC41" s="33"/>
      <c r="CND41" s="33"/>
      <c r="CNE41" s="33"/>
      <c r="CNF41" s="33"/>
      <c r="CNG41" s="74"/>
      <c r="CNH41" s="33"/>
      <c r="CNI41" s="33"/>
      <c r="CNJ41" s="33"/>
      <c r="CNK41" s="33"/>
      <c r="CNL41" s="33"/>
      <c r="CNM41" s="34"/>
      <c r="CNN41" s="32"/>
      <c r="CNO41" s="64"/>
      <c r="CNP41" s="64"/>
      <c r="CNQ41" s="64"/>
      <c r="CNR41" s="33"/>
      <c r="CNS41" s="132"/>
      <c r="CNT41" s="33"/>
      <c r="CNU41" s="33"/>
      <c r="CNV41" s="33"/>
      <c r="CNW41" s="33"/>
      <c r="CNX41" s="33"/>
      <c r="CNY41" s="137"/>
      <c r="CNZ41" s="33"/>
      <c r="COA41" s="33"/>
      <c r="COB41" s="33"/>
      <c r="COC41" s="33"/>
      <c r="COD41" s="33"/>
      <c r="COE41" s="74"/>
      <c r="COF41" s="33"/>
      <c r="COG41" s="33"/>
      <c r="COH41" s="33"/>
      <c r="COI41" s="33"/>
      <c r="COJ41" s="33"/>
      <c r="COK41" s="137"/>
      <c r="COL41" s="33"/>
      <c r="COM41" s="33"/>
      <c r="CON41" s="33"/>
      <c r="COO41" s="33"/>
      <c r="COP41" s="33"/>
      <c r="COQ41" s="74"/>
      <c r="COR41" s="64"/>
      <c r="COS41" s="64"/>
      <c r="COT41" s="64"/>
      <c r="COU41" s="64"/>
      <c r="COV41" s="33"/>
      <c r="COW41" s="137"/>
      <c r="COX41" s="33"/>
      <c r="COY41" s="33"/>
      <c r="COZ41" s="33"/>
      <c r="CPA41" s="33"/>
      <c r="CPB41" s="33"/>
      <c r="CPC41" s="74"/>
      <c r="CPD41" s="33"/>
      <c r="CPE41" s="33"/>
      <c r="CPF41" s="33"/>
      <c r="CPG41" s="33"/>
      <c r="CPH41" s="33"/>
      <c r="CPI41" s="137"/>
      <c r="CPJ41" s="33"/>
      <c r="CPK41" s="33"/>
      <c r="CPL41" s="33"/>
      <c r="CPM41" s="33"/>
      <c r="CPN41" s="33"/>
      <c r="CPO41" s="74"/>
      <c r="CPP41" s="33"/>
      <c r="CPQ41" s="33"/>
      <c r="CPR41" s="33"/>
      <c r="CPS41" s="33"/>
      <c r="CPT41" s="33"/>
      <c r="CPU41" s="34"/>
      <c r="CPV41" s="32"/>
      <c r="CPW41" s="64"/>
      <c r="CPX41" s="64"/>
      <c r="CPY41" s="64"/>
      <c r="CPZ41" s="33"/>
      <c r="CQA41" s="132"/>
      <c r="CQB41" s="33"/>
      <c r="CQC41" s="33"/>
      <c r="CQD41" s="33"/>
      <c r="CQE41" s="33"/>
      <c r="CQF41" s="33"/>
      <c r="CQG41" s="137"/>
      <c r="CQH41" s="33"/>
      <c r="CQI41" s="33"/>
      <c r="CQJ41" s="33"/>
      <c r="CQK41" s="33"/>
      <c r="CQL41" s="33"/>
      <c r="CQM41" s="74"/>
      <c r="CQN41" s="33"/>
      <c r="CQO41" s="33"/>
      <c r="CQP41" s="33"/>
      <c r="CQQ41" s="33"/>
      <c r="CQR41" s="33"/>
      <c r="CQS41" s="137"/>
      <c r="CQT41" s="33"/>
      <c r="CQU41" s="33"/>
      <c r="CQV41" s="33"/>
      <c r="CQW41" s="33"/>
      <c r="CQX41" s="33"/>
      <c r="CQY41" s="74"/>
      <c r="CQZ41" s="64"/>
      <c r="CRA41" s="64"/>
      <c r="CRB41" s="64"/>
      <c r="CRC41" s="64"/>
      <c r="CRD41" s="33"/>
      <c r="CRE41" s="137"/>
      <c r="CRF41" s="33"/>
      <c r="CRG41" s="33"/>
      <c r="CRH41" s="33"/>
      <c r="CRI41" s="33"/>
      <c r="CRJ41" s="33"/>
      <c r="CRK41" s="74"/>
      <c r="CRL41" s="33"/>
      <c r="CRM41" s="33"/>
      <c r="CRN41" s="33"/>
      <c r="CRO41" s="33"/>
      <c r="CRP41" s="33"/>
      <c r="CRQ41" s="137"/>
      <c r="CRR41" s="33"/>
      <c r="CRS41" s="33"/>
      <c r="CRT41" s="33"/>
      <c r="CRU41" s="33"/>
      <c r="CRV41" s="33"/>
      <c r="CRW41" s="74"/>
      <c r="CRX41" s="33"/>
      <c r="CRY41" s="33"/>
      <c r="CRZ41" s="33"/>
      <c r="CSA41" s="33"/>
      <c r="CSB41" s="33"/>
      <c r="CSC41" s="34"/>
      <c r="CSD41" s="90"/>
    </row>
    <row r="42" spans="1:2526" ht="20.100000000000001" customHeight="1" x14ac:dyDescent="0.3">
      <c r="A42" s="100" t="s">
        <v>19</v>
      </c>
      <c r="B42" s="63" t="str">
        <f>IF(LEN(C69)=0,"",C69)</f>
        <v/>
      </c>
      <c r="C42" s="212"/>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36"/>
      <c r="BLW42" s="65"/>
      <c r="BLX42" s="65"/>
      <c r="BLY42" s="65"/>
      <c r="BLZ42" s="37"/>
      <c r="BMA42" s="133"/>
      <c r="BMB42" s="37"/>
      <c r="BMC42" s="37"/>
      <c r="BMD42" s="37"/>
      <c r="BME42" s="37"/>
      <c r="BMF42" s="37"/>
      <c r="BMG42" s="138"/>
      <c r="BMH42" s="37"/>
      <c r="BMI42" s="37"/>
      <c r="BMJ42" s="37"/>
      <c r="BMK42" s="37"/>
      <c r="BML42" s="37"/>
      <c r="BMM42" s="75"/>
      <c r="BMN42" s="37"/>
      <c r="BMO42" s="37"/>
      <c r="BMP42" s="37"/>
      <c r="BMQ42" s="37"/>
      <c r="BMR42" s="37"/>
      <c r="BMS42" s="138"/>
      <c r="BMT42" s="37"/>
      <c r="BMU42" s="37"/>
      <c r="BMV42" s="37"/>
      <c r="BMW42" s="37"/>
      <c r="BMX42" s="37"/>
      <c r="BMY42" s="75"/>
      <c r="BMZ42" s="65"/>
      <c r="BNA42" s="65"/>
      <c r="BNB42" s="65"/>
      <c r="BNC42" s="65"/>
      <c r="BND42" s="37"/>
      <c r="BNE42" s="138"/>
      <c r="BNF42" s="37"/>
      <c r="BNG42" s="37"/>
      <c r="BNH42" s="37"/>
      <c r="BNI42" s="37"/>
      <c r="BNJ42" s="37"/>
      <c r="BNK42" s="75"/>
      <c r="BNL42" s="37"/>
      <c r="BNM42" s="37"/>
      <c r="BNN42" s="37"/>
      <c r="BNO42" s="37"/>
      <c r="BNP42" s="37"/>
      <c r="BNQ42" s="138"/>
      <c r="BNR42" s="37"/>
      <c r="BNS42" s="37"/>
      <c r="BNT42" s="37"/>
      <c r="BNU42" s="37"/>
      <c r="BNV42" s="37"/>
      <c r="BNW42" s="75"/>
      <c r="BNX42" s="37"/>
      <c r="BNY42" s="37"/>
      <c r="BNZ42" s="37"/>
      <c r="BOA42" s="37"/>
      <c r="BOB42" s="37"/>
      <c r="BOC42" s="38"/>
      <c r="BOD42" s="36"/>
      <c r="BOE42" s="65"/>
      <c r="BOF42" s="65"/>
      <c r="BOG42" s="65"/>
      <c r="BOH42" s="37"/>
      <c r="BOI42" s="133"/>
      <c r="BOJ42" s="37"/>
      <c r="BOK42" s="37"/>
      <c r="BOL42" s="37"/>
      <c r="BOM42" s="37"/>
      <c r="BON42" s="37"/>
      <c r="BOO42" s="138"/>
      <c r="BOP42" s="37"/>
      <c r="BOQ42" s="37"/>
      <c r="BOR42" s="37"/>
      <c r="BOS42" s="37"/>
      <c r="BOT42" s="37"/>
      <c r="BOU42" s="75"/>
      <c r="BOV42" s="37"/>
      <c r="BOW42" s="37"/>
      <c r="BOX42" s="37"/>
      <c r="BOY42" s="37"/>
      <c r="BOZ42" s="37"/>
      <c r="BPA42" s="138"/>
      <c r="BPB42" s="37"/>
      <c r="BPC42" s="37"/>
      <c r="BPD42" s="37"/>
      <c r="BPE42" s="37"/>
      <c r="BPF42" s="37"/>
      <c r="BPG42" s="75"/>
      <c r="BPH42" s="65"/>
      <c r="BPI42" s="65"/>
      <c r="BPJ42" s="65"/>
      <c r="BPK42" s="65"/>
      <c r="BPL42" s="37"/>
      <c r="BPM42" s="138"/>
      <c r="BPN42" s="37"/>
      <c r="BPO42" s="37"/>
      <c r="BPP42" s="37"/>
      <c r="BPQ42" s="37"/>
      <c r="BPR42" s="37"/>
      <c r="BPS42" s="75"/>
      <c r="BPT42" s="37"/>
      <c r="BPU42" s="37"/>
      <c r="BPV42" s="37"/>
      <c r="BPW42" s="37"/>
      <c r="BPX42" s="37"/>
      <c r="BPY42" s="138"/>
      <c r="BPZ42" s="37"/>
      <c r="BQA42" s="37"/>
      <c r="BQB42" s="37"/>
      <c r="BQC42" s="37"/>
      <c r="BQD42" s="37"/>
      <c r="BQE42" s="75"/>
      <c r="BQF42" s="37"/>
      <c r="BQG42" s="37"/>
      <c r="BQH42" s="37"/>
      <c r="BQI42" s="37"/>
      <c r="BQJ42" s="37"/>
      <c r="BQK42" s="38"/>
      <c r="BQL42" s="36"/>
      <c r="BQM42" s="65"/>
      <c r="BQN42" s="65"/>
      <c r="BQO42" s="65"/>
      <c r="BQP42" s="37"/>
      <c r="BQQ42" s="133"/>
      <c r="BQR42" s="37"/>
      <c r="BQS42" s="37"/>
      <c r="BQT42" s="37"/>
      <c r="BQU42" s="37"/>
      <c r="BQV42" s="37"/>
      <c r="BQW42" s="138"/>
      <c r="BQX42" s="37"/>
      <c r="BQY42" s="37"/>
      <c r="BQZ42" s="37"/>
      <c r="BRA42" s="37"/>
      <c r="BRB42" s="37"/>
      <c r="BRC42" s="75"/>
      <c r="BRD42" s="37"/>
      <c r="BRE42" s="37"/>
      <c r="BRF42" s="37"/>
      <c r="BRG42" s="37"/>
      <c r="BRH42" s="37"/>
      <c r="BRI42" s="138"/>
      <c r="BRJ42" s="37"/>
      <c r="BRK42" s="37"/>
      <c r="BRL42" s="37"/>
      <c r="BRM42" s="37"/>
      <c r="BRN42" s="37"/>
      <c r="BRO42" s="75"/>
      <c r="BRP42" s="65"/>
      <c r="BRQ42" s="65"/>
      <c r="BRR42" s="65"/>
      <c r="BRS42" s="65"/>
      <c r="BRT42" s="37"/>
      <c r="BRU42" s="138"/>
      <c r="BRV42" s="37"/>
      <c r="BRW42" s="37"/>
      <c r="BRX42" s="37"/>
      <c r="BRY42" s="37"/>
      <c r="BRZ42" s="37"/>
      <c r="BSA42" s="75"/>
      <c r="BSB42" s="37"/>
      <c r="BSC42" s="37"/>
      <c r="BSD42" s="37"/>
      <c r="BSE42" s="37"/>
      <c r="BSF42" s="37"/>
      <c r="BSG42" s="138"/>
      <c r="BSH42" s="37"/>
      <c r="BSI42" s="37"/>
      <c r="BSJ42" s="37"/>
      <c r="BSK42" s="37"/>
      <c r="BSL42" s="37"/>
      <c r="BSM42" s="75"/>
      <c r="BSN42" s="37"/>
      <c r="BSO42" s="37"/>
      <c r="BSP42" s="37"/>
      <c r="BSQ42" s="37"/>
      <c r="BSR42" s="37"/>
      <c r="BSS42" s="38"/>
      <c r="BST42" s="36"/>
      <c r="BSU42" s="65"/>
      <c r="BSV42" s="65"/>
      <c r="BSW42" s="65"/>
      <c r="BSX42" s="37"/>
      <c r="BSY42" s="133"/>
      <c r="BSZ42" s="37"/>
      <c r="BTA42" s="37"/>
      <c r="BTB42" s="37"/>
      <c r="BTC42" s="37"/>
      <c r="BTD42" s="37"/>
      <c r="BTE42" s="138"/>
      <c r="BTF42" s="37"/>
      <c r="BTG42" s="37"/>
      <c r="BTH42" s="37"/>
      <c r="BTI42" s="37"/>
      <c r="BTJ42" s="37"/>
      <c r="BTK42" s="75"/>
      <c r="BTL42" s="37"/>
      <c r="BTM42" s="37"/>
      <c r="BTN42" s="37"/>
      <c r="BTO42" s="37"/>
      <c r="BTP42" s="37"/>
      <c r="BTQ42" s="138"/>
      <c r="BTR42" s="37"/>
      <c r="BTS42" s="37"/>
      <c r="BTT42" s="37"/>
      <c r="BTU42" s="37"/>
      <c r="BTV42" s="37"/>
      <c r="BTW42" s="75"/>
      <c r="BTX42" s="65"/>
      <c r="BTY42" s="65"/>
      <c r="BTZ42" s="65"/>
      <c r="BUA42" s="65"/>
      <c r="BUB42" s="37"/>
      <c r="BUC42" s="138"/>
      <c r="BUD42" s="37"/>
      <c r="BUE42" s="37"/>
      <c r="BUF42" s="37"/>
      <c r="BUG42" s="37"/>
      <c r="BUH42" s="37"/>
      <c r="BUI42" s="75"/>
      <c r="BUJ42" s="37"/>
      <c r="BUK42" s="37"/>
      <c r="BUL42" s="37"/>
      <c r="BUM42" s="37"/>
      <c r="BUN42" s="37"/>
      <c r="BUO42" s="138"/>
      <c r="BUP42" s="37"/>
      <c r="BUQ42" s="37"/>
      <c r="BUR42" s="37"/>
      <c r="BUS42" s="37"/>
      <c r="BUT42" s="37"/>
      <c r="BUU42" s="75"/>
      <c r="BUV42" s="37"/>
      <c r="BUW42" s="37"/>
      <c r="BUX42" s="37"/>
      <c r="BUY42" s="37"/>
      <c r="BUZ42" s="37"/>
      <c r="BVA42" s="38"/>
      <c r="BVB42" s="36"/>
      <c r="BVC42" s="65"/>
      <c r="BVD42" s="65"/>
      <c r="BVE42" s="65"/>
      <c r="BVF42" s="37"/>
      <c r="BVG42" s="133"/>
      <c r="BVH42" s="37"/>
      <c r="BVI42" s="37"/>
      <c r="BVJ42" s="37"/>
      <c r="BVK42" s="37"/>
      <c r="BVL42" s="37"/>
      <c r="BVM42" s="138"/>
      <c r="BVN42" s="37"/>
      <c r="BVO42" s="37"/>
      <c r="BVP42" s="37"/>
      <c r="BVQ42" s="37"/>
      <c r="BVR42" s="37"/>
      <c r="BVS42" s="75"/>
      <c r="BVT42" s="37"/>
      <c r="BVU42" s="37"/>
      <c r="BVV42" s="37"/>
      <c r="BVW42" s="37"/>
      <c r="BVX42" s="37"/>
      <c r="BVY42" s="138"/>
      <c r="BVZ42" s="37"/>
      <c r="BWA42" s="37"/>
      <c r="BWB42" s="37"/>
      <c r="BWC42" s="37"/>
      <c r="BWD42" s="37"/>
      <c r="BWE42" s="75"/>
      <c r="BWF42" s="65"/>
      <c r="BWG42" s="65"/>
      <c r="BWH42" s="65"/>
      <c r="BWI42" s="65"/>
      <c r="BWJ42" s="37"/>
      <c r="BWK42" s="138"/>
      <c r="BWL42" s="37"/>
      <c r="BWM42" s="37"/>
      <c r="BWN42" s="37"/>
      <c r="BWO42" s="37"/>
      <c r="BWP42" s="37"/>
      <c r="BWQ42" s="75"/>
      <c r="BWR42" s="37"/>
      <c r="BWS42" s="37"/>
      <c r="BWT42" s="37"/>
      <c r="BWU42" s="37"/>
      <c r="BWV42" s="37"/>
      <c r="BWW42" s="138"/>
      <c r="BWX42" s="37"/>
      <c r="BWY42" s="37"/>
      <c r="BWZ42" s="37"/>
      <c r="BXA42" s="37"/>
      <c r="BXB42" s="37"/>
      <c r="BXC42" s="75"/>
      <c r="BXD42" s="37"/>
      <c r="BXE42" s="37"/>
      <c r="BXF42" s="37"/>
      <c r="BXG42" s="37"/>
      <c r="BXH42" s="37"/>
      <c r="BXI42" s="38"/>
      <c r="BXJ42" s="36"/>
      <c r="BXK42" s="65"/>
      <c r="BXL42" s="65"/>
      <c r="BXM42" s="65"/>
      <c r="BXN42" s="37"/>
      <c r="BXO42" s="133"/>
      <c r="BXP42" s="37"/>
      <c r="BXQ42" s="37"/>
      <c r="BXR42" s="37"/>
      <c r="BXS42" s="37"/>
      <c r="BXT42" s="37"/>
      <c r="BXU42" s="138"/>
      <c r="BXV42" s="37"/>
      <c r="BXW42" s="37"/>
      <c r="BXX42" s="37"/>
      <c r="BXY42" s="37"/>
      <c r="BXZ42" s="37"/>
      <c r="BYA42" s="75"/>
      <c r="BYB42" s="37"/>
      <c r="BYC42" s="37"/>
      <c r="BYD42" s="37"/>
      <c r="BYE42" s="37"/>
      <c r="BYF42" s="37"/>
      <c r="BYG42" s="138"/>
      <c r="BYH42" s="37"/>
      <c r="BYI42" s="37"/>
      <c r="BYJ42" s="37"/>
      <c r="BYK42" s="37"/>
      <c r="BYL42" s="37"/>
      <c r="BYM42" s="75"/>
      <c r="BYN42" s="65"/>
      <c r="BYO42" s="65"/>
      <c r="BYP42" s="65"/>
      <c r="BYQ42" s="65"/>
      <c r="BYR42" s="37"/>
      <c r="BYS42" s="138"/>
      <c r="BYT42" s="37"/>
      <c r="BYU42" s="37"/>
      <c r="BYV42" s="37"/>
      <c r="BYW42" s="37"/>
      <c r="BYX42" s="37"/>
      <c r="BYY42" s="75"/>
      <c r="BYZ42" s="37"/>
      <c r="BZA42" s="37"/>
      <c r="BZB42" s="37"/>
      <c r="BZC42" s="37"/>
      <c r="BZD42" s="37"/>
      <c r="BZE42" s="138"/>
      <c r="BZF42" s="37"/>
      <c r="BZG42" s="37"/>
      <c r="BZH42" s="37"/>
      <c r="BZI42" s="37"/>
      <c r="BZJ42" s="37"/>
      <c r="BZK42" s="75"/>
      <c r="BZL42" s="37"/>
      <c r="BZM42" s="37"/>
      <c r="BZN42" s="37"/>
      <c r="BZO42" s="37"/>
      <c r="BZP42" s="37"/>
      <c r="BZQ42" s="38"/>
      <c r="BZR42" s="36"/>
      <c r="BZS42" s="65"/>
      <c r="BZT42" s="65"/>
      <c r="BZU42" s="65"/>
      <c r="BZV42" s="37"/>
      <c r="BZW42" s="133"/>
      <c r="BZX42" s="37"/>
      <c r="BZY42" s="37"/>
      <c r="BZZ42" s="37"/>
      <c r="CAA42" s="37"/>
      <c r="CAB42" s="37"/>
      <c r="CAC42" s="138"/>
      <c r="CAD42" s="37"/>
      <c r="CAE42" s="37"/>
      <c r="CAF42" s="37"/>
      <c r="CAG42" s="37"/>
      <c r="CAH42" s="37"/>
      <c r="CAI42" s="75"/>
      <c r="CAJ42" s="37"/>
      <c r="CAK42" s="37"/>
      <c r="CAL42" s="37"/>
      <c r="CAM42" s="37"/>
      <c r="CAN42" s="37"/>
      <c r="CAO42" s="138"/>
      <c r="CAP42" s="37"/>
      <c r="CAQ42" s="37"/>
      <c r="CAR42" s="37"/>
      <c r="CAS42" s="37"/>
      <c r="CAT42" s="37"/>
      <c r="CAU42" s="75"/>
      <c r="CAV42" s="65"/>
      <c r="CAW42" s="65"/>
      <c r="CAX42" s="65"/>
      <c r="CAY42" s="65"/>
      <c r="CAZ42" s="37"/>
      <c r="CBA42" s="138"/>
      <c r="CBB42" s="37"/>
      <c r="CBC42" s="37"/>
      <c r="CBD42" s="37"/>
      <c r="CBE42" s="37"/>
      <c r="CBF42" s="37"/>
      <c r="CBG42" s="75"/>
      <c r="CBH42" s="37"/>
      <c r="CBI42" s="37"/>
      <c r="CBJ42" s="37"/>
      <c r="CBK42" s="37"/>
      <c r="CBL42" s="37"/>
      <c r="CBM42" s="138"/>
      <c r="CBN42" s="37"/>
      <c r="CBO42" s="37"/>
      <c r="CBP42" s="37"/>
      <c r="CBQ42" s="37"/>
      <c r="CBR42" s="37"/>
      <c r="CBS42" s="75"/>
      <c r="CBT42" s="37"/>
      <c r="CBU42" s="37"/>
      <c r="CBV42" s="37"/>
      <c r="CBW42" s="37"/>
      <c r="CBX42" s="37"/>
      <c r="CBY42" s="38"/>
      <c r="CBZ42" s="36"/>
      <c r="CCA42" s="65"/>
      <c r="CCB42" s="65"/>
      <c r="CCC42" s="65"/>
      <c r="CCD42" s="37"/>
      <c r="CCE42" s="133"/>
      <c r="CCF42" s="37"/>
      <c r="CCG42" s="37"/>
      <c r="CCH42" s="37"/>
      <c r="CCI42" s="37"/>
      <c r="CCJ42" s="37"/>
      <c r="CCK42" s="138"/>
      <c r="CCL42" s="37"/>
      <c r="CCM42" s="37"/>
      <c r="CCN42" s="37"/>
      <c r="CCO42" s="37"/>
      <c r="CCP42" s="37"/>
      <c r="CCQ42" s="75"/>
      <c r="CCR42" s="37"/>
      <c r="CCS42" s="37"/>
      <c r="CCT42" s="37"/>
      <c r="CCU42" s="37"/>
      <c r="CCV42" s="37"/>
      <c r="CCW42" s="138"/>
      <c r="CCX42" s="37"/>
      <c r="CCY42" s="37"/>
      <c r="CCZ42" s="37"/>
      <c r="CDA42" s="37"/>
      <c r="CDB42" s="37"/>
      <c r="CDC42" s="75"/>
      <c r="CDD42" s="65"/>
      <c r="CDE42" s="65"/>
      <c r="CDF42" s="65"/>
      <c r="CDG42" s="65"/>
      <c r="CDH42" s="37"/>
      <c r="CDI42" s="138"/>
      <c r="CDJ42" s="37"/>
      <c r="CDK42" s="37"/>
      <c r="CDL42" s="37"/>
      <c r="CDM42" s="37"/>
      <c r="CDN42" s="37"/>
      <c r="CDO42" s="75"/>
      <c r="CDP42" s="37"/>
      <c r="CDQ42" s="37"/>
      <c r="CDR42" s="37"/>
      <c r="CDS42" s="37"/>
      <c r="CDT42" s="37"/>
      <c r="CDU42" s="138"/>
      <c r="CDV42" s="37"/>
      <c r="CDW42" s="37"/>
      <c r="CDX42" s="37"/>
      <c r="CDY42" s="37"/>
      <c r="CDZ42" s="37"/>
      <c r="CEA42" s="75"/>
      <c r="CEB42" s="37"/>
      <c r="CEC42" s="37"/>
      <c r="CED42" s="37"/>
      <c r="CEE42" s="37"/>
      <c r="CEF42" s="37"/>
      <c r="CEG42" s="38"/>
      <c r="CEH42" s="36"/>
      <c r="CEI42" s="65"/>
      <c r="CEJ42" s="65"/>
      <c r="CEK42" s="65"/>
      <c r="CEL42" s="37"/>
      <c r="CEM42" s="133"/>
      <c r="CEN42" s="37"/>
      <c r="CEO42" s="37"/>
      <c r="CEP42" s="37"/>
      <c r="CEQ42" s="37"/>
      <c r="CER42" s="37"/>
      <c r="CES42" s="138"/>
      <c r="CET42" s="37"/>
      <c r="CEU42" s="37"/>
      <c r="CEV42" s="37"/>
      <c r="CEW42" s="37"/>
      <c r="CEX42" s="37"/>
      <c r="CEY42" s="75"/>
      <c r="CEZ42" s="37"/>
      <c r="CFA42" s="37"/>
      <c r="CFB42" s="37"/>
      <c r="CFC42" s="37"/>
      <c r="CFD42" s="37"/>
      <c r="CFE42" s="138"/>
      <c r="CFF42" s="37"/>
      <c r="CFG42" s="37"/>
      <c r="CFH42" s="37"/>
      <c r="CFI42" s="37"/>
      <c r="CFJ42" s="37"/>
      <c r="CFK42" s="75"/>
      <c r="CFL42" s="65"/>
      <c r="CFM42" s="65"/>
      <c r="CFN42" s="65"/>
      <c r="CFO42" s="65"/>
      <c r="CFP42" s="37"/>
      <c r="CFQ42" s="138"/>
      <c r="CFR42" s="37"/>
      <c r="CFS42" s="37"/>
      <c r="CFT42" s="37"/>
      <c r="CFU42" s="37"/>
      <c r="CFV42" s="37"/>
      <c r="CFW42" s="75"/>
      <c r="CFX42" s="37"/>
      <c r="CFY42" s="37"/>
      <c r="CFZ42" s="37"/>
      <c r="CGA42" s="37"/>
      <c r="CGB42" s="37"/>
      <c r="CGC42" s="138"/>
      <c r="CGD42" s="37"/>
      <c r="CGE42" s="37"/>
      <c r="CGF42" s="37"/>
      <c r="CGG42" s="37"/>
      <c r="CGH42" s="37"/>
      <c r="CGI42" s="75"/>
      <c r="CGJ42" s="37"/>
      <c r="CGK42" s="37"/>
      <c r="CGL42" s="37"/>
      <c r="CGM42" s="37"/>
      <c r="CGN42" s="37"/>
      <c r="CGO42" s="38"/>
      <c r="CGP42" s="36"/>
      <c r="CGQ42" s="65"/>
      <c r="CGR42" s="65"/>
      <c r="CGS42" s="65"/>
      <c r="CGT42" s="37"/>
      <c r="CGU42" s="133"/>
      <c r="CGV42" s="37"/>
      <c r="CGW42" s="37"/>
      <c r="CGX42" s="37"/>
      <c r="CGY42" s="37"/>
      <c r="CGZ42" s="37"/>
      <c r="CHA42" s="138"/>
      <c r="CHB42" s="37"/>
      <c r="CHC42" s="37"/>
      <c r="CHD42" s="37"/>
      <c r="CHE42" s="37"/>
      <c r="CHF42" s="37"/>
      <c r="CHG42" s="75"/>
      <c r="CHH42" s="37"/>
      <c r="CHI42" s="37"/>
      <c r="CHJ42" s="37"/>
      <c r="CHK42" s="37"/>
      <c r="CHL42" s="37"/>
      <c r="CHM42" s="138"/>
      <c r="CHN42" s="37"/>
      <c r="CHO42" s="37"/>
      <c r="CHP42" s="37"/>
      <c r="CHQ42" s="37"/>
      <c r="CHR42" s="37"/>
      <c r="CHS42" s="75"/>
      <c r="CHT42" s="65"/>
      <c r="CHU42" s="65"/>
      <c r="CHV42" s="65"/>
      <c r="CHW42" s="65"/>
      <c r="CHX42" s="37"/>
      <c r="CHY42" s="138"/>
      <c r="CHZ42" s="37"/>
      <c r="CIA42" s="37"/>
      <c r="CIB42" s="37"/>
      <c r="CIC42" s="37"/>
      <c r="CID42" s="37"/>
      <c r="CIE42" s="75"/>
      <c r="CIF42" s="37"/>
      <c r="CIG42" s="37"/>
      <c r="CIH42" s="37"/>
      <c r="CII42" s="37"/>
      <c r="CIJ42" s="37"/>
      <c r="CIK42" s="138"/>
      <c r="CIL42" s="37"/>
      <c r="CIM42" s="37"/>
      <c r="CIN42" s="37"/>
      <c r="CIO42" s="37"/>
      <c r="CIP42" s="37"/>
      <c r="CIQ42" s="75"/>
      <c r="CIR42" s="37"/>
      <c r="CIS42" s="37"/>
      <c r="CIT42" s="37"/>
      <c r="CIU42" s="37"/>
      <c r="CIV42" s="37"/>
      <c r="CIW42" s="38"/>
      <c r="CIX42" s="36"/>
      <c r="CIY42" s="65"/>
      <c r="CIZ42" s="65"/>
      <c r="CJA42" s="65"/>
      <c r="CJB42" s="37"/>
      <c r="CJC42" s="133"/>
      <c r="CJD42" s="37"/>
      <c r="CJE42" s="37"/>
      <c r="CJF42" s="37"/>
      <c r="CJG42" s="37"/>
      <c r="CJH42" s="37"/>
      <c r="CJI42" s="138"/>
      <c r="CJJ42" s="37"/>
      <c r="CJK42" s="37"/>
      <c r="CJL42" s="37"/>
      <c r="CJM42" s="37"/>
      <c r="CJN42" s="37"/>
      <c r="CJO42" s="75"/>
      <c r="CJP42" s="37"/>
      <c r="CJQ42" s="37"/>
      <c r="CJR42" s="37"/>
      <c r="CJS42" s="37"/>
      <c r="CJT42" s="37"/>
      <c r="CJU42" s="138"/>
      <c r="CJV42" s="37"/>
      <c r="CJW42" s="37"/>
      <c r="CJX42" s="37"/>
      <c r="CJY42" s="37"/>
      <c r="CJZ42" s="37"/>
      <c r="CKA42" s="75"/>
      <c r="CKB42" s="65"/>
      <c r="CKC42" s="65"/>
      <c r="CKD42" s="65"/>
      <c r="CKE42" s="65"/>
      <c r="CKF42" s="37"/>
      <c r="CKG42" s="138"/>
      <c r="CKH42" s="37"/>
      <c r="CKI42" s="37"/>
      <c r="CKJ42" s="37"/>
      <c r="CKK42" s="37"/>
      <c r="CKL42" s="37"/>
      <c r="CKM42" s="75"/>
      <c r="CKN42" s="37"/>
      <c r="CKO42" s="37"/>
      <c r="CKP42" s="37"/>
      <c r="CKQ42" s="37"/>
      <c r="CKR42" s="37"/>
      <c r="CKS42" s="138"/>
      <c r="CKT42" s="37"/>
      <c r="CKU42" s="37"/>
      <c r="CKV42" s="37"/>
      <c r="CKW42" s="37"/>
      <c r="CKX42" s="37"/>
      <c r="CKY42" s="75"/>
      <c r="CKZ42" s="37"/>
      <c r="CLA42" s="37"/>
      <c r="CLB42" s="37"/>
      <c r="CLC42" s="37"/>
      <c r="CLD42" s="37"/>
      <c r="CLE42" s="38"/>
      <c r="CLF42" s="36"/>
      <c r="CLG42" s="65"/>
      <c r="CLH42" s="65"/>
      <c r="CLI42" s="65"/>
      <c r="CLJ42" s="37"/>
      <c r="CLK42" s="133"/>
      <c r="CLL42" s="37"/>
      <c r="CLM42" s="37"/>
      <c r="CLN42" s="37"/>
      <c r="CLO42" s="37"/>
      <c r="CLP42" s="37"/>
      <c r="CLQ42" s="138"/>
      <c r="CLR42" s="37"/>
      <c r="CLS42" s="37"/>
      <c r="CLT42" s="37"/>
      <c r="CLU42" s="37"/>
      <c r="CLV42" s="37"/>
      <c r="CLW42" s="75"/>
      <c r="CLX42" s="37"/>
      <c r="CLY42" s="37"/>
      <c r="CLZ42" s="37"/>
      <c r="CMA42" s="37"/>
      <c r="CMB42" s="37"/>
      <c r="CMC42" s="138"/>
      <c r="CMD42" s="37"/>
      <c r="CME42" s="37"/>
      <c r="CMF42" s="37"/>
      <c r="CMG42" s="37"/>
      <c r="CMH42" s="37"/>
      <c r="CMI42" s="75"/>
      <c r="CMJ42" s="65"/>
      <c r="CMK42" s="65"/>
      <c r="CML42" s="65"/>
      <c r="CMM42" s="65"/>
      <c r="CMN42" s="37"/>
      <c r="CMO42" s="138"/>
      <c r="CMP42" s="37"/>
      <c r="CMQ42" s="37"/>
      <c r="CMR42" s="37"/>
      <c r="CMS42" s="37"/>
      <c r="CMT42" s="37"/>
      <c r="CMU42" s="75"/>
      <c r="CMV42" s="37"/>
      <c r="CMW42" s="37"/>
      <c r="CMX42" s="37"/>
      <c r="CMY42" s="37"/>
      <c r="CMZ42" s="37"/>
      <c r="CNA42" s="138"/>
      <c r="CNB42" s="37"/>
      <c r="CNC42" s="37"/>
      <c r="CND42" s="37"/>
      <c r="CNE42" s="37"/>
      <c r="CNF42" s="37"/>
      <c r="CNG42" s="75"/>
      <c r="CNH42" s="37"/>
      <c r="CNI42" s="37"/>
      <c r="CNJ42" s="37"/>
      <c r="CNK42" s="37"/>
      <c r="CNL42" s="37"/>
      <c r="CNM42" s="38"/>
      <c r="CNN42" s="36"/>
      <c r="CNO42" s="65"/>
      <c r="CNP42" s="65"/>
      <c r="CNQ42" s="65"/>
      <c r="CNR42" s="37"/>
      <c r="CNS42" s="133"/>
      <c r="CNT42" s="37"/>
      <c r="CNU42" s="37"/>
      <c r="CNV42" s="37"/>
      <c r="CNW42" s="37"/>
      <c r="CNX42" s="37"/>
      <c r="CNY42" s="138"/>
      <c r="CNZ42" s="37"/>
      <c r="COA42" s="37"/>
      <c r="COB42" s="37"/>
      <c r="COC42" s="37"/>
      <c r="COD42" s="37"/>
      <c r="COE42" s="75"/>
      <c r="COF42" s="37"/>
      <c r="COG42" s="37"/>
      <c r="COH42" s="37"/>
      <c r="COI42" s="37"/>
      <c r="COJ42" s="37"/>
      <c r="COK42" s="138"/>
      <c r="COL42" s="37"/>
      <c r="COM42" s="37"/>
      <c r="CON42" s="37"/>
      <c r="COO42" s="37"/>
      <c r="COP42" s="37"/>
      <c r="COQ42" s="75"/>
      <c r="COR42" s="65"/>
      <c r="COS42" s="65"/>
      <c r="COT42" s="65"/>
      <c r="COU42" s="65"/>
      <c r="COV42" s="37"/>
      <c r="COW42" s="138"/>
      <c r="COX42" s="37"/>
      <c r="COY42" s="37"/>
      <c r="COZ42" s="37"/>
      <c r="CPA42" s="37"/>
      <c r="CPB42" s="37"/>
      <c r="CPC42" s="75"/>
      <c r="CPD42" s="37"/>
      <c r="CPE42" s="37"/>
      <c r="CPF42" s="37"/>
      <c r="CPG42" s="37"/>
      <c r="CPH42" s="37"/>
      <c r="CPI42" s="138"/>
      <c r="CPJ42" s="37"/>
      <c r="CPK42" s="37"/>
      <c r="CPL42" s="37"/>
      <c r="CPM42" s="37"/>
      <c r="CPN42" s="37"/>
      <c r="CPO42" s="75"/>
      <c r="CPP42" s="37"/>
      <c r="CPQ42" s="37"/>
      <c r="CPR42" s="37"/>
      <c r="CPS42" s="37"/>
      <c r="CPT42" s="37"/>
      <c r="CPU42" s="38"/>
      <c r="CPV42" s="36"/>
      <c r="CPW42" s="65"/>
      <c r="CPX42" s="65"/>
      <c r="CPY42" s="65"/>
      <c r="CPZ42" s="37"/>
      <c r="CQA42" s="133"/>
      <c r="CQB42" s="37"/>
      <c r="CQC42" s="37"/>
      <c r="CQD42" s="37"/>
      <c r="CQE42" s="37"/>
      <c r="CQF42" s="37"/>
      <c r="CQG42" s="138"/>
      <c r="CQH42" s="37"/>
      <c r="CQI42" s="37"/>
      <c r="CQJ42" s="37"/>
      <c r="CQK42" s="37"/>
      <c r="CQL42" s="37"/>
      <c r="CQM42" s="75"/>
      <c r="CQN42" s="37"/>
      <c r="CQO42" s="37"/>
      <c r="CQP42" s="37"/>
      <c r="CQQ42" s="37"/>
      <c r="CQR42" s="37"/>
      <c r="CQS42" s="138"/>
      <c r="CQT42" s="37"/>
      <c r="CQU42" s="37"/>
      <c r="CQV42" s="37"/>
      <c r="CQW42" s="37"/>
      <c r="CQX42" s="37"/>
      <c r="CQY42" s="75"/>
      <c r="CQZ42" s="65"/>
      <c r="CRA42" s="65"/>
      <c r="CRB42" s="65"/>
      <c r="CRC42" s="65"/>
      <c r="CRD42" s="37"/>
      <c r="CRE42" s="138"/>
      <c r="CRF42" s="37"/>
      <c r="CRG42" s="37"/>
      <c r="CRH42" s="37"/>
      <c r="CRI42" s="37"/>
      <c r="CRJ42" s="37"/>
      <c r="CRK42" s="75"/>
      <c r="CRL42" s="37"/>
      <c r="CRM42" s="37"/>
      <c r="CRN42" s="37"/>
      <c r="CRO42" s="37"/>
      <c r="CRP42" s="37"/>
      <c r="CRQ42" s="138"/>
      <c r="CRR42" s="37"/>
      <c r="CRS42" s="37"/>
      <c r="CRT42" s="37"/>
      <c r="CRU42" s="37"/>
      <c r="CRV42" s="37"/>
      <c r="CRW42" s="75"/>
      <c r="CRX42" s="37"/>
      <c r="CRY42" s="37"/>
      <c r="CRZ42" s="37"/>
      <c r="CSA42" s="37"/>
      <c r="CSB42" s="37"/>
      <c r="CSC42" s="38"/>
      <c r="CSD42" s="90"/>
    </row>
    <row r="43" spans="1:2526" ht="20.100000000000001" customHeight="1" x14ac:dyDescent="0.25">
      <c r="A43" s="100" t="s">
        <v>18</v>
      </c>
      <c r="B43" s="63" t="str">
        <f>IF(LEN(C71)=0,"",C71)</f>
        <v/>
      </c>
      <c r="C43" s="211" t="s">
        <v>53</v>
      </c>
      <c r="D43" s="146"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32"/>
      <c r="BLW43" s="64"/>
      <c r="BLX43" s="64"/>
      <c r="BLY43" s="64"/>
      <c r="BLZ43" s="33"/>
      <c r="BMA43" s="132"/>
      <c r="BMB43" s="33"/>
      <c r="BMC43" s="33"/>
      <c r="BMD43" s="33"/>
      <c r="BME43" s="33"/>
      <c r="BMF43" s="33"/>
      <c r="BMG43" s="137"/>
      <c r="BMH43" s="33"/>
      <c r="BMI43" s="33"/>
      <c r="BMJ43" s="33"/>
      <c r="BMK43" s="33"/>
      <c r="BML43" s="33"/>
      <c r="BMM43" s="74"/>
      <c r="BMN43" s="33"/>
      <c r="BMO43" s="33"/>
      <c r="BMP43" s="33"/>
      <c r="BMQ43" s="33"/>
      <c r="BMR43" s="33"/>
      <c r="BMS43" s="137"/>
      <c r="BMT43" s="33"/>
      <c r="BMU43" s="33"/>
      <c r="BMV43" s="33"/>
      <c r="BMW43" s="33"/>
      <c r="BMX43" s="33"/>
      <c r="BMY43" s="74"/>
      <c r="BMZ43" s="64"/>
      <c r="BNA43" s="64"/>
      <c r="BNB43" s="64"/>
      <c r="BNC43" s="64"/>
      <c r="BND43" s="33"/>
      <c r="BNE43" s="137"/>
      <c r="BNF43" s="33"/>
      <c r="BNG43" s="33"/>
      <c r="BNH43" s="33"/>
      <c r="BNI43" s="33"/>
      <c r="BNJ43" s="33"/>
      <c r="BNK43" s="74"/>
      <c r="BNL43" s="33"/>
      <c r="BNM43" s="33"/>
      <c r="BNN43" s="33"/>
      <c r="BNO43" s="33"/>
      <c r="BNP43" s="33"/>
      <c r="BNQ43" s="137"/>
      <c r="BNR43" s="33"/>
      <c r="BNS43" s="33"/>
      <c r="BNT43" s="33"/>
      <c r="BNU43" s="33"/>
      <c r="BNV43" s="33"/>
      <c r="BNW43" s="74"/>
      <c r="BNX43" s="33"/>
      <c r="BNY43" s="33"/>
      <c r="BNZ43" s="33"/>
      <c r="BOA43" s="33"/>
      <c r="BOB43" s="33"/>
      <c r="BOC43" s="34"/>
      <c r="BOD43" s="32"/>
      <c r="BOE43" s="64"/>
      <c r="BOF43" s="64"/>
      <c r="BOG43" s="64"/>
      <c r="BOH43" s="33"/>
      <c r="BOI43" s="132"/>
      <c r="BOJ43" s="33"/>
      <c r="BOK43" s="33"/>
      <c r="BOL43" s="33"/>
      <c r="BOM43" s="33"/>
      <c r="BON43" s="33"/>
      <c r="BOO43" s="137"/>
      <c r="BOP43" s="33"/>
      <c r="BOQ43" s="33"/>
      <c r="BOR43" s="33"/>
      <c r="BOS43" s="33"/>
      <c r="BOT43" s="33"/>
      <c r="BOU43" s="74"/>
      <c r="BOV43" s="33"/>
      <c r="BOW43" s="33"/>
      <c r="BOX43" s="33"/>
      <c r="BOY43" s="33"/>
      <c r="BOZ43" s="33"/>
      <c r="BPA43" s="137"/>
      <c r="BPB43" s="33"/>
      <c r="BPC43" s="33"/>
      <c r="BPD43" s="33"/>
      <c r="BPE43" s="33"/>
      <c r="BPF43" s="33"/>
      <c r="BPG43" s="74"/>
      <c r="BPH43" s="64"/>
      <c r="BPI43" s="64"/>
      <c r="BPJ43" s="64"/>
      <c r="BPK43" s="64"/>
      <c r="BPL43" s="33"/>
      <c r="BPM43" s="137"/>
      <c r="BPN43" s="33"/>
      <c r="BPO43" s="33"/>
      <c r="BPP43" s="33"/>
      <c r="BPQ43" s="33"/>
      <c r="BPR43" s="33"/>
      <c r="BPS43" s="74"/>
      <c r="BPT43" s="33"/>
      <c r="BPU43" s="33"/>
      <c r="BPV43" s="33"/>
      <c r="BPW43" s="33"/>
      <c r="BPX43" s="33"/>
      <c r="BPY43" s="137"/>
      <c r="BPZ43" s="33"/>
      <c r="BQA43" s="33"/>
      <c r="BQB43" s="33"/>
      <c r="BQC43" s="33"/>
      <c r="BQD43" s="33"/>
      <c r="BQE43" s="74"/>
      <c r="BQF43" s="33"/>
      <c r="BQG43" s="33"/>
      <c r="BQH43" s="33"/>
      <c r="BQI43" s="33"/>
      <c r="BQJ43" s="33"/>
      <c r="BQK43" s="34"/>
      <c r="BQL43" s="32"/>
      <c r="BQM43" s="64"/>
      <c r="BQN43" s="64"/>
      <c r="BQO43" s="64"/>
      <c r="BQP43" s="33"/>
      <c r="BQQ43" s="132"/>
      <c r="BQR43" s="33"/>
      <c r="BQS43" s="33"/>
      <c r="BQT43" s="33"/>
      <c r="BQU43" s="33"/>
      <c r="BQV43" s="33"/>
      <c r="BQW43" s="137"/>
      <c r="BQX43" s="33"/>
      <c r="BQY43" s="33"/>
      <c r="BQZ43" s="33"/>
      <c r="BRA43" s="33"/>
      <c r="BRB43" s="33"/>
      <c r="BRC43" s="74"/>
      <c r="BRD43" s="33"/>
      <c r="BRE43" s="33"/>
      <c r="BRF43" s="33"/>
      <c r="BRG43" s="33"/>
      <c r="BRH43" s="33"/>
      <c r="BRI43" s="137"/>
      <c r="BRJ43" s="33"/>
      <c r="BRK43" s="33"/>
      <c r="BRL43" s="33"/>
      <c r="BRM43" s="33"/>
      <c r="BRN43" s="33"/>
      <c r="BRO43" s="74"/>
      <c r="BRP43" s="64"/>
      <c r="BRQ43" s="64"/>
      <c r="BRR43" s="64"/>
      <c r="BRS43" s="64"/>
      <c r="BRT43" s="33"/>
      <c r="BRU43" s="137"/>
      <c r="BRV43" s="33"/>
      <c r="BRW43" s="33"/>
      <c r="BRX43" s="33"/>
      <c r="BRY43" s="33"/>
      <c r="BRZ43" s="33"/>
      <c r="BSA43" s="74"/>
      <c r="BSB43" s="33"/>
      <c r="BSC43" s="33"/>
      <c r="BSD43" s="33"/>
      <c r="BSE43" s="33"/>
      <c r="BSF43" s="33"/>
      <c r="BSG43" s="137"/>
      <c r="BSH43" s="33"/>
      <c r="BSI43" s="33"/>
      <c r="BSJ43" s="33"/>
      <c r="BSK43" s="33"/>
      <c r="BSL43" s="33"/>
      <c r="BSM43" s="74"/>
      <c r="BSN43" s="33"/>
      <c r="BSO43" s="33"/>
      <c r="BSP43" s="33"/>
      <c r="BSQ43" s="33"/>
      <c r="BSR43" s="33"/>
      <c r="BSS43" s="34"/>
      <c r="BST43" s="32"/>
      <c r="BSU43" s="64"/>
      <c r="BSV43" s="64"/>
      <c r="BSW43" s="64"/>
      <c r="BSX43" s="33"/>
      <c r="BSY43" s="132"/>
      <c r="BSZ43" s="33"/>
      <c r="BTA43" s="33"/>
      <c r="BTB43" s="33"/>
      <c r="BTC43" s="33"/>
      <c r="BTD43" s="33"/>
      <c r="BTE43" s="137"/>
      <c r="BTF43" s="33"/>
      <c r="BTG43" s="33"/>
      <c r="BTH43" s="33"/>
      <c r="BTI43" s="33"/>
      <c r="BTJ43" s="33"/>
      <c r="BTK43" s="74"/>
      <c r="BTL43" s="33"/>
      <c r="BTM43" s="33"/>
      <c r="BTN43" s="33"/>
      <c r="BTO43" s="33"/>
      <c r="BTP43" s="33"/>
      <c r="BTQ43" s="137"/>
      <c r="BTR43" s="33"/>
      <c r="BTS43" s="33"/>
      <c r="BTT43" s="33"/>
      <c r="BTU43" s="33"/>
      <c r="BTV43" s="33"/>
      <c r="BTW43" s="74"/>
      <c r="BTX43" s="64"/>
      <c r="BTY43" s="64"/>
      <c r="BTZ43" s="64"/>
      <c r="BUA43" s="64"/>
      <c r="BUB43" s="33"/>
      <c r="BUC43" s="137"/>
      <c r="BUD43" s="33"/>
      <c r="BUE43" s="33"/>
      <c r="BUF43" s="33"/>
      <c r="BUG43" s="33"/>
      <c r="BUH43" s="33"/>
      <c r="BUI43" s="74"/>
      <c r="BUJ43" s="33"/>
      <c r="BUK43" s="33"/>
      <c r="BUL43" s="33"/>
      <c r="BUM43" s="33"/>
      <c r="BUN43" s="33"/>
      <c r="BUO43" s="137"/>
      <c r="BUP43" s="33"/>
      <c r="BUQ43" s="33"/>
      <c r="BUR43" s="33"/>
      <c r="BUS43" s="33"/>
      <c r="BUT43" s="33"/>
      <c r="BUU43" s="74"/>
      <c r="BUV43" s="33"/>
      <c r="BUW43" s="33"/>
      <c r="BUX43" s="33"/>
      <c r="BUY43" s="33"/>
      <c r="BUZ43" s="33"/>
      <c r="BVA43" s="34"/>
      <c r="BVB43" s="32"/>
      <c r="BVC43" s="64"/>
      <c r="BVD43" s="64"/>
      <c r="BVE43" s="64"/>
      <c r="BVF43" s="33"/>
      <c r="BVG43" s="132"/>
      <c r="BVH43" s="33"/>
      <c r="BVI43" s="33"/>
      <c r="BVJ43" s="33"/>
      <c r="BVK43" s="33"/>
      <c r="BVL43" s="33"/>
      <c r="BVM43" s="137"/>
      <c r="BVN43" s="33"/>
      <c r="BVO43" s="33"/>
      <c r="BVP43" s="33"/>
      <c r="BVQ43" s="33"/>
      <c r="BVR43" s="33"/>
      <c r="BVS43" s="74"/>
      <c r="BVT43" s="33"/>
      <c r="BVU43" s="33"/>
      <c r="BVV43" s="33"/>
      <c r="BVW43" s="33"/>
      <c r="BVX43" s="33"/>
      <c r="BVY43" s="137"/>
      <c r="BVZ43" s="33"/>
      <c r="BWA43" s="33"/>
      <c r="BWB43" s="33"/>
      <c r="BWC43" s="33"/>
      <c r="BWD43" s="33"/>
      <c r="BWE43" s="74"/>
      <c r="BWF43" s="64"/>
      <c r="BWG43" s="64"/>
      <c r="BWH43" s="64"/>
      <c r="BWI43" s="64"/>
      <c r="BWJ43" s="33"/>
      <c r="BWK43" s="137"/>
      <c r="BWL43" s="33"/>
      <c r="BWM43" s="33"/>
      <c r="BWN43" s="33"/>
      <c r="BWO43" s="33"/>
      <c r="BWP43" s="33"/>
      <c r="BWQ43" s="74"/>
      <c r="BWR43" s="33"/>
      <c r="BWS43" s="33"/>
      <c r="BWT43" s="33"/>
      <c r="BWU43" s="33"/>
      <c r="BWV43" s="33"/>
      <c r="BWW43" s="137"/>
      <c r="BWX43" s="33"/>
      <c r="BWY43" s="33"/>
      <c r="BWZ43" s="33"/>
      <c r="BXA43" s="33"/>
      <c r="BXB43" s="33"/>
      <c r="BXC43" s="74"/>
      <c r="BXD43" s="33"/>
      <c r="BXE43" s="33"/>
      <c r="BXF43" s="33"/>
      <c r="BXG43" s="33"/>
      <c r="BXH43" s="33"/>
      <c r="BXI43" s="34"/>
      <c r="BXJ43" s="32"/>
      <c r="BXK43" s="64"/>
      <c r="BXL43" s="64"/>
      <c r="BXM43" s="64"/>
      <c r="BXN43" s="33"/>
      <c r="BXO43" s="132"/>
      <c r="BXP43" s="33"/>
      <c r="BXQ43" s="33"/>
      <c r="BXR43" s="33"/>
      <c r="BXS43" s="33"/>
      <c r="BXT43" s="33"/>
      <c r="BXU43" s="137"/>
      <c r="BXV43" s="33"/>
      <c r="BXW43" s="33"/>
      <c r="BXX43" s="33"/>
      <c r="BXY43" s="33"/>
      <c r="BXZ43" s="33"/>
      <c r="BYA43" s="74"/>
      <c r="BYB43" s="33"/>
      <c r="BYC43" s="33"/>
      <c r="BYD43" s="33"/>
      <c r="BYE43" s="33"/>
      <c r="BYF43" s="33"/>
      <c r="BYG43" s="137"/>
      <c r="BYH43" s="33"/>
      <c r="BYI43" s="33"/>
      <c r="BYJ43" s="33"/>
      <c r="BYK43" s="33"/>
      <c r="BYL43" s="33"/>
      <c r="BYM43" s="74"/>
      <c r="BYN43" s="64"/>
      <c r="BYO43" s="64"/>
      <c r="BYP43" s="64"/>
      <c r="BYQ43" s="64"/>
      <c r="BYR43" s="33"/>
      <c r="BYS43" s="137"/>
      <c r="BYT43" s="33"/>
      <c r="BYU43" s="33"/>
      <c r="BYV43" s="33"/>
      <c r="BYW43" s="33"/>
      <c r="BYX43" s="33"/>
      <c r="BYY43" s="74"/>
      <c r="BYZ43" s="33"/>
      <c r="BZA43" s="33"/>
      <c r="BZB43" s="33"/>
      <c r="BZC43" s="33"/>
      <c r="BZD43" s="33"/>
      <c r="BZE43" s="137"/>
      <c r="BZF43" s="33"/>
      <c r="BZG43" s="33"/>
      <c r="BZH43" s="33"/>
      <c r="BZI43" s="33"/>
      <c r="BZJ43" s="33"/>
      <c r="BZK43" s="74"/>
      <c r="BZL43" s="33"/>
      <c r="BZM43" s="33"/>
      <c r="BZN43" s="33"/>
      <c r="BZO43" s="33"/>
      <c r="BZP43" s="33"/>
      <c r="BZQ43" s="34"/>
      <c r="BZR43" s="32"/>
      <c r="BZS43" s="64"/>
      <c r="BZT43" s="64"/>
      <c r="BZU43" s="64"/>
      <c r="BZV43" s="33"/>
      <c r="BZW43" s="132"/>
      <c r="BZX43" s="33"/>
      <c r="BZY43" s="33"/>
      <c r="BZZ43" s="33"/>
      <c r="CAA43" s="33"/>
      <c r="CAB43" s="33"/>
      <c r="CAC43" s="137"/>
      <c r="CAD43" s="33"/>
      <c r="CAE43" s="33"/>
      <c r="CAF43" s="33"/>
      <c r="CAG43" s="33"/>
      <c r="CAH43" s="33"/>
      <c r="CAI43" s="74"/>
      <c r="CAJ43" s="33"/>
      <c r="CAK43" s="33"/>
      <c r="CAL43" s="33"/>
      <c r="CAM43" s="33"/>
      <c r="CAN43" s="33"/>
      <c r="CAO43" s="137"/>
      <c r="CAP43" s="33"/>
      <c r="CAQ43" s="33"/>
      <c r="CAR43" s="33"/>
      <c r="CAS43" s="33"/>
      <c r="CAT43" s="33"/>
      <c r="CAU43" s="74"/>
      <c r="CAV43" s="64"/>
      <c r="CAW43" s="64"/>
      <c r="CAX43" s="64"/>
      <c r="CAY43" s="64"/>
      <c r="CAZ43" s="33"/>
      <c r="CBA43" s="137"/>
      <c r="CBB43" s="33"/>
      <c r="CBC43" s="33"/>
      <c r="CBD43" s="33"/>
      <c r="CBE43" s="33"/>
      <c r="CBF43" s="33"/>
      <c r="CBG43" s="74"/>
      <c r="CBH43" s="33"/>
      <c r="CBI43" s="33"/>
      <c r="CBJ43" s="33"/>
      <c r="CBK43" s="33"/>
      <c r="CBL43" s="33"/>
      <c r="CBM43" s="137"/>
      <c r="CBN43" s="33"/>
      <c r="CBO43" s="33"/>
      <c r="CBP43" s="33"/>
      <c r="CBQ43" s="33"/>
      <c r="CBR43" s="33"/>
      <c r="CBS43" s="74"/>
      <c r="CBT43" s="33"/>
      <c r="CBU43" s="33"/>
      <c r="CBV43" s="33"/>
      <c r="CBW43" s="33"/>
      <c r="CBX43" s="33"/>
      <c r="CBY43" s="34"/>
      <c r="CBZ43" s="32"/>
      <c r="CCA43" s="64"/>
      <c r="CCB43" s="64"/>
      <c r="CCC43" s="64"/>
      <c r="CCD43" s="33"/>
      <c r="CCE43" s="132"/>
      <c r="CCF43" s="33"/>
      <c r="CCG43" s="33"/>
      <c r="CCH43" s="33"/>
      <c r="CCI43" s="33"/>
      <c r="CCJ43" s="33"/>
      <c r="CCK43" s="137"/>
      <c r="CCL43" s="33"/>
      <c r="CCM43" s="33"/>
      <c r="CCN43" s="33"/>
      <c r="CCO43" s="33"/>
      <c r="CCP43" s="33"/>
      <c r="CCQ43" s="74"/>
      <c r="CCR43" s="33"/>
      <c r="CCS43" s="33"/>
      <c r="CCT43" s="33"/>
      <c r="CCU43" s="33"/>
      <c r="CCV43" s="33"/>
      <c r="CCW43" s="137"/>
      <c r="CCX43" s="33"/>
      <c r="CCY43" s="33"/>
      <c r="CCZ43" s="33"/>
      <c r="CDA43" s="33"/>
      <c r="CDB43" s="33"/>
      <c r="CDC43" s="74"/>
      <c r="CDD43" s="64"/>
      <c r="CDE43" s="64"/>
      <c r="CDF43" s="64"/>
      <c r="CDG43" s="64"/>
      <c r="CDH43" s="33"/>
      <c r="CDI43" s="137"/>
      <c r="CDJ43" s="33"/>
      <c r="CDK43" s="33"/>
      <c r="CDL43" s="33"/>
      <c r="CDM43" s="33"/>
      <c r="CDN43" s="33"/>
      <c r="CDO43" s="74"/>
      <c r="CDP43" s="33"/>
      <c r="CDQ43" s="33"/>
      <c r="CDR43" s="33"/>
      <c r="CDS43" s="33"/>
      <c r="CDT43" s="33"/>
      <c r="CDU43" s="137"/>
      <c r="CDV43" s="33"/>
      <c r="CDW43" s="33"/>
      <c r="CDX43" s="33"/>
      <c r="CDY43" s="33"/>
      <c r="CDZ43" s="33"/>
      <c r="CEA43" s="74"/>
      <c r="CEB43" s="33"/>
      <c r="CEC43" s="33"/>
      <c r="CED43" s="33"/>
      <c r="CEE43" s="33"/>
      <c r="CEF43" s="33"/>
      <c r="CEG43" s="34"/>
      <c r="CEH43" s="32"/>
      <c r="CEI43" s="64"/>
      <c r="CEJ43" s="64"/>
      <c r="CEK43" s="64"/>
      <c r="CEL43" s="33"/>
      <c r="CEM43" s="132"/>
      <c r="CEN43" s="33"/>
      <c r="CEO43" s="33"/>
      <c r="CEP43" s="33"/>
      <c r="CEQ43" s="33"/>
      <c r="CER43" s="33"/>
      <c r="CES43" s="137"/>
      <c r="CET43" s="33"/>
      <c r="CEU43" s="33"/>
      <c r="CEV43" s="33"/>
      <c r="CEW43" s="33"/>
      <c r="CEX43" s="33"/>
      <c r="CEY43" s="74"/>
      <c r="CEZ43" s="33"/>
      <c r="CFA43" s="33"/>
      <c r="CFB43" s="33"/>
      <c r="CFC43" s="33"/>
      <c r="CFD43" s="33"/>
      <c r="CFE43" s="137"/>
      <c r="CFF43" s="33"/>
      <c r="CFG43" s="33"/>
      <c r="CFH43" s="33"/>
      <c r="CFI43" s="33"/>
      <c r="CFJ43" s="33"/>
      <c r="CFK43" s="74"/>
      <c r="CFL43" s="64"/>
      <c r="CFM43" s="64"/>
      <c r="CFN43" s="64"/>
      <c r="CFO43" s="64"/>
      <c r="CFP43" s="33"/>
      <c r="CFQ43" s="137"/>
      <c r="CFR43" s="33"/>
      <c r="CFS43" s="33"/>
      <c r="CFT43" s="33"/>
      <c r="CFU43" s="33"/>
      <c r="CFV43" s="33"/>
      <c r="CFW43" s="74"/>
      <c r="CFX43" s="33"/>
      <c r="CFY43" s="33"/>
      <c r="CFZ43" s="33"/>
      <c r="CGA43" s="33"/>
      <c r="CGB43" s="33"/>
      <c r="CGC43" s="137"/>
      <c r="CGD43" s="33"/>
      <c r="CGE43" s="33"/>
      <c r="CGF43" s="33"/>
      <c r="CGG43" s="33"/>
      <c r="CGH43" s="33"/>
      <c r="CGI43" s="74"/>
      <c r="CGJ43" s="33"/>
      <c r="CGK43" s="33"/>
      <c r="CGL43" s="33"/>
      <c r="CGM43" s="33"/>
      <c r="CGN43" s="33"/>
      <c r="CGO43" s="34"/>
      <c r="CGP43" s="32"/>
      <c r="CGQ43" s="64"/>
      <c r="CGR43" s="64"/>
      <c r="CGS43" s="64"/>
      <c r="CGT43" s="33"/>
      <c r="CGU43" s="132"/>
      <c r="CGV43" s="33"/>
      <c r="CGW43" s="33"/>
      <c r="CGX43" s="33"/>
      <c r="CGY43" s="33"/>
      <c r="CGZ43" s="33"/>
      <c r="CHA43" s="137"/>
      <c r="CHB43" s="33"/>
      <c r="CHC43" s="33"/>
      <c r="CHD43" s="33"/>
      <c r="CHE43" s="33"/>
      <c r="CHF43" s="33"/>
      <c r="CHG43" s="74"/>
      <c r="CHH43" s="33"/>
      <c r="CHI43" s="33"/>
      <c r="CHJ43" s="33"/>
      <c r="CHK43" s="33"/>
      <c r="CHL43" s="33"/>
      <c r="CHM43" s="137"/>
      <c r="CHN43" s="33"/>
      <c r="CHO43" s="33"/>
      <c r="CHP43" s="33"/>
      <c r="CHQ43" s="33"/>
      <c r="CHR43" s="33"/>
      <c r="CHS43" s="74"/>
      <c r="CHT43" s="64"/>
      <c r="CHU43" s="64"/>
      <c r="CHV43" s="64"/>
      <c r="CHW43" s="64"/>
      <c r="CHX43" s="33"/>
      <c r="CHY43" s="137"/>
      <c r="CHZ43" s="33"/>
      <c r="CIA43" s="33"/>
      <c r="CIB43" s="33"/>
      <c r="CIC43" s="33"/>
      <c r="CID43" s="33"/>
      <c r="CIE43" s="74"/>
      <c r="CIF43" s="33"/>
      <c r="CIG43" s="33"/>
      <c r="CIH43" s="33"/>
      <c r="CII43" s="33"/>
      <c r="CIJ43" s="33"/>
      <c r="CIK43" s="137"/>
      <c r="CIL43" s="33"/>
      <c r="CIM43" s="33"/>
      <c r="CIN43" s="33"/>
      <c r="CIO43" s="33"/>
      <c r="CIP43" s="33"/>
      <c r="CIQ43" s="74"/>
      <c r="CIR43" s="33"/>
      <c r="CIS43" s="33"/>
      <c r="CIT43" s="33"/>
      <c r="CIU43" s="33"/>
      <c r="CIV43" s="33"/>
      <c r="CIW43" s="34"/>
      <c r="CIX43" s="32"/>
      <c r="CIY43" s="64"/>
      <c r="CIZ43" s="64"/>
      <c r="CJA43" s="64"/>
      <c r="CJB43" s="33"/>
      <c r="CJC43" s="132"/>
      <c r="CJD43" s="33"/>
      <c r="CJE43" s="33"/>
      <c r="CJF43" s="33"/>
      <c r="CJG43" s="33"/>
      <c r="CJH43" s="33"/>
      <c r="CJI43" s="137"/>
      <c r="CJJ43" s="33"/>
      <c r="CJK43" s="33"/>
      <c r="CJL43" s="33"/>
      <c r="CJM43" s="33"/>
      <c r="CJN43" s="33"/>
      <c r="CJO43" s="74"/>
      <c r="CJP43" s="33"/>
      <c r="CJQ43" s="33"/>
      <c r="CJR43" s="33"/>
      <c r="CJS43" s="33"/>
      <c r="CJT43" s="33"/>
      <c r="CJU43" s="137"/>
      <c r="CJV43" s="33"/>
      <c r="CJW43" s="33"/>
      <c r="CJX43" s="33"/>
      <c r="CJY43" s="33"/>
      <c r="CJZ43" s="33"/>
      <c r="CKA43" s="74"/>
      <c r="CKB43" s="64"/>
      <c r="CKC43" s="64"/>
      <c r="CKD43" s="64"/>
      <c r="CKE43" s="64"/>
      <c r="CKF43" s="33"/>
      <c r="CKG43" s="137"/>
      <c r="CKH43" s="33"/>
      <c r="CKI43" s="33"/>
      <c r="CKJ43" s="33"/>
      <c r="CKK43" s="33"/>
      <c r="CKL43" s="33"/>
      <c r="CKM43" s="74"/>
      <c r="CKN43" s="33"/>
      <c r="CKO43" s="33"/>
      <c r="CKP43" s="33"/>
      <c r="CKQ43" s="33"/>
      <c r="CKR43" s="33"/>
      <c r="CKS43" s="137"/>
      <c r="CKT43" s="33"/>
      <c r="CKU43" s="33"/>
      <c r="CKV43" s="33"/>
      <c r="CKW43" s="33"/>
      <c r="CKX43" s="33"/>
      <c r="CKY43" s="74"/>
      <c r="CKZ43" s="33"/>
      <c r="CLA43" s="33"/>
      <c r="CLB43" s="33"/>
      <c r="CLC43" s="33"/>
      <c r="CLD43" s="33"/>
      <c r="CLE43" s="34"/>
      <c r="CLF43" s="32"/>
      <c r="CLG43" s="64"/>
      <c r="CLH43" s="64"/>
      <c r="CLI43" s="64"/>
      <c r="CLJ43" s="33"/>
      <c r="CLK43" s="132"/>
      <c r="CLL43" s="33"/>
      <c r="CLM43" s="33"/>
      <c r="CLN43" s="33"/>
      <c r="CLO43" s="33"/>
      <c r="CLP43" s="33"/>
      <c r="CLQ43" s="137"/>
      <c r="CLR43" s="33"/>
      <c r="CLS43" s="33"/>
      <c r="CLT43" s="33"/>
      <c r="CLU43" s="33"/>
      <c r="CLV43" s="33"/>
      <c r="CLW43" s="74"/>
      <c r="CLX43" s="33"/>
      <c r="CLY43" s="33"/>
      <c r="CLZ43" s="33"/>
      <c r="CMA43" s="33"/>
      <c r="CMB43" s="33"/>
      <c r="CMC43" s="137"/>
      <c r="CMD43" s="33"/>
      <c r="CME43" s="33"/>
      <c r="CMF43" s="33"/>
      <c r="CMG43" s="33"/>
      <c r="CMH43" s="33"/>
      <c r="CMI43" s="74"/>
      <c r="CMJ43" s="64"/>
      <c r="CMK43" s="64"/>
      <c r="CML43" s="64"/>
      <c r="CMM43" s="64"/>
      <c r="CMN43" s="33"/>
      <c r="CMO43" s="137"/>
      <c r="CMP43" s="33"/>
      <c r="CMQ43" s="33"/>
      <c r="CMR43" s="33"/>
      <c r="CMS43" s="33"/>
      <c r="CMT43" s="33"/>
      <c r="CMU43" s="74"/>
      <c r="CMV43" s="33"/>
      <c r="CMW43" s="33"/>
      <c r="CMX43" s="33"/>
      <c r="CMY43" s="33"/>
      <c r="CMZ43" s="33"/>
      <c r="CNA43" s="137"/>
      <c r="CNB43" s="33"/>
      <c r="CNC43" s="33"/>
      <c r="CND43" s="33"/>
      <c r="CNE43" s="33"/>
      <c r="CNF43" s="33"/>
      <c r="CNG43" s="74"/>
      <c r="CNH43" s="33"/>
      <c r="CNI43" s="33"/>
      <c r="CNJ43" s="33"/>
      <c r="CNK43" s="33"/>
      <c r="CNL43" s="33"/>
      <c r="CNM43" s="34"/>
      <c r="CNN43" s="32"/>
      <c r="CNO43" s="64"/>
      <c r="CNP43" s="64"/>
      <c r="CNQ43" s="64"/>
      <c r="CNR43" s="33"/>
      <c r="CNS43" s="132"/>
      <c r="CNT43" s="33"/>
      <c r="CNU43" s="33"/>
      <c r="CNV43" s="33"/>
      <c r="CNW43" s="33"/>
      <c r="CNX43" s="33"/>
      <c r="CNY43" s="137"/>
      <c r="CNZ43" s="33"/>
      <c r="COA43" s="33"/>
      <c r="COB43" s="33"/>
      <c r="COC43" s="33"/>
      <c r="COD43" s="33"/>
      <c r="COE43" s="74"/>
      <c r="COF43" s="33"/>
      <c r="COG43" s="33"/>
      <c r="COH43" s="33"/>
      <c r="COI43" s="33"/>
      <c r="COJ43" s="33"/>
      <c r="COK43" s="137"/>
      <c r="COL43" s="33"/>
      <c r="COM43" s="33"/>
      <c r="CON43" s="33"/>
      <c r="COO43" s="33"/>
      <c r="COP43" s="33"/>
      <c r="COQ43" s="74"/>
      <c r="COR43" s="64"/>
      <c r="COS43" s="64"/>
      <c r="COT43" s="64"/>
      <c r="COU43" s="64"/>
      <c r="COV43" s="33"/>
      <c r="COW43" s="137"/>
      <c r="COX43" s="33"/>
      <c r="COY43" s="33"/>
      <c r="COZ43" s="33"/>
      <c r="CPA43" s="33"/>
      <c r="CPB43" s="33"/>
      <c r="CPC43" s="74"/>
      <c r="CPD43" s="33"/>
      <c r="CPE43" s="33"/>
      <c r="CPF43" s="33"/>
      <c r="CPG43" s="33"/>
      <c r="CPH43" s="33"/>
      <c r="CPI43" s="137"/>
      <c r="CPJ43" s="33"/>
      <c r="CPK43" s="33"/>
      <c r="CPL43" s="33"/>
      <c r="CPM43" s="33"/>
      <c r="CPN43" s="33"/>
      <c r="CPO43" s="74"/>
      <c r="CPP43" s="33"/>
      <c r="CPQ43" s="33"/>
      <c r="CPR43" s="33"/>
      <c r="CPS43" s="33"/>
      <c r="CPT43" s="33"/>
      <c r="CPU43" s="34"/>
      <c r="CPV43" s="32"/>
      <c r="CPW43" s="64"/>
      <c r="CPX43" s="64"/>
      <c r="CPY43" s="64"/>
      <c r="CPZ43" s="33"/>
      <c r="CQA43" s="132"/>
      <c r="CQB43" s="33"/>
      <c r="CQC43" s="33"/>
      <c r="CQD43" s="33"/>
      <c r="CQE43" s="33"/>
      <c r="CQF43" s="33"/>
      <c r="CQG43" s="137"/>
      <c r="CQH43" s="33"/>
      <c r="CQI43" s="33"/>
      <c r="CQJ43" s="33"/>
      <c r="CQK43" s="33"/>
      <c r="CQL43" s="33"/>
      <c r="CQM43" s="74"/>
      <c r="CQN43" s="33"/>
      <c r="CQO43" s="33"/>
      <c r="CQP43" s="33"/>
      <c r="CQQ43" s="33"/>
      <c r="CQR43" s="33"/>
      <c r="CQS43" s="137"/>
      <c r="CQT43" s="33"/>
      <c r="CQU43" s="33"/>
      <c r="CQV43" s="33"/>
      <c r="CQW43" s="33"/>
      <c r="CQX43" s="33"/>
      <c r="CQY43" s="74"/>
      <c r="CQZ43" s="64"/>
      <c r="CRA43" s="64"/>
      <c r="CRB43" s="64"/>
      <c r="CRC43" s="64"/>
      <c r="CRD43" s="33"/>
      <c r="CRE43" s="137"/>
      <c r="CRF43" s="33"/>
      <c r="CRG43" s="33"/>
      <c r="CRH43" s="33"/>
      <c r="CRI43" s="33"/>
      <c r="CRJ43" s="33"/>
      <c r="CRK43" s="74"/>
      <c r="CRL43" s="33"/>
      <c r="CRM43" s="33"/>
      <c r="CRN43" s="33"/>
      <c r="CRO43" s="33"/>
      <c r="CRP43" s="33"/>
      <c r="CRQ43" s="137"/>
      <c r="CRR43" s="33"/>
      <c r="CRS43" s="33"/>
      <c r="CRT43" s="33"/>
      <c r="CRU43" s="33"/>
      <c r="CRV43" s="33"/>
      <c r="CRW43" s="74"/>
      <c r="CRX43" s="33"/>
      <c r="CRY43" s="33"/>
      <c r="CRZ43" s="33"/>
      <c r="CSA43" s="33"/>
      <c r="CSB43" s="33"/>
      <c r="CSC43" s="34"/>
      <c r="CSD43" s="90"/>
    </row>
    <row r="44" spans="1:2526" ht="20.100000000000001" customHeight="1" x14ac:dyDescent="0.3">
      <c r="A44" s="100" t="s">
        <v>19</v>
      </c>
      <c r="B44" s="63" t="str">
        <f>IF(LEN(C73)=0,"",C73)</f>
        <v/>
      </c>
      <c r="C44" s="213"/>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36"/>
      <c r="BLW44" s="65"/>
      <c r="BLX44" s="65"/>
      <c r="BLY44" s="65"/>
      <c r="BLZ44" s="37"/>
      <c r="BMA44" s="133"/>
      <c r="BMB44" s="37"/>
      <c r="BMC44" s="37"/>
      <c r="BMD44" s="37"/>
      <c r="BME44" s="37"/>
      <c r="BMF44" s="37"/>
      <c r="BMG44" s="138"/>
      <c r="BMH44" s="37"/>
      <c r="BMI44" s="37"/>
      <c r="BMJ44" s="37"/>
      <c r="BMK44" s="37"/>
      <c r="BML44" s="37"/>
      <c r="BMM44" s="75"/>
      <c r="BMN44" s="37"/>
      <c r="BMO44" s="37"/>
      <c r="BMP44" s="37"/>
      <c r="BMQ44" s="37"/>
      <c r="BMR44" s="37"/>
      <c r="BMS44" s="138"/>
      <c r="BMT44" s="37"/>
      <c r="BMU44" s="37"/>
      <c r="BMV44" s="37"/>
      <c r="BMW44" s="37"/>
      <c r="BMX44" s="37"/>
      <c r="BMY44" s="75"/>
      <c r="BMZ44" s="65"/>
      <c r="BNA44" s="65"/>
      <c r="BNB44" s="65"/>
      <c r="BNC44" s="65"/>
      <c r="BND44" s="37"/>
      <c r="BNE44" s="138"/>
      <c r="BNF44" s="37"/>
      <c r="BNG44" s="37"/>
      <c r="BNH44" s="37"/>
      <c r="BNI44" s="37"/>
      <c r="BNJ44" s="37"/>
      <c r="BNK44" s="75"/>
      <c r="BNL44" s="37"/>
      <c r="BNM44" s="37"/>
      <c r="BNN44" s="37"/>
      <c r="BNO44" s="37"/>
      <c r="BNP44" s="37"/>
      <c r="BNQ44" s="138"/>
      <c r="BNR44" s="37"/>
      <c r="BNS44" s="37"/>
      <c r="BNT44" s="37"/>
      <c r="BNU44" s="37"/>
      <c r="BNV44" s="37"/>
      <c r="BNW44" s="75"/>
      <c r="BNX44" s="37"/>
      <c r="BNY44" s="37"/>
      <c r="BNZ44" s="37"/>
      <c r="BOA44" s="37"/>
      <c r="BOB44" s="37"/>
      <c r="BOC44" s="38"/>
      <c r="BOD44" s="36"/>
      <c r="BOE44" s="65"/>
      <c r="BOF44" s="65"/>
      <c r="BOG44" s="65"/>
      <c r="BOH44" s="37"/>
      <c r="BOI44" s="133"/>
      <c r="BOJ44" s="37"/>
      <c r="BOK44" s="37"/>
      <c r="BOL44" s="37"/>
      <c r="BOM44" s="37"/>
      <c r="BON44" s="37"/>
      <c r="BOO44" s="138"/>
      <c r="BOP44" s="37"/>
      <c r="BOQ44" s="37"/>
      <c r="BOR44" s="37"/>
      <c r="BOS44" s="37"/>
      <c r="BOT44" s="37"/>
      <c r="BOU44" s="75"/>
      <c r="BOV44" s="37"/>
      <c r="BOW44" s="37"/>
      <c r="BOX44" s="37"/>
      <c r="BOY44" s="37"/>
      <c r="BOZ44" s="37"/>
      <c r="BPA44" s="138"/>
      <c r="BPB44" s="37"/>
      <c r="BPC44" s="37"/>
      <c r="BPD44" s="37"/>
      <c r="BPE44" s="37"/>
      <c r="BPF44" s="37"/>
      <c r="BPG44" s="75"/>
      <c r="BPH44" s="65"/>
      <c r="BPI44" s="65"/>
      <c r="BPJ44" s="65"/>
      <c r="BPK44" s="65"/>
      <c r="BPL44" s="37"/>
      <c r="BPM44" s="138"/>
      <c r="BPN44" s="37"/>
      <c r="BPO44" s="37"/>
      <c r="BPP44" s="37"/>
      <c r="BPQ44" s="37"/>
      <c r="BPR44" s="37"/>
      <c r="BPS44" s="75"/>
      <c r="BPT44" s="37"/>
      <c r="BPU44" s="37"/>
      <c r="BPV44" s="37"/>
      <c r="BPW44" s="37"/>
      <c r="BPX44" s="37"/>
      <c r="BPY44" s="138"/>
      <c r="BPZ44" s="37"/>
      <c r="BQA44" s="37"/>
      <c r="BQB44" s="37"/>
      <c r="BQC44" s="37"/>
      <c r="BQD44" s="37"/>
      <c r="BQE44" s="75"/>
      <c r="BQF44" s="37"/>
      <c r="BQG44" s="37"/>
      <c r="BQH44" s="37"/>
      <c r="BQI44" s="37"/>
      <c r="BQJ44" s="37"/>
      <c r="BQK44" s="38"/>
      <c r="BQL44" s="36"/>
      <c r="BQM44" s="65"/>
      <c r="BQN44" s="65"/>
      <c r="BQO44" s="65"/>
      <c r="BQP44" s="37"/>
      <c r="BQQ44" s="133"/>
      <c r="BQR44" s="37"/>
      <c r="BQS44" s="37"/>
      <c r="BQT44" s="37"/>
      <c r="BQU44" s="37"/>
      <c r="BQV44" s="37"/>
      <c r="BQW44" s="138"/>
      <c r="BQX44" s="37"/>
      <c r="BQY44" s="37"/>
      <c r="BQZ44" s="37"/>
      <c r="BRA44" s="37"/>
      <c r="BRB44" s="37"/>
      <c r="BRC44" s="75"/>
      <c r="BRD44" s="37"/>
      <c r="BRE44" s="37"/>
      <c r="BRF44" s="37"/>
      <c r="BRG44" s="37"/>
      <c r="BRH44" s="37"/>
      <c r="BRI44" s="138"/>
      <c r="BRJ44" s="37"/>
      <c r="BRK44" s="37"/>
      <c r="BRL44" s="37"/>
      <c r="BRM44" s="37"/>
      <c r="BRN44" s="37"/>
      <c r="BRO44" s="75"/>
      <c r="BRP44" s="65"/>
      <c r="BRQ44" s="65"/>
      <c r="BRR44" s="65"/>
      <c r="BRS44" s="65"/>
      <c r="BRT44" s="37"/>
      <c r="BRU44" s="138"/>
      <c r="BRV44" s="37"/>
      <c r="BRW44" s="37"/>
      <c r="BRX44" s="37"/>
      <c r="BRY44" s="37"/>
      <c r="BRZ44" s="37"/>
      <c r="BSA44" s="75"/>
      <c r="BSB44" s="37"/>
      <c r="BSC44" s="37"/>
      <c r="BSD44" s="37"/>
      <c r="BSE44" s="37"/>
      <c r="BSF44" s="37"/>
      <c r="BSG44" s="138"/>
      <c r="BSH44" s="37"/>
      <c r="BSI44" s="37"/>
      <c r="BSJ44" s="37"/>
      <c r="BSK44" s="37"/>
      <c r="BSL44" s="37"/>
      <c r="BSM44" s="75"/>
      <c r="BSN44" s="37"/>
      <c r="BSO44" s="37"/>
      <c r="BSP44" s="37"/>
      <c r="BSQ44" s="37"/>
      <c r="BSR44" s="37"/>
      <c r="BSS44" s="38"/>
      <c r="BST44" s="36"/>
      <c r="BSU44" s="65"/>
      <c r="BSV44" s="65"/>
      <c r="BSW44" s="65"/>
      <c r="BSX44" s="37"/>
      <c r="BSY44" s="133"/>
      <c r="BSZ44" s="37"/>
      <c r="BTA44" s="37"/>
      <c r="BTB44" s="37"/>
      <c r="BTC44" s="37"/>
      <c r="BTD44" s="37"/>
      <c r="BTE44" s="138"/>
      <c r="BTF44" s="37"/>
      <c r="BTG44" s="37"/>
      <c r="BTH44" s="37"/>
      <c r="BTI44" s="37"/>
      <c r="BTJ44" s="37"/>
      <c r="BTK44" s="75"/>
      <c r="BTL44" s="37"/>
      <c r="BTM44" s="37"/>
      <c r="BTN44" s="37"/>
      <c r="BTO44" s="37"/>
      <c r="BTP44" s="37"/>
      <c r="BTQ44" s="138"/>
      <c r="BTR44" s="37"/>
      <c r="BTS44" s="37"/>
      <c r="BTT44" s="37"/>
      <c r="BTU44" s="37"/>
      <c r="BTV44" s="37"/>
      <c r="BTW44" s="75"/>
      <c r="BTX44" s="65"/>
      <c r="BTY44" s="65"/>
      <c r="BTZ44" s="65"/>
      <c r="BUA44" s="65"/>
      <c r="BUB44" s="37"/>
      <c r="BUC44" s="138"/>
      <c r="BUD44" s="37"/>
      <c r="BUE44" s="37"/>
      <c r="BUF44" s="37"/>
      <c r="BUG44" s="37"/>
      <c r="BUH44" s="37"/>
      <c r="BUI44" s="75"/>
      <c r="BUJ44" s="37"/>
      <c r="BUK44" s="37"/>
      <c r="BUL44" s="37"/>
      <c r="BUM44" s="37"/>
      <c r="BUN44" s="37"/>
      <c r="BUO44" s="138"/>
      <c r="BUP44" s="37"/>
      <c r="BUQ44" s="37"/>
      <c r="BUR44" s="37"/>
      <c r="BUS44" s="37"/>
      <c r="BUT44" s="37"/>
      <c r="BUU44" s="75"/>
      <c r="BUV44" s="37"/>
      <c r="BUW44" s="37"/>
      <c r="BUX44" s="37"/>
      <c r="BUY44" s="37"/>
      <c r="BUZ44" s="37"/>
      <c r="BVA44" s="38"/>
      <c r="BVB44" s="36"/>
      <c r="BVC44" s="65"/>
      <c r="BVD44" s="65"/>
      <c r="BVE44" s="65"/>
      <c r="BVF44" s="37"/>
      <c r="BVG44" s="133"/>
      <c r="BVH44" s="37"/>
      <c r="BVI44" s="37"/>
      <c r="BVJ44" s="37"/>
      <c r="BVK44" s="37"/>
      <c r="BVL44" s="37"/>
      <c r="BVM44" s="138"/>
      <c r="BVN44" s="37"/>
      <c r="BVO44" s="37"/>
      <c r="BVP44" s="37"/>
      <c r="BVQ44" s="37"/>
      <c r="BVR44" s="37"/>
      <c r="BVS44" s="75"/>
      <c r="BVT44" s="37"/>
      <c r="BVU44" s="37"/>
      <c r="BVV44" s="37"/>
      <c r="BVW44" s="37"/>
      <c r="BVX44" s="37"/>
      <c r="BVY44" s="138"/>
      <c r="BVZ44" s="37"/>
      <c r="BWA44" s="37"/>
      <c r="BWB44" s="37"/>
      <c r="BWC44" s="37"/>
      <c r="BWD44" s="37"/>
      <c r="BWE44" s="75"/>
      <c r="BWF44" s="65"/>
      <c r="BWG44" s="65"/>
      <c r="BWH44" s="65"/>
      <c r="BWI44" s="65"/>
      <c r="BWJ44" s="37"/>
      <c r="BWK44" s="138"/>
      <c r="BWL44" s="37"/>
      <c r="BWM44" s="37"/>
      <c r="BWN44" s="37"/>
      <c r="BWO44" s="37"/>
      <c r="BWP44" s="37"/>
      <c r="BWQ44" s="75"/>
      <c r="BWR44" s="37"/>
      <c r="BWS44" s="37"/>
      <c r="BWT44" s="37"/>
      <c r="BWU44" s="37"/>
      <c r="BWV44" s="37"/>
      <c r="BWW44" s="138"/>
      <c r="BWX44" s="37"/>
      <c r="BWY44" s="37"/>
      <c r="BWZ44" s="37"/>
      <c r="BXA44" s="37"/>
      <c r="BXB44" s="37"/>
      <c r="BXC44" s="75"/>
      <c r="BXD44" s="37"/>
      <c r="BXE44" s="37"/>
      <c r="BXF44" s="37"/>
      <c r="BXG44" s="37"/>
      <c r="BXH44" s="37"/>
      <c r="BXI44" s="38"/>
      <c r="BXJ44" s="36"/>
      <c r="BXK44" s="65"/>
      <c r="BXL44" s="65"/>
      <c r="BXM44" s="65"/>
      <c r="BXN44" s="37"/>
      <c r="BXO44" s="133"/>
      <c r="BXP44" s="37"/>
      <c r="BXQ44" s="37"/>
      <c r="BXR44" s="37"/>
      <c r="BXS44" s="37"/>
      <c r="BXT44" s="37"/>
      <c r="BXU44" s="138"/>
      <c r="BXV44" s="37"/>
      <c r="BXW44" s="37"/>
      <c r="BXX44" s="37"/>
      <c r="BXY44" s="37"/>
      <c r="BXZ44" s="37"/>
      <c r="BYA44" s="75"/>
      <c r="BYB44" s="37"/>
      <c r="BYC44" s="37"/>
      <c r="BYD44" s="37"/>
      <c r="BYE44" s="37"/>
      <c r="BYF44" s="37"/>
      <c r="BYG44" s="138"/>
      <c r="BYH44" s="37"/>
      <c r="BYI44" s="37"/>
      <c r="BYJ44" s="37"/>
      <c r="BYK44" s="37"/>
      <c r="BYL44" s="37"/>
      <c r="BYM44" s="75"/>
      <c r="BYN44" s="65"/>
      <c r="BYO44" s="65"/>
      <c r="BYP44" s="65"/>
      <c r="BYQ44" s="65"/>
      <c r="BYR44" s="37"/>
      <c r="BYS44" s="138"/>
      <c r="BYT44" s="37"/>
      <c r="BYU44" s="37"/>
      <c r="BYV44" s="37"/>
      <c r="BYW44" s="37"/>
      <c r="BYX44" s="37"/>
      <c r="BYY44" s="75"/>
      <c r="BYZ44" s="37"/>
      <c r="BZA44" s="37"/>
      <c r="BZB44" s="37"/>
      <c r="BZC44" s="37"/>
      <c r="BZD44" s="37"/>
      <c r="BZE44" s="138"/>
      <c r="BZF44" s="37"/>
      <c r="BZG44" s="37"/>
      <c r="BZH44" s="37"/>
      <c r="BZI44" s="37"/>
      <c r="BZJ44" s="37"/>
      <c r="BZK44" s="75"/>
      <c r="BZL44" s="37"/>
      <c r="BZM44" s="37"/>
      <c r="BZN44" s="37"/>
      <c r="BZO44" s="37"/>
      <c r="BZP44" s="37"/>
      <c r="BZQ44" s="38"/>
      <c r="BZR44" s="36"/>
      <c r="BZS44" s="65"/>
      <c r="BZT44" s="65"/>
      <c r="BZU44" s="65"/>
      <c r="BZV44" s="37"/>
      <c r="BZW44" s="133"/>
      <c r="BZX44" s="37"/>
      <c r="BZY44" s="37"/>
      <c r="BZZ44" s="37"/>
      <c r="CAA44" s="37"/>
      <c r="CAB44" s="37"/>
      <c r="CAC44" s="138"/>
      <c r="CAD44" s="37"/>
      <c r="CAE44" s="37"/>
      <c r="CAF44" s="37"/>
      <c r="CAG44" s="37"/>
      <c r="CAH44" s="37"/>
      <c r="CAI44" s="75"/>
      <c r="CAJ44" s="37"/>
      <c r="CAK44" s="37"/>
      <c r="CAL44" s="37"/>
      <c r="CAM44" s="37"/>
      <c r="CAN44" s="37"/>
      <c r="CAO44" s="138"/>
      <c r="CAP44" s="37"/>
      <c r="CAQ44" s="37"/>
      <c r="CAR44" s="37"/>
      <c r="CAS44" s="37"/>
      <c r="CAT44" s="37"/>
      <c r="CAU44" s="75"/>
      <c r="CAV44" s="65"/>
      <c r="CAW44" s="65"/>
      <c r="CAX44" s="65"/>
      <c r="CAY44" s="65"/>
      <c r="CAZ44" s="37"/>
      <c r="CBA44" s="138"/>
      <c r="CBB44" s="37"/>
      <c r="CBC44" s="37"/>
      <c r="CBD44" s="37"/>
      <c r="CBE44" s="37"/>
      <c r="CBF44" s="37"/>
      <c r="CBG44" s="75"/>
      <c r="CBH44" s="37"/>
      <c r="CBI44" s="37"/>
      <c r="CBJ44" s="37"/>
      <c r="CBK44" s="37"/>
      <c r="CBL44" s="37"/>
      <c r="CBM44" s="138"/>
      <c r="CBN44" s="37"/>
      <c r="CBO44" s="37"/>
      <c r="CBP44" s="37"/>
      <c r="CBQ44" s="37"/>
      <c r="CBR44" s="37"/>
      <c r="CBS44" s="75"/>
      <c r="CBT44" s="37"/>
      <c r="CBU44" s="37"/>
      <c r="CBV44" s="37"/>
      <c r="CBW44" s="37"/>
      <c r="CBX44" s="37"/>
      <c r="CBY44" s="38"/>
      <c r="CBZ44" s="36"/>
      <c r="CCA44" s="65"/>
      <c r="CCB44" s="65"/>
      <c r="CCC44" s="65"/>
      <c r="CCD44" s="37"/>
      <c r="CCE44" s="133"/>
      <c r="CCF44" s="37"/>
      <c r="CCG44" s="37"/>
      <c r="CCH44" s="37"/>
      <c r="CCI44" s="37"/>
      <c r="CCJ44" s="37"/>
      <c r="CCK44" s="138"/>
      <c r="CCL44" s="37"/>
      <c r="CCM44" s="37"/>
      <c r="CCN44" s="37"/>
      <c r="CCO44" s="37"/>
      <c r="CCP44" s="37"/>
      <c r="CCQ44" s="75"/>
      <c r="CCR44" s="37"/>
      <c r="CCS44" s="37"/>
      <c r="CCT44" s="37"/>
      <c r="CCU44" s="37"/>
      <c r="CCV44" s="37"/>
      <c r="CCW44" s="138"/>
      <c r="CCX44" s="37"/>
      <c r="CCY44" s="37"/>
      <c r="CCZ44" s="37"/>
      <c r="CDA44" s="37"/>
      <c r="CDB44" s="37"/>
      <c r="CDC44" s="75"/>
      <c r="CDD44" s="65"/>
      <c r="CDE44" s="65"/>
      <c r="CDF44" s="65"/>
      <c r="CDG44" s="65"/>
      <c r="CDH44" s="37"/>
      <c r="CDI44" s="138"/>
      <c r="CDJ44" s="37"/>
      <c r="CDK44" s="37"/>
      <c r="CDL44" s="37"/>
      <c r="CDM44" s="37"/>
      <c r="CDN44" s="37"/>
      <c r="CDO44" s="75"/>
      <c r="CDP44" s="37"/>
      <c r="CDQ44" s="37"/>
      <c r="CDR44" s="37"/>
      <c r="CDS44" s="37"/>
      <c r="CDT44" s="37"/>
      <c r="CDU44" s="138"/>
      <c r="CDV44" s="37"/>
      <c r="CDW44" s="37"/>
      <c r="CDX44" s="37"/>
      <c r="CDY44" s="37"/>
      <c r="CDZ44" s="37"/>
      <c r="CEA44" s="75"/>
      <c r="CEB44" s="37"/>
      <c r="CEC44" s="37"/>
      <c r="CED44" s="37"/>
      <c r="CEE44" s="37"/>
      <c r="CEF44" s="37"/>
      <c r="CEG44" s="38"/>
      <c r="CEH44" s="36"/>
      <c r="CEI44" s="65"/>
      <c r="CEJ44" s="65"/>
      <c r="CEK44" s="65"/>
      <c r="CEL44" s="37"/>
      <c r="CEM44" s="133"/>
      <c r="CEN44" s="37"/>
      <c r="CEO44" s="37"/>
      <c r="CEP44" s="37"/>
      <c r="CEQ44" s="37"/>
      <c r="CER44" s="37"/>
      <c r="CES44" s="138"/>
      <c r="CET44" s="37"/>
      <c r="CEU44" s="37"/>
      <c r="CEV44" s="37"/>
      <c r="CEW44" s="37"/>
      <c r="CEX44" s="37"/>
      <c r="CEY44" s="75"/>
      <c r="CEZ44" s="37"/>
      <c r="CFA44" s="37"/>
      <c r="CFB44" s="37"/>
      <c r="CFC44" s="37"/>
      <c r="CFD44" s="37"/>
      <c r="CFE44" s="138"/>
      <c r="CFF44" s="37"/>
      <c r="CFG44" s="37"/>
      <c r="CFH44" s="37"/>
      <c r="CFI44" s="37"/>
      <c r="CFJ44" s="37"/>
      <c r="CFK44" s="75"/>
      <c r="CFL44" s="65"/>
      <c r="CFM44" s="65"/>
      <c r="CFN44" s="65"/>
      <c r="CFO44" s="65"/>
      <c r="CFP44" s="37"/>
      <c r="CFQ44" s="138"/>
      <c r="CFR44" s="37"/>
      <c r="CFS44" s="37"/>
      <c r="CFT44" s="37"/>
      <c r="CFU44" s="37"/>
      <c r="CFV44" s="37"/>
      <c r="CFW44" s="75"/>
      <c r="CFX44" s="37"/>
      <c r="CFY44" s="37"/>
      <c r="CFZ44" s="37"/>
      <c r="CGA44" s="37"/>
      <c r="CGB44" s="37"/>
      <c r="CGC44" s="138"/>
      <c r="CGD44" s="37"/>
      <c r="CGE44" s="37"/>
      <c r="CGF44" s="37"/>
      <c r="CGG44" s="37"/>
      <c r="CGH44" s="37"/>
      <c r="CGI44" s="75"/>
      <c r="CGJ44" s="37"/>
      <c r="CGK44" s="37"/>
      <c r="CGL44" s="37"/>
      <c r="CGM44" s="37"/>
      <c r="CGN44" s="37"/>
      <c r="CGO44" s="38"/>
      <c r="CGP44" s="36"/>
      <c r="CGQ44" s="65"/>
      <c r="CGR44" s="65"/>
      <c r="CGS44" s="65"/>
      <c r="CGT44" s="37"/>
      <c r="CGU44" s="133"/>
      <c r="CGV44" s="37"/>
      <c r="CGW44" s="37"/>
      <c r="CGX44" s="37"/>
      <c r="CGY44" s="37"/>
      <c r="CGZ44" s="37"/>
      <c r="CHA44" s="138"/>
      <c r="CHB44" s="37"/>
      <c r="CHC44" s="37"/>
      <c r="CHD44" s="37"/>
      <c r="CHE44" s="37"/>
      <c r="CHF44" s="37"/>
      <c r="CHG44" s="75"/>
      <c r="CHH44" s="37"/>
      <c r="CHI44" s="37"/>
      <c r="CHJ44" s="37"/>
      <c r="CHK44" s="37"/>
      <c r="CHL44" s="37"/>
      <c r="CHM44" s="138"/>
      <c r="CHN44" s="37"/>
      <c r="CHO44" s="37"/>
      <c r="CHP44" s="37"/>
      <c r="CHQ44" s="37"/>
      <c r="CHR44" s="37"/>
      <c r="CHS44" s="75"/>
      <c r="CHT44" s="65"/>
      <c r="CHU44" s="65"/>
      <c r="CHV44" s="65"/>
      <c r="CHW44" s="65"/>
      <c r="CHX44" s="37"/>
      <c r="CHY44" s="138"/>
      <c r="CHZ44" s="37"/>
      <c r="CIA44" s="37"/>
      <c r="CIB44" s="37"/>
      <c r="CIC44" s="37"/>
      <c r="CID44" s="37"/>
      <c r="CIE44" s="75"/>
      <c r="CIF44" s="37"/>
      <c r="CIG44" s="37"/>
      <c r="CIH44" s="37"/>
      <c r="CII44" s="37"/>
      <c r="CIJ44" s="37"/>
      <c r="CIK44" s="138"/>
      <c r="CIL44" s="37"/>
      <c r="CIM44" s="37"/>
      <c r="CIN44" s="37"/>
      <c r="CIO44" s="37"/>
      <c r="CIP44" s="37"/>
      <c r="CIQ44" s="75"/>
      <c r="CIR44" s="37"/>
      <c r="CIS44" s="37"/>
      <c r="CIT44" s="37"/>
      <c r="CIU44" s="37"/>
      <c r="CIV44" s="37"/>
      <c r="CIW44" s="38"/>
      <c r="CIX44" s="36"/>
      <c r="CIY44" s="65"/>
      <c r="CIZ44" s="65"/>
      <c r="CJA44" s="65"/>
      <c r="CJB44" s="37"/>
      <c r="CJC44" s="133"/>
      <c r="CJD44" s="37"/>
      <c r="CJE44" s="37"/>
      <c r="CJF44" s="37"/>
      <c r="CJG44" s="37"/>
      <c r="CJH44" s="37"/>
      <c r="CJI44" s="138"/>
      <c r="CJJ44" s="37"/>
      <c r="CJK44" s="37"/>
      <c r="CJL44" s="37"/>
      <c r="CJM44" s="37"/>
      <c r="CJN44" s="37"/>
      <c r="CJO44" s="75"/>
      <c r="CJP44" s="37"/>
      <c r="CJQ44" s="37"/>
      <c r="CJR44" s="37"/>
      <c r="CJS44" s="37"/>
      <c r="CJT44" s="37"/>
      <c r="CJU44" s="138"/>
      <c r="CJV44" s="37"/>
      <c r="CJW44" s="37"/>
      <c r="CJX44" s="37"/>
      <c r="CJY44" s="37"/>
      <c r="CJZ44" s="37"/>
      <c r="CKA44" s="75"/>
      <c r="CKB44" s="65"/>
      <c r="CKC44" s="65"/>
      <c r="CKD44" s="65"/>
      <c r="CKE44" s="65"/>
      <c r="CKF44" s="37"/>
      <c r="CKG44" s="138"/>
      <c r="CKH44" s="37"/>
      <c r="CKI44" s="37"/>
      <c r="CKJ44" s="37"/>
      <c r="CKK44" s="37"/>
      <c r="CKL44" s="37"/>
      <c r="CKM44" s="75"/>
      <c r="CKN44" s="37"/>
      <c r="CKO44" s="37"/>
      <c r="CKP44" s="37"/>
      <c r="CKQ44" s="37"/>
      <c r="CKR44" s="37"/>
      <c r="CKS44" s="138"/>
      <c r="CKT44" s="37"/>
      <c r="CKU44" s="37"/>
      <c r="CKV44" s="37"/>
      <c r="CKW44" s="37"/>
      <c r="CKX44" s="37"/>
      <c r="CKY44" s="75"/>
      <c r="CKZ44" s="37"/>
      <c r="CLA44" s="37"/>
      <c r="CLB44" s="37"/>
      <c r="CLC44" s="37"/>
      <c r="CLD44" s="37"/>
      <c r="CLE44" s="38"/>
      <c r="CLF44" s="36"/>
      <c r="CLG44" s="65"/>
      <c r="CLH44" s="65"/>
      <c r="CLI44" s="65"/>
      <c r="CLJ44" s="37"/>
      <c r="CLK44" s="133"/>
      <c r="CLL44" s="37"/>
      <c r="CLM44" s="37"/>
      <c r="CLN44" s="37"/>
      <c r="CLO44" s="37"/>
      <c r="CLP44" s="37"/>
      <c r="CLQ44" s="138"/>
      <c r="CLR44" s="37"/>
      <c r="CLS44" s="37"/>
      <c r="CLT44" s="37"/>
      <c r="CLU44" s="37"/>
      <c r="CLV44" s="37"/>
      <c r="CLW44" s="75"/>
      <c r="CLX44" s="37"/>
      <c r="CLY44" s="37"/>
      <c r="CLZ44" s="37"/>
      <c r="CMA44" s="37"/>
      <c r="CMB44" s="37"/>
      <c r="CMC44" s="138"/>
      <c r="CMD44" s="37"/>
      <c r="CME44" s="37"/>
      <c r="CMF44" s="37"/>
      <c r="CMG44" s="37"/>
      <c r="CMH44" s="37"/>
      <c r="CMI44" s="75"/>
      <c r="CMJ44" s="65"/>
      <c r="CMK44" s="65"/>
      <c r="CML44" s="65"/>
      <c r="CMM44" s="65"/>
      <c r="CMN44" s="37"/>
      <c r="CMO44" s="138"/>
      <c r="CMP44" s="37"/>
      <c r="CMQ44" s="37"/>
      <c r="CMR44" s="37"/>
      <c r="CMS44" s="37"/>
      <c r="CMT44" s="37"/>
      <c r="CMU44" s="75"/>
      <c r="CMV44" s="37"/>
      <c r="CMW44" s="37"/>
      <c r="CMX44" s="37"/>
      <c r="CMY44" s="37"/>
      <c r="CMZ44" s="37"/>
      <c r="CNA44" s="138"/>
      <c r="CNB44" s="37"/>
      <c r="CNC44" s="37"/>
      <c r="CND44" s="37"/>
      <c r="CNE44" s="37"/>
      <c r="CNF44" s="37"/>
      <c r="CNG44" s="75"/>
      <c r="CNH44" s="37"/>
      <c r="CNI44" s="37"/>
      <c r="CNJ44" s="37"/>
      <c r="CNK44" s="37"/>
      <c r="CNL44" s="37"/>
      <c r="CNM44" s="38"/>
      <c r="CNN44" s="36"/>
      <c r="CNO44" s="65"/>
      <c r="CNP44" s="65"/>
      <c r="CNQ44" s="65"/>
      <c r="CNR44" s="37"/>
      <c r="CNS44" s="133"/>
      <c r="CNT44" s="37"/>
      <c r="CNU44" s="37"/>
      <c r="CNV44" s="37"/>
      <c r="CNW44" s="37"/>
      <c r="CNX44" s="37"/>
      <c r="CNY44" s="138"/>
      <c r="CNZ44" s="37"/>
      <c r="COA44" s="37"/>
      <c r="COB44" s="37"/>
      <c r="COC44" s="37"/>
      <c r="COD44" s="37"/>
      <c r="COE44" s="75"/>
      <c r="COF44" s="37"/>
      <c r="COG44" s="37"/>
      <c r="COH44" s="37"/>
      <c r="COI44" s="37"/>
      <c r="COJ44" s="37"/>
      <c r="COK44" s="138"/>
      <c r="COL44" s="37"/>
      <c r="COM44" s="37"/>
      <c r="CON44" s="37"/>
      <c r="COO44" s="37"/>
      <c r="COP44" s="37"/>
      <c r="COQ44" s="75"/>
      <c r="COR44" s="65"/>
      <c r="COS44" s="65"/>
      <c r="COT44" s="65"/>
      <c r="COU44" s="65"/>
      <c r="COV44" s="37"/>
      <c r="COW44" s="138"/>
      <c r="COX44" s="37"/>
      <c r="COY44" s="37"/>
      <c r="COZ44" s="37"/>
      <c r="CPA44" s="37"/>
      <c r="CPB44" s="37"/>
      <c r="CPC44" s="75"/>
      <c r="CPD44" s="37"/>
      <c r="CPE44" s="37"/>
      <c r="CPF44" s="37"/>
      <c r="CPG44" s="37"/>
      <c r="CPH44" s="37"/>
      <c r="CPI44" s="138"/>
      <c r="CPJ44" s="37"/>
      <c r="CPK44" s="37"/>
      <c r="CPL44" s="37"/>
      <c r="CPM44" s="37"/>
      <c r="CPN44" s="37"/>
      <c r="CPO44" s="75"/>
      <c r="CPP44" s="37"/>
      <c r="CPQ44" s="37"/>
      <c r="CPR44" s="37"/>
      <c r="CPS44" s="37"/>
      <c r="CPT44" s="37"/>
      <c r="CPU44" s="38"/>
      <c r="CPV44" s="36"/>
      <c r="CPW44" s="65"/>
      <c r="CPX44" s="65"/>
      <c r="CPY44" s="65"/>
      <c r="CPZ44" s="37"/>
      <c r="CQA44" s="133"/>
      <c r="CQB44" s="37"/>
      <c r="CQC44" s="37"/>
      <c r="CQD44" s="37"/>
      <c r="CQE44" s="37"/>
      <c r="CQF44" s="37"/>
      <c r="CQG44" s="138"/>
      <c r="CQH44" s="37"/>
      <c r="CQI44" s="37"/>
      <c r="CQJ44" s="37"/>
      <c r="CQK44" s="37"/>
      <c r="CQL44" s="37"/>
      <c r="CQM44" s="75"/>
      <c r="CQN44" s="37"/>
      <c r="CQO44" s="37"/>
      <c r="CQP44" s="37"/>
      <c r="CQQ44" s="37"/>
      <c r="CQR44" s="37"/>
      <c r="CQS44" s="138"/>
      <c r="CQT44" s="37"/>
      <c r="CQU44" s="37"/>
      <c r="CQV44" s="37"/>
      <c r="CQW44" s="37"/>
      <c r="CQX44" s="37"/>
      <c r="CQY44" s="75"/>
      <c r="CQZ44" s="65"/>
      <c r="CRA44" s="65"/>
      <c r="CRB44" s="65"/>
      <c r="CRC44" s="65"/>
      <c r="CRD44" s="37"/>
      <c r="CRE44" s="138"/>
      <c r="CRF44" s="37"/>
      <c r="CRG44" s="37"/>
      <c r="CRH44" s="37"/>
      <c r="CRI44" s="37"/>
      <c r="CRJ44" s="37"/>
      <c r="CRK44" s="75"/>
      <c r="CRL44" s="37"/>
      <c r="CRM44" s="37"/>
      <c r="CRN44" s="37"/>
      <c r="CRO44" s="37"/>
      <c r="CRP44" s="37"/>
      <c r="CRQ44" s="138"/>
      <c r="CRR44" s="37"/>
      <c r="CRS44" s="37"/>
      <c r="CRT44" s="37"/>
      <c r="CRU44" s="37"/>
      <c r="CRV44" s="37"/>
      <c r="CRW44" s="75"/>
      <c r="CRX44" s="37"/>
      <c r="CRY44" s="37"/>
      <c r="CRZ44" s="37"/>
      <c r="CSA44" s="37"/>
      <c r="CSB44" s="37"/>
      <c r="CSC44" s="38"/>
      <c r="CSD44" s="90"/>
    </row>
    <row r="45" spans="1:2526" ht="20.100000000000001" customHeight="1" x14ac:dyDescent="0.25">
      <c r="A45" s="100" t="s">
        <v>18</v>
      </c>
      <c r="B45" s="63" t="str">
        <f>IF(LEN(C75)=0,"",C75)</f>
        <v/>
      </c>
      <c r="C45" s="211" t="s">
        <v>54</v>
      </c>
      <c r="D45" s="146" t="str">
        <f t="shared" si="0"/>
        <v>27h45min</v>
      </c>
      <c r="E45" s="39">
        <v>333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176"/>
      <c r="BAI45" s="175"/>
      <c r="BAJ45" s="175"/>
      <c r="BAK45" s="175"/>
      <c r="BAL45" s="171"/>
      <c r="BAM45" s="177"/>
      <c r="BAN45" s="171"/>
      <c r="BAO45" s="171"/>
      <c r="BAP45" s="171"/>
      <c r="BAQ45" s="171"/>
      <c r="BAR45" s="171"/>
      <c r="BAS45" s="172"/>
      <c r="BAT45" s="171"/>
      <c r="BAU45" s="171"/>
      <c r="BAV45" s="171"/>
      <c r="BAW45" s="171"/>
      <c r="BAX45" s="171"/>
      <c r="BAY45" s="173"/>
      <c r="BAZ45" s="171"/>
      <c r="BBA45" s="171"/>
      <c r="BBB45" s="171"/>
      <c r="BBC45" s="171"/>
      <c r="BBD45" s="171"/>
      <c r="BBE45" s="172"/>
      <c r="BBF45" s="171"/>
      <c r="BBG45" s="171"/>
      <c r="BBH45" s="171"/>
      <c r="BBI45" s="171"/>
      <c r="BBJ45" s="171"/>
      <c r="BBK45" s="173"/>
      <c r="BBL45" s="175"/>
      <c r="BBM45" s="175"/>
      <c r="BBN45" s="175"/>
      <c r="BBO45" s="175"/>
      <c r="BBP45" s="171"/>
      <c r="BBQ45" s="172"/>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6"/>
      <c r="BCQ45" s="175"/>
      <c r="BCR45" s="175"/>
      <c r="BCS45" s="175"/>
      <c r="BCT45" s="171"/>
      <c r="BCU45" s="177"/>
      <c r="BCV45" s="171"/>
      <c r="BCW45" s="171"/>
      <c r="BCX45" s="171"/>
      <c r="BCY45" s="171"/>
      <c r="BCZ45" s="171"/>
      <c r="BDA45" s="172"/>
      <c r="BDB45" s="171"/>
      <c r="BDC45" s="171"/>
      <c r="BDD45" s="171"/>
      <c r="BDE45" s="171"/>
      <c r="BDF45" s="171"/>
      <c r="BDG45" s="173"/>
      <c r="BDH45" s="171"/>
      <c r="BDI45" s="171"/>
      <c r="BDJ45" s="171"/>
      <c r="BDK45" s="171"/>
      <c r="BDL45" s="171"/>
      <c r="BDM45" s="172"/>
      <c r="BDN45" s="171"/>
      <c r="BDO45" s="171"/>
      <c r="BDP45" s="171"/>
      <c r="BDQ45" s="171"/>
      <c r="BDR45" s="171"/>
      <c r="BDS45" s="173"/>
      <c r="BDT45" s="175"/>
      <c r="BDU45" s="175"/>
      <c r="BDV45" s="175"/>
      <c r="BDW45" s="175"/>
      <c r="BDX45" s="171"/>
      <c r="BDY45" s="172"/>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176"/>
      <c r="BEY45" s="175"/>
      <c r="BEZ45" s="175"/>
      <c r="BFA45" s="175"/>
      <c r="BFB45" s="171"/>
      <c r="BFC45" s="177"/>
      <c r="BFD45" s="171"/>
      <c r="BFE45" s="171"/>
      <c r="BFF45" s="171"/>
      <c r="BFG45" s="171"/>
      <c r="BFH45" s="171"/>
      <c r="BFI45" s="172"/>
      <c r="BFJ45" s="171"/>
      <c r="BFK45" s="171"/>
      <c r="BFL45" s="171"/>
      <c r="BFM45" s="171"/>
      <c r="BFN45" s="171"/>
      <c r="BFO45" s="173"/>
      <c r="BFP45" s="171"/>
      <c r="BFQ45" s="171"/>
      <c r="BFR45" s="171"/>
      <c r="BFS45" s="171"/>
      <c r="BFT45" s="171"/>
      <c r="BFU45" s="172"/>
      <c r="BFV45" s="171"/>
      <c r="BFW45" s="171"/>
      <c r="BFX45" s="171"/>
      <c r="BFY45" s="171"/>
      <c r="BFZ45" s="171"/>
      <c r="BGA45" s="173"/>
      <c r="BGB45" s="175"/>
      <c r="BGC45" s="175"/>
      <c r="BGD45" s="175"/>
      <c r="BGE45" s="175"/>
      <c r="BGF45" s="171"/>
      <c r="BGG45" s="172"/>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76"/>
      <c r="BHG45" s="175"/>
      <c r="BHH45" s="175"/>
      <c r="BHI45" s="175"/>
      <c r="BHJ45" s="171"/>
      <c r="BHK45" s="177"/>
      <c r="BHL45" s="171"/>
      <c r="BHM45" s="171"/>
      <c r="BHN45" s="171"/>
      <c r="BHO45" s="171"/>
      <c r="BHP45" s="171"/>
      <c r="BHQ45" s="172"/>
      <c r="BHR45" s="171"/>
      <c r="BHS45" s="171"/>
      <c r="BHT45" s="171"/>
      <c r="BHU45" s="171"/>
      <c r="BHV45" s="171"/>
      <c r="BHW45" s="173"/>
      <c r="BHX45" s="171"/>
      <c r="BHY45" s="171"/>
      <c r="BHZ45" s="171"/>
      <c r="BIA45" s="171"/>
      <c r="BIB45" s="171"/>
      <c r="BIC45" s="172"/>
      <c r="BID45" s="171"/>
      <c r="BIE45" s="171"/>
      <c r="BIF45" s="171"/>
      <c r="BIG45" s="171"/>
      <c r="BIH45" s="171"/>
      <c r="BII45" s="173"/>
      <c r="BIJ45" s="175"/>
      <c r="BIK45" s="175"/>
      <c r="BIL45" s="175"/>
      <c r="BIM45" s="175"/>
      <c r="BIN45" s="171"/>
      <c r="BIO45" s="172"/>
      <c r="BIP45" s="171"/>
      <c r="BIQ45" s="171"/>
      <c r="BIR45" s="171"/>
      <c r="BIS45" s="171"/>
      <c r="BIT45" s="171"/>
      <c r="BIU45" s="173"/>
      <c r="BIV45" s="171"/>
      <c r="BIW45" s="171"/>
      <c r="BIX45" s="171"/>
      <c r="BIY45" s="41"/>
      <c r="BIZ45" s="41"/>
      <c r="BJA45" s="139"/>
      <c r="BJB45" s="41"/>
      <c r="BJC45" s="41"/>
      <c r="BJD45" s="41"/>
      <c r="BJE45" s="41"/>
      <c r="BJF45" s="41"/>
      <c r="BJG45" s="76"/>
      <c r="BJH45" s="41"/>
      <c r="BJI45" s="41"/>
      <c r="BJJ45" s="41"/>
      <c r="BJK45" s="41"/>
      <c r="BJL45" s="41"/>
      <c r="BJM45" s="42"/>
      <c r="BJN45" s="176"/>
      <c r="BJO45" s="175"/>
      <c r="BJP45" s="175"/>
      <c r="BJQ45" s="175"/>
      <c r="BJR45" s="171"/>
      <c r="BJS45" s="177"/>
      <c r="BJT45" s="171"/>
      <c r="BJU45" s="171"/>
      <c r="BJV45" s="171"/>
      <c r="BJW45" s="171"/>
      <c r="BJX45" s="171"/>
      <c r="BJY45" s="172"/>
      <c r="BJZ45" s="171"/>
      <c r="BKA45" s="171"/>
      <c r="BKB45" s="171"/>
      <c r="BKC45" s="171"/>
      <c r="BKD45" s="171"/>
      <c r="BKE45" s="173"/>
      <c r="BKF45" s="171"/>
      <c r="BKG45" s="171"/>
      <c r="BKH45" s="171"/>
      <c r="BKI45" s="171"/>
      <c r="BKJ45" s="171"/>
      <c r="BKK45" s="172"/>
      <c r="BKL45" s="171"/>
      <c r="BKM45" s="171"/>
      <c r="BKN45" s="171"/>
      <c r="BKO45" s="171"/>
      <c r="BKP45" s="171"/>
      <c r="BKQ45" s="173"/>
      <c r="BKR45" s="175"/>
      <c r="BKS45" s="175"/>
      <c r="BKT45" s="175"/>
      <c r="BKU45" s="175"/>
      <c r="BKV45" s="171"/>
      <c r="BKW45" s="172"/>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176"/>
      <c r="BLW45" s="175"/>
      <c r="BLX45" s="175"/>
      <c r="BLY45" s="175"/>
      <c r="BLZ45" s="171"/>
      <c r="BMA45" s="177"/>
      <c r="BMB45" s="171"/>
      <c r="BMC45" s="171"/>
      <c r="BMD45" s="171"/>
      <c r="BME45" s="171"/>
      <c r="BMF45" s="171"/>
      <c r="BMG45" s="172"/>
      <c r="BMH45" s="171"/>
      <c r="BMI45" s="171"/>
      <c r="BMJ45" s="171"/>
      <c r="BMK45" s="171"/>
      <c r="BML45" s="171"/>
      <c r="BMM45" s="173"/>
      <c r="BMN45" s="171"/>
      <c r="BMO45" s="171"/>
      <c r="BMP45" s="171"/>
      <c r="BMQ45" s="171"/>
      <c r="BMR45" s="171"/>
      <c r="BMS45" s="172"/>
      <c r="BMT45" s="171"/>
      <c r="BMU45" s="171"/>
      <c r="BMV45" s="171"/>
      <c r="BMW45" s="171"/>
      <c r="BMX45" s="171"/>
      <c r="BMY45" s="173"/>
      <c r="BMZ45" s="175"/>
      <c r="BNA45" s="175"/>
      <c r="BNB45" s="175"/>
      <c r="BNC45" s="175"/>
      <c r="BND45" s="171"/>
      <c r="BNE45" s="172"/>
      <c r="BNF45" s="171"/>
      <c r="BNG45" s="171"/>
      <c r="BNH45" s="171"/>
      <c r="BNI45" s="171"/>
      <c r="BNJ45" s="171"/>
      <c r="BNK45" s="173"/>
      <c r="BNL45" s="171"/>
      <c r="BNM45" s="171"/>
      <c r="BNN45" s="171"/>
      <c r="BNO45" s="41"/>
      <c r="BNP45" s="41"/>
      <c r="BNQ45" s="139"/>
      <c r="BNR45" s="41"/>
      <c r="BNS45" s="41"/>
      <c r="BNT45" s="41"/>
      <c r="BNU45" s="41"/>
      <c r="BNV45" s="41"/>
      <c r="BNW45" s="76"/>
      <c r="BNX45" s="41"/>
      <c r="BNY45" s="41"/>
      <c r="BNZ45" s="41"/>
      <c r="BOA45" s="41"/>
      <c r="BOB45" s="41"/>
      <c r="BOC45" s="42"/>
      <c r="BOD45" s="176"/>
      <c r="BOE45" s="175"/>
      <c r="BOF45" s="175"/>
      <c r="BOG45" s="175"/>
      <c r="BOH45" s="171"/>
      <c r="BOI45" s="177"/>
      <c r="BOJ45" s="171"/>
      <c r="BOK45" s="171"/>
      <c r="BOL45" s="171"/>
      <c r="BOM45" s="171"/>
      <c r="BON45" s="171"/>
      <c r="BOO45" s="172"/>
      <c r="BOP45" s="171"/>
      <c r="BOQ45" s="171"/>
      <c r="BOR45" s="171"/>
      <c r="BOS45" s="171"/>
      <c r="BOT45" s="171"/>
      <c r="BOU45" s="173"/>
      <c r="BOV45" s="171"/>
      <c r="BOW45" s="171"/>
      <c r="BOX45" s="171"/>
      <c r="BOY45" s="171"/>
      <c r="BOZ45" s="171"/>
      <c r="BPA45" s="172"/>
      <c r="BPB45" s="171"/>
      <c r="BPC45" s="171"/>
      <c r="BPD45" s="171"/>
      <c r="BPE45" s="41"/>
      <c r="BPF45" s="41"/>
      <c r="BPG45" s="76"/>
      <c r="BPH45" s="66"/>
      <c r="BPI45" s="66"/>
      <c r="BPJ45" s="66"/>
      <c r="BPK45" s="66"/>
      <c r="BPL45" s="41"/>
      <c r="BPM45" s="139"/>
      <c r="BPN45" s="41"/>
      <c r="BPO45" s="41"/>
      <c r="BPP45" s="41"/>
      <c r="BPQ45" s="41"/>
      <c r="BPR45" s="41"/>
      <c r="BPS45" s="76"/>
      <c r="BPT45" s="41"/>
      <c r="BPU45" s="41"/>
      <c r="BPV45" s="41"/>
      <c r="BPW45" s="41"/>
      <c r="BPX45" s="41"/>
      <c r="BPY45" s="139"/>
      <c r="BPZ45" s="41"/>
      <c r="BQA45" s="41"/>
      <c r="BQB45" s="41"/>
      <c r="BQC45" s="41"/>
      <c r="BQD45" s="41"/>
      <c r="BQE45" s="76"/>
      <c r="BQF45" s="41"/>
      <c r="BQG45" s="41"/>
      <c r="BQH45" s="41"/>
      <c r="BQI45" s="41"/>
      <c r="BQJ45" s="41"/>
      <c r="BQK45" s="42"/>
      <c r="BQL45" s="176"/>
      <c r="BQM45" s="175"/>
      <c r="BQN45" s="175"/>
      <c r="BQO45" s="175"/>
      <c r="BQP45" s="171"/>
      <c r="BQQ45" s="177"/>
      <c r="BQR45" s="171"/>
      <c r="BQS45" s="171"/>
      <c r="BQT45" s="171"/>
      <c r="BQU45" s="171"/>
      <c r="BQV45" s="171"/>
      <c r="BQW45" s="172"/>
      <c r="BQX45" s="171"/>
      <c r="BQY45" s="171"/>
      <c r="BQZ45" s="171"/>
      <c r="BRA45" s="171"/>
      <c r="BRB45" s="171"/>
      <c r="BRC45" s="173"/>
      <c r="BRD45" s="171"/>
      <c r="BRE45" s="171"/>
      <c r="BRF45" s="171"/>
      <c r="BRG45" s="171"/>
      <c r="BRH45" s="171"/>
      <c r="BRI45" s="172"/>
      <c r="BRJ45" s="171"/>
      <c r="BRK45" s="171"/>
      <c r="BRL45" s="171"/>
      <c r="BRM45" s="171"/>
      <c r="BRN45" s="171"/>
      <c r="BRO45" s="173"/>
      <c r="BRP45" s="175"/>
      <c r="BRQ45" s="175"/>
      <c r="BRR45" s="175"/>
      <c r="BRS45" s="175"/>
      <c r="BRT45" s="171"/>
      <c r="BRU45" s="172"/>
      <c r="BRV45" s="41"/>
      <c r="BRW45" s="41"/>
      <c r="BRX45" s="41"/>
      <c r="BRY45" s="41"/>
      <c r="BRZ45" s="41"/>
      <c r="BSA45" s="76"/>
      <c r="BSB45" s="41"/>
      <c r="BSC45" s="41"/>
      <c r="BSD45" s="41"/>
      <c r="BSE45" s="41"/>
      <c r="BSF45" s="41"/>
      <c r="BSG45" s="139"/>
      <c r="BSH45" s="41"/>
      <c r="BSI45" s="41"/>
      <c r="BSJ45" s="41"/>
      <c r="BSK45" s="41"/>
      <c r="BSL45" s="41"/>
      <c r="BSM45" s="76"/>
      <c r="BSN45" s="41"/>
      <c r="BSO45" s="41"/>
      <c r="BSP45" s="41"/>
      <c r="BSQ45" s="41"/>
      <c r="BSR45" s="41"/>
      <c r="BSS45" s="42"/>
      <c r="BST45" s="176"/>
      <c r="BSU45" s="175"/>
      <c r="BSV45" s="175"/>
      <c r="BSW45" s="175"/>
      <c r="BSX45" s="171"/>
      <c r="BSY45" s="177"/>
      <c r="BSZ45" s="171"/>
      <c r="BTA45" s="171"/>
      <c r="BTB45" s="171"/>
      <c r="BTC45" s="171"/>
      <c r="BTD45" s="171"/>
      <c r="BTE45" s="172"/>
      <c r="BTF45" s="171"/>
      <c r="BTG45" s="171"/>
      <c r="BTH45" s="171"/>
      <c r="BTI45" s="171"/>
      <c r="BTJ45" s="171"/>
      <c r="BTK45" s="173"/>
      <c r="BTL45" s="171"/>
      <c r="BTM45" s="171"/>
      <c r="BTN45" s="171"/>
      <c r="BTO45" s="171"/>
      <c r="BTP45" s="171"/>
      <c r="BTQ45" s="172"/>
      <c r="BTR45" s="171"/>
      <c r="BTS45" s="171"/>
      <c r="BTT45" s="171"/>
      <c r="BTU45" s="171"/>
      <c r="BTV45" s="171"/>
      <c r="BTW45" s="173"/>
      <c r="BTX45" s="175"/>
      <c r="BTY45" s="175"/>
      <c r="BTZ45" s="175"/>
      <c r="BUA45" s="175"/>
      <c r="BUB45" s="171"/>
      <c r="BUC45" s="172"/>
      <c r="BUD45" s="41"/>
      <c r="BUE45" s="41"/>
      <c r="BUF45" s="41"/>
      <c r="BUG45" s="41"/>
      <c r="BUH45" s="41"/>
      <c r="BUI45" s="76"/>
      <c r="BUJ45" s="41"/>
      <c r="BUK45" s="41"/>
      <c r="BUL45" s="41"/>
      <c r="BUM45" s="41"/>
      <c r="BUN45" s="41"/>
      <c r="BUO45" s="139"/>
      <c r="BUP45" s="41"/>
      <c r="BUQ45" s="41"/>
      <c r="BUR45" s="41"/>
      <c r="BUS45" s="41"/>
      <c r="BUT45" s="41"/>
      <c r="BUU45" s="76"/>
      <c r="BUV45" s="41"/>
      <c r="BUW45" s="41"/>
      <c r="BUX45" s="41"/>
      <c r="BUY45" s="41"/>
      <c r="BUZ45" s="41"/>
      <c r="BVA45" s="42"/>
      <c r="BVB45" s="40"/>
      <c r="BVC45" s="66"/>
      <c r="BVD45" s="66"/>
      <c r="BVE45" s="66"/>
      <c r="BVF45" s="41"/>
      <c r="BVG45" s="134"/>
      <c r="BVH45" s="41"/>
      <c r="BVI45" s="41"/>
      <c r="BVJ45" s="41"/>
      <c r="BVK45" s="41"/>
      <c r="BVL45" s="41"/>
      <c r="BVM45" s="139"/>
      <c r="BVN45" s="41"/>
      <c r="BVO45" s="41"/>
      <c r="BVP45" s="41"/>
      <c r="BVQ45" s="41"/>
      <c r="BVR45" s="41"/>
      <c r="BVS45" s="76"/>
      <c r="BVT45" s="41"/>
      <c r="BVU45" s="41"/>
      <c r="BVV45" s="41"/>
      <c r="BVW45" s="41"/>
      <c r="BVX45" s="41"/>
      <c r="BVY45" s="139"/>
      <c r="BVZ45" s="41"/>
      <c r="BWA45" s="41"/>
      <c r="BWB45" s="41"/>
      <c r="BWC45" s="41"/>
      <c r="BWD45" s="41"/>
      <c r="BWE45" s="76"/>
      <c r="BWF45" s="66"/>
      <c r="BWG45" s="66"/>
      <c r="BWH45" s="66"/>
      <c r="BWI45" s="66"/>
      <c r="BWJ45" s="41"/>
      <c r="BWK45" s="139"/>
      <c r="BWL45" s="41"/>
      <c r="BWM45" s="41"/>
      <c r="BWN45" s="41"/>
      <c r="BWO45" s="41"/>
      <c r="BWP45" s="41"/>
      <c r="BWQ45" s="76"/>
      <c r="BWR45" s="41"/>
      <c r="BWS45" s="41"/>
      <c r="BWT45" s="41"/>
      <c r="BWU45" s="41"/>
      <c r="BWV45" s="41"/>
      <c r="BWW45" s="139"/>
      <c r="BWX45" s="41"/>
      <c r="BWY45" s="41"/>
      <c r="BWZ45" s="41"/>
      <c r="BXA45" s="41"/>
      <c r="BXB45" s="41"/>
      <c r="BXC45" s="76"/>
      <c r="BXD45" s="41"/>
      <c r="BXE45" s="41"/>
      <c r="BXF45" s="41"/>
      <c r="BXG45" s="41"/>
      <c r="BXH45" s="41"/>
      <c r="BXI45" s="42"/>
      <c r="BXJ45" s="40"/>
      <c r="BXK45" s="66"/>
      <c r="BXL45" s="66"/>
      <c r="BXM45" s="66"/>
      <c r="BXN45" s="41"/>
      <c r="BXO45" s="134"/>
      <c r="BXP45" s="41"/>
      <c r="BXQ45" s="41"/>
      <c r="BXR45" s="41"/>
      <c r="BXS45" s="41"/>
      <c r="BXT45" s="41"/>
      <c r="BXU45" s="139"/>
      <c r="BXV45" s="41"/>
      <c r="BXW45" s="41"/>
      <c r="BXX45" s="41"/>
      <c r="BXY45" s="41"/>
      <c r="BXZ45" s="41"/>
      <c r="BYA45" s="76"/>
      <c r="BYB45" s="41"/>
      <c r="BYC45" s="41"/>
      <c r="BYD45" s="41"/>
      <c r="BYE45" s="41"/>
      <c r="BYF45" s="41"/>
      <c r="BYG45" s="139"/>
      <c r="BYH45" s="41"/>
      <c r="BYI45" s="41"/>
      <c r="BYJ45" s="41"/>
      <c r="BYK45" s="41"/>
      <c r="BYL45" s="41"/>
      <c r="BYM45" s="76"/>
      <c r="BYN45" s="66"/>
      <c r="BYO45" s="66"/>
      <c r="BYP45" s="66"/>
      <c r="BYQ45" s="66"/>
      <c r="BYR45" s="41"/>
      <c r="BYS45" s="139"/>
      <c r="BYT45" s="41"/>
      <c r="BYU45" s="41"/>
      <c r="BYV45" s="41"/>
      <c r="BYW45" s="41"/>
      <c r="BYX45" s="41"/>
      <c r="BYY45" s="76"/>
      <c r="BYZ45" s="41"/>
      <c r="BZA45" s="41"/>
      <c r="BZB45" s="41"/>
      <c r="BZC45" s="41"/>
      <c r="BZD45" s="41"/>
      <c r="BZE45" s="139"/>
      <c r="BZF45" s="41"/>
      <c r="BZG45" s="41"/>
      <c r="BZH45" s="41"/>
      <c r="BZI45" s="41"/>
      <c r="BZJ45" s="41"/>
      <c r="BZK45" s="76"/>
      <c r="BZL45" s="41"/>
      <c r="BZM45" s="41"/>
      <c r="BZN45" s="41"/>
      <c r="BZO45" s="41"/>
      <c r="BZP45" s="41"/>
      <c r="BZQ45" s="42"/>
      <c r="BZR45" s="40"/>
      <c r="BZS45" s="66"/>
      <c r="BZT45" s="66"/>
      <c r="BZU45" s="66"/>
      <c r="BZV45" s="41"/>
      <c r="BZW45" s="134"/>
      <c r="BZX45" s="41"/>
      <c r="BZY45" s="41"/>
      <c r="BZZ45" s="41"/>
      <c r="CAA45" s="41"/>
      <c r="CAB45" s="41"/>
      <c r="CAC45" s="139"/>
      <c r="CAD45" s="41"/>
      <c r="CAE45" s="41"/>
      <c r="CAF45" s="41"/>
      <c r="CAG45" s="41"/>
      <c r="CAH45" s="41"/>
      <c r="CAI45" s="76"/>
      <c r="CAJ45" s="41"/>
      <c r="CAK45" s="41"/>
      <c r="CAL45" s="41"/>
      <c r="CAM45" s="41"/>
      <c r="CAN45" s="41"/>
      <c r="CAO45" s="139"/>
      <c r="CAP45" s="41"/>
      <c r="CAQ45" s="41"/>
      <c r="CAR45" s="41"/>
      <c r="CAS45" s="41"/>
      <c r="CAT45" s="41"/>
      <c r="CAU45" s="76"/>
      <c r="CAV45" s="66"/>
      <c r="CAW45" s="66"/>
      <c r="CAX45" s="66"/>
      <c r="CAY45" s="66"/>
      <c r="CAZ45" s="41"/>
      <c r="CBA45" s="139"/>
      <c r="CBB45" s="41"/>
      <c r="CBC45" s="41"/>
      <c r="CBD45" s="41"/>
      <c r="CBE45" s="41"/>
      <c r="CBF45" s="41"/>
      <c r="CBG45" s="76"/>
      <c r="CBH45" s="41"/>
      <c r="CBI45" s="41"/>
      <c r="CBJ45" s="41"/>
      <c r="CBK45" s="41"/>
      <c r="CBL45" s="41"/>
      <c r="CBM45" s="139"/>
      <c r="CBN45" s="41"/>
      <c r="CBO45" s="41"/>
      <c r="CBP45" s="41"/>
      <c r="CBQ45" s="41"/>
      <c r="CBR45" s="41"/>
      <c r="CBS45" s="76"/>
      <c r="CBT45" s="41"/>
      <c r="CBU45" s="41"/>
      <c r="CBV45" s="41"/>
      <c r="CBW45" s="41"/>
      <c r="CBX45" s="41"/>
      <c r="CBY45" s="42"/>
      <c r="CBZ45" s="40"/>
      <c r="CCA45" s="66"/>
      <c r="CCB45" s="66"/>
      <c r="CCC45" s="66"/>
      <c r="CCD45" s="41"/>
      <c r="CCE45" s="134"/>
      <c r="CCF45" s="41"/>
      <c r="CCG45" s="41"/>
      <c r="CCH45" s="41"/>
      <c r="CCI45" s="41"/>
      <c r="CCJ45" s="41"/>
      <c r="CCK45" s="139"/>
      <c r="CCL45" s="41"/>
      <c r="CCM45" s="41"/>
      <c r="CCN45" s="41"/>
      <c r="CCO45" s="41"/>
      <c r="CCP45" s="41"/>
      <c r="CCQ45" s="76"/>
      <c r="CCR45" s="41"/>
      <c r="CCS45" s="41"/>
      <c r="CCT45" s="41"/>
      <c r="CCU45" s="41"/>
      <c r="CCV45" s="41"/>
      <c r="CCW45" s="139"/>
      <c r="CCX45" s="41"/>
      <c r="CCY45" s="41"/>
      <c r="CCZ45" s="41"/>
      <c r="CDA45" s="41"/>
      <c r="CDB45" s="41"/>
      <c r="CDC45" s="76"/>
      <c r="CDD45" s="66"/>
      <c r="CDE45" s="66"/>
      <c r="CDF45" s="66"/>
      <c r="CDG45" s="66"/>
      <c r="CDH45" s="41"/>
      <c r="CDI45" s="139"/>
      <c r="CDJ45" s="41"/>
      <c r="CDK45" s="41"/>
      <c r="CDL45" s="41"/>
      <c r="CDM45" s="41"/>
      <c r="CDN45" s="41"/>
      <c r="CDO45" s="76"/>
      <c r="CDP45" s="41"/>
      <c r="CDQ45" s="41"/>
      <c r="CDR45" s="41"/>
      <c r="CDS45" s="41"/>
      <c r="CDT45" s="41"/>
      <c r="CDU45" s="139"/>
      <c r="CDV45" s="41"/>
      <c r="CDW45" s="41"/>
      <c r="CDX45" s="41"/>
      <c r="CDY45" s="41"/>
      <c r="CDZ45" s="41"/>
      <c r="CEA45" s="76"/>
      <c r="CEB45" s="41"/>
      <c r="CEC45" s="41"/>
      <c r="CED45" s="41"/>
      <c r="CEE45" s="41"/>
      <c r="CEF45" s="41"/>
      <c r="CEG45" s="42"/>
      <c r="CEH45" s="40"/>
      <c r="CEI45" s="66"/>
      <c r="CEJ45" s="66"/>
      <c r="CEK45" s="66"/>
      <c r="CEL45" s="41"/>
      <c r="CEM45" s="134"/>
      <c r="CEN45" s="41"/>
      <c r="CEO45" s="41"/>
      <c r="CEP45" s="41"/>
      <c r="CEQ45" s="41"/>
      <c r="CER45" s="41"/>
      <c r="CES45" s="139"/>
      <c r="CET45" s="41"/>
      <c r="CEU45" s="41"/>
      <c r="CEV45" s="41"/>
      <c r="CEW45" s="41"/>
      <c r="CEX45" s="41"/>
      <c r="CEY45" s="76"/>
      <c r="CEZ45" s="41"/>
      <c r="CFA45" s="41"/>
      <c r="CFB45" s="41"/>
      <c r="CFC45" s="41"/>
      <c r="CFD45" s="41"/>
      <c r="CFE45" s="139"/>
      <c r="CFF45" s="41"/>
      <c r="CFG45" s="41"/>
      <c r="CFH45" s="41"/>
      <c r="CFI45" s="41"/>
      <c r="CFJ45" s="41"/>
      <c r="CFK45" s="76"/>
      <c r="CFL45" s="66"/>
      <c r="CFM45" s="66"/>
      <c r="CFN45" s="66"/>
      <c r="CFO45" s="66"/>
      <c r="CFP45" s="41"/>
      <c r="CFQ45" s="139"/>
      <c r="CFR45" s="41"/>
      <c r="CFS45" s="41"/>
      <c r="CFT45" s="41"/>
      <c r="CFU45" s="41"/>
      <c r="CFV45" s="41"/>
      <c r="CFW45" s="76"/>
      <c r="CFX45" s="41"/>
      <c r="CFY45" s="41"/>
      <c r="CFZ45" s="41"/>
      <c r="CGA45" s="41"/>
      <c r="CGB45" s="41"/>
      <c r="CGC45" s="139"/>
      <c r="CGD45" s="41"/>
      <c r="CGE45" s="41"/>
      <c r="CGF45" s="41"/>
      <c r="CGG45" s="41"/>
      <c r="CGH45" s="41"/>
      <c r="CGI45" s="76"/>
      <c r="CGJ45" s="41"/>
      <c r="CGK45" s="41"/>
      <c r="CGL45" s="41"/>
      <c r="CGM45" s="41"/>
      <c r="CGN45" s="41"/>
      <c r="CGO45" s="42"/>
      <c r="CGP45" s="40"/>
      <c r="CGQ45" s="66"/>
      <c r="CGR45" s="66"/>
      <c r="CGS45" s="66"/>
      <c r="CGT45" s="41"/>
      <c r="CGU45" s="134"/>
      <c r="CGV45" s="41"/>
      <c r="CGW45" s="41"/>
      <c r="CGX45" s="41"/>
      <c r="CGY45" s="41"/>
      <c r="CGZ45" s="41"/>
      <c r="CHA45" s="139"/>
      <c r="CHB45" s="41"/>
      <c r="CHC45" s="41"/>
      <c r="CHD45" s="41"/>
      <c r="CHE45" s="41"/>
      <c r="CHF45" s="41"/>
      <c r="CHG45" s="76"/>
      <c r="CHH45" s="41"/>
      <c r="CHI45" s="41"/>
      <c r="CHJ45" s="41"/>
      <c r="CHK45" s="41"/>
      <c r="CHL45" s="41"/>
      <c r="CHM45" s="139"/>
      <c r="CHN45" s="41"/>
      <c r="CHO45" s="41"/>
      <c r="CHP45" s="41"/>
      <c r="CHQ45" s="41"/>
      <c r="CHR45" s="41"/>
      <c r="CHS45" s="76"/>
      <c r="CHT45" s="66"/>
      <c r="CHU45" s="66"/>
      <c r="CHV45" s="66"/>
      <c r="CHW45" s="66"/>
      <c r="CHX45" s="41"/>
      <c r="CHY45" s="139"/>
      <c r="CHZ45" s="41"/>
      <c r="CIA45" s="41"/>
      <c r="CIB45" s="41"/>
      <c r="CIC45" s="41"/>
      <c r="CID45" s="41"/>
      <c r="CIE45" s="76"/>
      <c r="CIF45" s="41"/>
      <c r="CIG45" s="41"/>
      <c r="CIH45" s="41"/>
      <c r="CII45" s="41"/>
      <c r="CIJ45" s="41"/>
      <c r="CIK45" s="139"/>
      <c r="CIL45" s="41"/>
      <c r="CIM45" s="41"/>
      <c r="CIN45" s="41"/>
      <c r="CIO45" s="41"/>
      <c r="CIP45" s="41"/>
      <c r="CIQ45" s="76"/>
      <c r="CIR45" s="41"/>
      <c r="CIS45" s="41"/>
      <c r="CIT45" s="41"/>
      <c r="CIU45" s="41"/>
      <c r="CIV45" s="41"/>
      <c r="CIW45" s="42"/>
      <c r="CIX45" s="40"/>
      <c r="CIY45" s="66"/>
      <c r="CIZ45" s="66"/>
      <c r="CJA45" s="66"/>
      <c r="CJB45" s="41"/>
      <c r="CJC45" s="134"/>
      <c r="CJD45" s="41"/>
      <c r="CJE45" s="41"/>
      <c r="CJF45" s="41"/>
      <c r="CJG45" s="41"/>
      <c r="CJH45" s="41"/>
      <c r="CJI45" s="139"/>
      <c r="CJJ45" s="41"/>
      <c r="CJK45" s="41"/>
      <c r="CJL45" s="41"/>
      <c r="CJM45" s="41"/>
      <c r="CJN45" s="41"/>
      <c r="CJO45" s="76"/>
      <c r="CJP45" s="41"/>
      <c r="CJQ45" s="41"/>
      <c r="CJR45" s="41"/>
      <c r="CJS45" s="41"/>
      <c r="CJT45" s="41"/>
      <c r="CJU45" s="139"/>
      <c r="CJV45" s="41"/>
      <c r="CJW45" s="41"/>
      <c r="CJX45" s="41"/>
      <c r="CJY45" s="41"/>
      <c r="CJZ45" s="41"/>
      <c r="CKA45" s="76"/>
      <c r="CKB45" s="66"/>
      <c r="CKC45" s="66"/>
      <c r="CKD45" s="66"/>
      <c r="CKE45" s="66"/>
      <c r="CKF45" s="41"/>
      <c r="CKG45" s="139"/>
      <c r="CKH45" s="41"/>
      <c r="CKI45" s="41"/>
      <c r="CKJ45" s="41"/>
      <c r="CKK45" s="41"/>
      <c r="CKL45" s="41"/>
      <c r="CKM45" s="76"/>
      <c r="CKN45" s="41"/>
      <c r="CKO45" s="41"/>
      <c r="CKP45" s="41"/>
      <c r="CKQ45" s="41"/>
      <c r="CKR45" s="41"/>
      <c r="CKS45" s="139"/>
      <c r="CKT45" s="41"/>
      <c r="CKU45" s="41"/>
      <c r="CKV45" s="41"/>
      <c r="CKW45" s="41"/>
      <c r="CKX45" s="41"/>
      <c r="CKY45" s="76"/>
      <c r="CKZ45" s="41"/>
      <c r="CLA45" s="41"/>
      <c r="CLB45" s="41"/>
      <c r="CLC45" s="41"/>
      <c r="CLD45" s="41"/>
      <c r="CLE45" s="42"/>
      <c r="CLF45" s="40"/>
      <c r="CLG45" s="66"/>
      <c r="CLH45" s="66"/>
      <c r="CLI45" s="66"/>
      <c r="CLJ45" s="41"/>
      <c r="CLK45" s="134"/>
      <c r="CLL45" s="41"/>
      <c r="CLM45" s="41"/>
      <c r="CLN45" s="41"/>
      <c r="CLO45" s="41"/>
      <c r="CLP45" s="41"/>
      <c r="CLQ45" s="139"/>
      <c r="CLR45" s="41"/>
      <c r="CLS45" s="41"/>
      <c r="CLT45" s="41"/>
      <c r="CLU45" s="41"/>
      <c r="CLV45" s="41"/>
      <c r="CLW45" s="76"/>
      <c r="CLX45" s="41"/>
      <c r="CLY45" s="41"/>
      <c r="CLZ45" s="41"/>
      <c r="CMA45" s="41"/>
      <c r="CMB45" s="41"/>
      <c r="CMC45" s="139"/>
      <c r="CMD45" s="41"/>
      <c r="CME45" s="41"/>
      <c r="CMF45" s="41"/>
      <c r="CMG45" s="41"/>
      <c r="CMH45" s="41"/>
      <c r="CMI45" s="76"/>
      <c r="CMJ45" s="66"/>
      <c r="CMK45" s="66"/>
      <c r="CML45" s="66"/>
      <c r="CMM45" s="66"/>
      <c r="CMN45" s="41"/>
      <c r="CMO45" s="139"/>
      <c r="CMP45" s="41"/>
      <c r="CMQ45" s="41"/>
      <c r="CMR45" s="41"/>
      <c r="CMS45" s="41"/>
      <c r="CMT45" s="41"/>
      <c r="CMU45" s="76"/>
      <c r="CMV45" s="41"/>
      <c r="CMW45" s="41"/>
      <c r="CMX45" s="41"/>
      <c r="CMY45" s="41"/>
      <c r="CMZ45" s="41"/>
      <c r="CNA45" s="139"/>
      <c r="CNB45" s="41"/>
      <c r="CNC45" s="41"/>
      <c r="CND45" s="41"/>
      <c r="CNE45" s="41"/>
      <c r="CNF45" s="41"/>
      <c r="CNG45" s="76"/>
      <c r="CNH45" s="41"/>
      <c r="CNI45" s="41"/>
      <c r="CNJ45" s="41"/>
      <c r="CNK45" s="41"/>
      <c r="CNL45" s="41"/>
      <c r="CNM45" s="42"/>
      <c r="CNN45" s="40"/>
      <c r="CNO45" s="66"/>
      <c r="CNP45" s="66"/>
      <c r="CNQ45" s="66"/>
      <c r="CNR45" s="41"/>
      <c r="CNS45" s="134"/>
      <c r="CNT45" s="41"/>
      <c r="CNU45" s="41"/>
      <c r="CNV45" s="41"/>
      <c r="CNW45" s="41"/>
      <c r="CNX45" s="41"/>
      <c r="CNY45" s="139"/>
      <c r="CNZ45" s="41"/>
      <c r="COA45" s="41"/>
      <c r="COB45" s="41"/>
      <c r="COC45" s="41"/>
      <c r="COD45" s="41"/>
      <c r="COE45" s="76"/>
      <c r="COF45" s="41"/>
      <c r="COG45" s="41"/>
      <c r="COH45" s="41"/>
      <c r="COI45" s="41"/>
      <c r="COJ45" s="41"/>
      <c r="COK45" s="139"/>
      <c r="COL45" s="41"/>
      <c r="COM45" s="41"/>
      <c r="CON45" s="41"/>
      <c r="COO45" s="41"/>
      <c r="COP45" s="41"/>
      <c r="COQ45" s="76"/>
      <c r="COR45" s="66"/>
      <c r="COS45" s="66"/>
      <c r="COT45" s="66"/>
      <c r="COU45" s="66"/>
      <c r="COV45" s="41"/>
      <c r="COW45" s="139"/>
      <c r="COX45" s="41"/>
      <c r="COY45" s="41"/>
      <c r="COZ45" s="41"/>
      <c r="CPA45" s="41"/>
      <c r="CPB45" s="41"/>
      <c r="CPC45" s="76"/>
      <c r="CPD45" s="41"/>
      <c r="CPE45" s="41"/>
      <c r="CPF45" s="41"/>
      <c r="CPG45" s="41"/>
      <c r="CPH45" s="41"/>
      <c r="CPI45" s="139"/>
      <c r="CPJ45" s="41"/>
      <c r="CPK45" s="41"/>
      <c r="CPL45" s="41"/>
      <c r="CPM45" s="41"/>
      <c r="CPN45" s="41"/>
      <c r="CPO45" s="76"/>
      <c r="CPP45" s="41"/>
      <c r="CPQ45" s="41"/>
      <c r="CPR45" s="41"/>
      <c r="CPS45" s="41"/>
      <c r="CPT45" s="41"/>
      <c r="CPU45" s="42"/>
      <c r="CPV45" s="40"/>
      <c r="CPW45" s="66"/>
      <c r="CPX45" s="66"/>
      <c r="CPY45" s="66"/>
      <c r="CPZ45" s="41"/>
      <c r="CQA45" s="134"/>
      <c r="CQB45" s="41"/>
      <c r="CQC45" s="41"/>
      <c r="CQD45" s="41"/>
      <c r="CQE45" s="41"/>
      <c r="CQF45" s="41"/>
      <c r="CQG45" s="139"/>
      <c r="CQH45" s="41"/>
      <c r="CQI45" s="41"/>
      <c r="CQJ45" s="41"/>
      <c r="CQK45" s="41"/>
      <c r="CQL45" s="41"/>
      <c r="CQM45" s="76"/>
      <c r="CQN45" s="41"/>
      <c r="CQO45" s="41"/>
      <c r="CQP45" s="41"/>
      <c r="CQQ45" s="41"/>
      <c r="CQR45" s="41"/>
      <c r="CQS45" s="139"/>
      <c r="CQT45" s="41"/>
      <c r="CQU45" s="41"/>
      <c r="CQV45" s="41"/>
      <c r="CQW45" s="41"/>
      <c r="CQX45" s="41"/>
      <c r="CQY45" s="76"/>
      <c r="CQZ45" s="66"/>
      <c r="CRA45" s="66"/>
      <c r="CRB45" s="66"/>
      <c r="CRC45" s="66"/>
      <c r="CRD45" s="41"/>
      <c r="CRE45" s="139"/>
      <c r="CRF45" s="41"/>
      <c r="CRG45" s="41"/>
      <c r="CRH45" s="41"/>
      <c r="CRI45" s="41"/>
      <c r="CRJ45" s="41"/>
      <c r="CRK45" s="76"/>
      <c r="CRL45" s="41"/>
      <c r="CRM45" s="41"/>
      <c r="CRN45" s="41"/>
      <c r="CRO45" s="41"/>
      <c r="CRP45" s="41"/>
      <c r="CRQ45" s="139"/>
      <c r="CRR45" s="41"/>
      <c r="CRS45" s="41"/>
      <c r="CRT45" s="41"/>
      <c r="CRU45" s="41"/>
      <c r="CRV45" s="41"/>
      <c r="CRW45" s="76"/>
      <c r="CRX45" s="41"/>
      <c r="CRY45" s="41"/>
      <c r="CRZ45" s="41"/>
      <c r="CSA45" s="41"/>
      <c r="CSB45" s="41"/>
      <c r="CSC45" s="42"/>
      <c r="CSD45" s="90"/>
    </row>
    <row r="46" spans="1:2526" ht="20.100000000000001" customHeight="1" x14ac:dyDescent="0.25">
      <c r="A46" s="100" t="s">
        <v>19</v>
      </c>
      <c r="B46" s="63" t="str">
        <f>IF(LEN(C77)=0,"",C77)</f>
        <v/>
      </c>
      <c r="C46" s="213"/>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36"/>
      <c r="BLW46" s="65"/>
      <c r="BLX46" s="65"/>
      <c r="BLY46" s="65"/>
      <c r="BLZ46" s="37"/>
      <c r="BMA46" s="133"/>
      <c r="BMB46" s="37"/>
      <c r="BMC46" s="37"/>
      <c r="BMD46" s="37"/>
      <c r="BME46" s="37"/>
      <c r="BMF46" s="37"/>
      <c r="BMG46" s="138"/>
      <c r="BMH46" s="37"/>
      <c r="BMI46" s="37"/>
      <c r="BMJ46" s="37"/>
      <c r="BMK46" s="37"/>
      <c r="BML46" s="37"/>
      <c r="BMM46" s="75"/>
      <c r="BMN46" s="37"/>
      <c r="BMO46" s="37"/>
      <c r="BMP46" s="37"/>
      <c r="BMQ46" s="37"/>
      <c r="BMR46" s="37"/>
      <c r="BMS46" s="138"/>
      <c r="BMT46" s="37"/>
      <c r="BMU46" s="37"/>
      <c r="BMV46" s="37"/>
      <c r="BMW46" s="37"/>
      <c r="BMX46" s="37"/>
      <c r="BMY46" s="75"/>
      <c r="BMZ46" s="65"/>
      <c r="BNA46" s="65"/>
      <c r="BNB46" s="65"/>
      <c r="BNC46" s="65"/>
      <c r="BND46" s="37"/>
      <c r="BNE46" s="138"/>
      <c r="BNF46" s="37"/>
      <c r="BNG46" s="37"/>
      <c r="BNH46" s="37"/>
      <c r="BNI46" s="37"/>
      <c r="BNJ46" s="37"/>
      <c r="BNK46" s="75"/>
      <c r="BNL46" s="37"/>
      <c r="BNM46" s="37"/>
      <c r="BNN46" s="37"/>
      <c r="BNO46" s="37"/>
      <c r="BNP46" s="37"/>
      <c r="BNQ46" s="138"/>
      <c r="BNR46" s="37"/>
      <c r="BNS46" s="37"/>
      <c r="BNT46" s="37"/>
      <c r="BNU46" s="37"/>
      <c r="BNV46" s="37"/>
      <c r="BNW46" s="75"/>
      <c r="BNX46" s="37"/>
      <c r="BNY46" s="37"/>
      <c r="BNZ46" s="37"/>
      <c r="BOA46" s="37"/>
      <c r="BOB46" s="37"/>
      <c r="BOC46" s="38"/>
      <c r="BOD46" s="36"/>
      <c r="BOE46" s="65"/>
      <c r="BOF46" s="65"/>
      <c r="BOG46" s="65"/>
      <c r="BOH46" s="37"/>
      <c r="BOI46" s="133"/>
      <c r="BOJ46" s="37"/>
      <c r="BOK46" s="37"/>
      <c r="BOL46" s="37"/>
      <c r="BOM46" s="37"/>
      <c r="BON46" s="37"/>
      <c r="BOO46" s="138"/>
      <c r="BOP46" s="37"/>
      <c r="BOQ46" s="37"/>
      <c r="BOR46" s="37"/>
      <c r="BOS46" s="37"/>
      <c r="BOT46" s="37"/>
      <c r="BOU46" s="75"/>
      <c r="BOV46" s="37"/>
      <c r="BOW46" s="37"/>
      <c r="BOX46" s="37"/>
      <c r="BOY46" s="37"/>
      <c r="BOZ46" s="37"/>
      <c r="BPA46" s="138"/>
      <c r="BPB46" s="37"/>
      <c r="BPC46" s="37"/>
      <c r="BPD46" s="37"/>
      <c r="BPE46" s="37"/>
      <c r="BPF46" s="37"/>
      <c r="BPG46" s="75"/>
      <c r="BPH46" s="65"/>
      <c r="BPI46" s="65"/>
      <c r="BPJ46" s="65"/>
      <c r="BPK46" s="65"/>
      <c r="BPL46" s="37"/>
      <c r="BPM46" s="138"/>
      <c r="BPN46" s="37"/>
      <c r="BPO46" s="37"/>
      <c r="BPP46" s="37"/>
      <c r="BPQ46" s="37"/>
      <c r="BPR46" s="37"/>
      <c r="BPS46" s="75"/>
      <c r="BPT46" s="37"/>
      <c r="BPU46" s="37"/>
      <c r="BPV46" s="37"/>
      <c r="BPW46" s="37"/>
      <c r="BPX46" s="37"/>
      <c r="BPY46" s="138"/>
      <c r="BPZ46" s="37"/>
      <c r="BQA46" s="37"/>
      <c r="BQB46" s="37"/>
      <c r="BQC46" s="37"/>
      <c r="BQD46" s="37"/>
      <c r="BQE46" s="75"/>
      <c r="BQF46" s="37"/>
      <c r="BQG46" s="37"/>
      <c r="BQH46" s="37"/>
      <c r="BQI46" s="37"/>
      <c r="BQJ46" s="37"/>
      <c r="BQK46" s="38"/>
      <c r="BQL46" s="36"/>
      <c r="BQM46" s="65"/>
      <c r="BQN46" s="65"/>
      <c r="BQO46" s="65"/>
      <c r="BQP46" s="37"/>
      <c r="BQQ46" s="133"/>
      <c r="BQR46" s="37"/>
      <c r="BQS46" s="37"/>
      <c r="BQT46" s="37"/>
      <c r="BQU46" s="37"/>
      <c r="BQV46" s="37"/>
      <c r="BQW46" s="138"/>
      <c r="BQX46" s="37"/>
      <c r="BQY46" s="37"/>
      <c r="BQZ46" s="37"/>
      <c r="BRA46" s="37"/>
      <c r="BRB46" s="37"/>
      <c r="BRC46" s="75"/>
      <c r="BRD46" s="37"/>
      <c r="BRE46" s="37"/>
      <c r="BRF46" s="37"/>
      <c r="BRG46" s="37"/>
      <c r="BRH46" s="37"/>
      <c r="BRI46" s="138"/>
      <c r="BRJ46" s="37"/>
      <c r="BRK46" s="37"/>
      <c r="BRL46" s="37"/>
      <c r="BRM46" s="37"/>
      <c r="BRN46" s="37"/>
      <c r="BRO46" s="75"/>
      <c r="BRP46" s="65"/>
      <c r="BRQ46" s="65"/>
      <c r="BRR46" s="65"/>
      <c r="BRS46" s="65"/>
      <c r="BRT46" s="37"/>
      <c r="BRU46" s="138"/>
      <c r="BRV46" s="37"/>
      <c r="BRW46" s="37"/>
      <c r="BRX46" s="37"/>
      <c r="BRY46" s="37"/>
      <c r="BRZ46" s="37"/>
      <c r="BSA46" s="75"/>
      <c r="BSB46" s="37"/>
      <c r="BSC46" s="37"/>
      <c r="BSD46" s="37"/>
      <c r="BSE46" s="37"/>
      <c r="BSF46" s="37"/>
      <c r="BSG46" s="138"/>
      <c r="BSH46" s="37"/>
      <c r="BSI46" s="37"/>
      <c r="BSJ46" s="37"/>
      <c r="BSK46" s="37"/>
      <c r="BSL46" s="37"/>
      <c r="BSM46" s="75"/>
      <c r="BSN46" s="37"/>
      <c r="BSO46" s="37"/>
      <c r="BSP46" s="37"/>
      <c r="BSQ46" s="37"/>
      <c r="BSR46" s="37"/>
      <c r="BSS46" s="38"/>
      <c r="BST46" s="36"/>
      <c r="BSU46" s="65"/>
      <c r="BSV46" s="65"/>
      <c r="BSW46" s="65"/>
      <c r="BSX46" s="37"/>
      <c r="BSY46" s="133"/>
      <c r="BSZ46" s="37"/>
      <c r="BTA46" s="37"/>
      <c r="BTB46" s="37"/>
      <c r="BTC46" s="37"/>
      <c r="BTD46" s="37"/>
      <c r="BTE46" s="138"/>
      <c r="BTF46" s="37"/>
      <c r="BTG46" s="37"/>
      <c r="BTH46" s="37"/>
      <c r="BTI46" s="37"/>
      <c r="BTJ46" s="37"/>
      <c r="BTK46" s="75"/>
      <c r="BTL46" s="37"/>
      <c r="BTM46" s="37"/>
      <c r="BTN46" s="37"/>
      <c r="BTO46" s="37"/>
      <c r="BTP46" s="37"/>
      <c r="BTQ46" s="138"/>
      <c r="BTR46" s="37"/>
      <c r="BTS46" s="37"/>
      <c r="BTT46" s="37"/>
      <c r="BTU46" s="37"/>
      <c r="BTV46" s="37"/>
      <c r="BTW46" s="75"/>
      <c r="BTX46" s="65"/>
      <c r="BTY46" s="65"/>
      <c r="BTZ46" s="65"/>
      <c r="BUA46" s="65"/>
      <c r="BUB46" s="37"/>
      <c r="BUC46" s="138"/>
      <c r="BUD46" s="37"/>
      <c r="BUE46" s="37"/>
      <c r="BUF46" s="37"/>
      <c r="BUG46" s="37"/>
      <c r="BUH46" s="37"/>
      <c r="BUI46" s="75"/>
      <c r="BUJ46" s="37"/>
      <c r="BUK46" s="37"/>
      <c r="BUL46" s="37"/>
      <c r="BUM46" s="37"/>
      <c r="BUN46" s="37"/>
      <c r="BUO46" s="138"/>
      <c r="BUP46" s="37"/>
      <c r="BUQ46" s="37"/>
      <c r="BUR46" s="37"/>
      <c r="BUS46" s="37"/>
      <c r="BUT46" s="37"/>
      <c r="BUU46" s="75"/>
      <c r="BUV46" s="37"/>
      <c r="BUW46" s="37"/>
      <c r="BUX46" s="37"/>
      <c r="BUY46" s="37"/>
      <c r="BUZ46" s="37"/>
      <c r="BVA46" s="38"/>
      <c r="BVB46" s="36"/>
      <c r="BVC46" s="65"/>
      <c r="BVD46" s="65"/>
      <c r="BVE46" s="65"/>
      <c r="BVF46" s="37"/>
      <c r="BVG46" s="133"/>
      <c r="BVH46" s="37"/>
      <c r="BVI46" s="37"/>
      <c r="BVJ46" s="37"/>
      <c r="BVK46" s="37"/>
      <c r="BVL46" s="37"/>
      <c r="BVM46" s="138"/>
      <c r="BVN46" s="37"/>
      <c r="BVO46" s="37"/>
      <c r="BVP46" s="37"/>
      <c r="BVQ46" s="37"/>
      <c r="BVR46" s="37"/>
      <c r="BVS46" s="75"/>
      <c r="BVT46" s="37"/>
      <c r="BVU46" s="37"/>
      <c r="BVV46" s="37"/>
      <c r="BVW46" s="37"/>
      <c r="BVX46" s="37"/>
      <c r="BVY46" s="138"/>
      <c r="BVZ46" s="37"/>
      <c r="BWA46" s="37"/>
      <c r="BWB46" s="37"/>
      <c r="BWC46" s="37"/>
      <c r="BWD46" s="37"/>
      <c r="BWE46" s="75"/>
      <c r="BWF46" s="65"/>
      <c r="BWG46" s="65"/>
      <c r="BWH46" s="65"/>
      <c r="BWI46" s="65"/>
      <c r="BWJ46" s="37"/>
      <c r="BWK46" s="138"/>
      <c r="BWL46" s="37"/>
      <c r="BWM46" s="37"/>
      <c r="BWN46" s="37"/>
      <c r="BWO46" s="37"/>
      <c r="BWP46" s="37"/>
      <c r="BWQ46" s="75"/>
      <c r="BWR46" s="37"/>
      <c r="BWS46" s="37"/>
      <c r="BWT46" s="37"/>
      <c r="BWU46" s="37"/>
      <c r="BWV46" s="37"/>
      <c r="BWW46" s="138"/>
      <c r="BWX46" s="37"/>
      <c r="BWY46" s="37"/>
      <c r="BWZ46" s="37"/>
      <c r="BXA46" s="37"/>
      <c r="BXB46" s="37"/>
      <c r="BXC46" s="75"/>
      <c r="BXD46" s="37"/>
      <c r="BXE46" s="37"/>
      <c r="BXF46" s="37"/>
      <c r="BXG46" s="37"/>
      <c r="BXH46" s="37"/>
      <c r="BXI46" s="38"/>
      <c r="BXJ46" s="36"/>
      <c r="BXK46" s="65"/>
      <c r="BXL46" s="65"/>
      <c r="BXM46" s="65"/>
      <c r="BXN46" s="37"/>
      <c r="BXO46" s="133"/>
      <c r="BXP46" s="37"/>
      <c r="BXQ46" s="37"/>
      <c r="BXR46" s="37"/>
      <c r="BXS46" s="37"/>
      <c r="BXT46" s="37"/>
      <c r="BXU46" s="138"/>
      <c r="BXV46" s="37"/>
      <c r="BXW46" s="37"/>
      <c r="BXX46" s="37"/>
      <c r="BXY46" s="37"/>
      <c r="BXZ46" s="37"/>
      <c r="BYA46" s="75"/>
      <c r="BYB46" s="37"/>
      <c r="BYC46" s="37"/>
      <c r="BYD46" s="37"/>
      <c r="BYE46" s="37"/>
      <c r="BYF46" s="37"/>
      <c r="BYG46" s="138"/>
      <c r="BYH46" s="37"/>
      <c r="BYI46" s="37"/>
      <c r="BYJ46" s="37"/>
      <c r="BYK46" s="37"/>
      <c r="BYL46" s="37"/>
      <c r="BYM46" s="75"/>
      <c r="BYN46" s="65"/>
      <c r="BYO46" s="65"/>
      <c r="BYP46" s="65"/>
      <c r="BYQ46" s="65"/>
      <c r="BYR46" s="37"/>
      <c r="BYS46" s="138"/>
      <c r="BYT46" s="37"/>
      <c r="BYU46" s="37"/>
      <c r="BYV46" s="37"/>
      <c r="BYW46" s="37"/>
      <c r="BYX46" s="37"/>
      <c r="BYY46" s="75"/>
      <c r="BYZ46" s="37"/>
      <c r="BZA46" s="37"/>
      <c r="BZB46" s="37"/>
      <c r="BZC46" s="37"/>
      <c r="BZD46" s="37"/>
      <c r="BZE46" s="138"/>
      <c r="BZF46" s="37"/>
      <c r="BZG46" s="37"/>
      <c r="BZH46" s="37"/>
      <c r="BZI46" s="37"/>
      <c r="BZJ46" s="37"/>
      <c r="BZK46" s="75"/>
      <c r="BZL46" s="37"/>
      <c r="BZM46" s="37"/>
      <c r="BZN46" s="37"/>
      <c r="BZO46" s="37"/>
      <c r="BZP46" s="37"/>
      <c r="BZQ46" s="38"/>
      <c r="BZR46" s="36"/>
      <c r="BZS46" s="65"/>
      <c r="BZT46" s="65"/>
      <c r="BZU46" s="65"/>
      <c r="BZV46" s="37"/>
      <c r="BZW46" s="133"/>
      <c r="BZX46" s="37"/>
      <c r="BZY46" s="37"/>
      <c r="BZZ46" s="37"/>
      <c r="CAA46" s="37"/>
      <c r="CAB46" s="37"/>
      <c r="CAC46" s="138"/>
      <c r="CAD46" s="37"/>
      <c r="CAE46" s="37"/>
      <c r="CAF46" s="37"/>
      <c r="CAG46" s="37"/>
      <c r="CAH46" s="37"/>
      <c r="CAI46" s="75"/>
      <c r="CAJ46" s="37"/>
      <c r="CAK46" s="37"/>
      <c r="CAL46" s="37"/>
      <c r="CAM46" s="37"/>
      <c r="CAN46" s="37"/>
      <c r="CAO46" s="138"/>
      <c r="CAP46" s="37"/>
      <c r="CAQ46" s="37"/>
      <c r="CAR46" s="37"/>
      <c r="CAS46" s="37"/>
      <c r="CAT46" s="37"/>
      <c r="CAU46" s="75"/>
      <c r="CAV46" s="65"/>
      <c r="CAW46" s="65"/>
      <c r="CAX46" s="65"/>
      <c r="CAY46" s="65"/>
      <c r="CAZ46" s="37"/>
      <c r="CBA46" s="138"/>
      <c r="CBB46" s="37"/>
      <c r="CBC46" s="37"/>
      <c r="CBD46" s="37"/>
      <c r="CBE46" s="37"/>
      <c r="CBF46" s="37"/>
      <c r="CBG46" s="75"/>
      <c r="CBH46" s="37"/>
      <c r="CBI46" s="37"/>
      <c r="CBJ46" s="37"/>
      <c r="CBK46" s="37"/>
      <c r="CBL46" s="37"/>
      <c r="CBM46" s="138"/>
      <c r="CBN46" s="37"/>
      <c r="CBO46" s="37"/>
      <c r="CBP46" s="37"/>
      <c r="CBQ46" s="37"/>
      <c r="CBR46" s="37"/>
      <c r="CBS46" s="75"/>
      <c r="CBT46" s="37"/>
      <c r="CBU46" s="37"/>
      <c r="CBV46" s="37"/>
      <c r="CBW46" s="37"/>
      <c r="CBX46" s="37"/>
      <c r="CBY46" s="38"/>
      <c r="CBZ46" s="36"/>
      <c r="CCA46" s="65"/>
      <c r="CCB46" s="65"/>
      <c r="CCC46" s="65"/>
      <c r="CCD46" s="37"/>
      <c r="CCE46" s="133"/>
      <c r="CCF46" s="37"/>
      <c r="CCG46" s="37"/>
      <c r="CCH46" s="37"/>
      <c r="CCI46" s="37"/>
      <c r="CCJ46" s="37"/>
      <c r="CCK46" s="138"/>
      <c r="CCL46" s="37"/>
      <c r="CCM46" s="37"/>
      <c r="CCN46" s="37"/>
      <c r="CCO46" s="37"/>
      <c r="CCP46" s="37"/>
      <c r="CCQ46" s="75"/>
      <c r="CCR46" s="37"/>
      <c r="CCS46" s="37"/>
      <c r="CCT46" s="37"/>
      <c r="CCU46" s="37"/>
      <c r="CCV46" s="37"/>
      <c r="CCW46" s="138"/>
      <c r="CCX46" s="37"/>
      <c r="CCY46" s="37"/>
      <c r="CCZ46" s="37"/>
      <c r="CDA46" s="37"/>
      <c r="CDB46" s="37"/>
      <c r="CDC46" s="75"/>
      <c r="CDD46" s="65"/>
      <c r="CDE46" s="65"/>
      <c r="CDF46" s="65"/>
      <c r="CDG46" s="65"/>
      <c r="CDH46" s="37"/>
      <c r="CDI46" s="138"/>
      <c r="CDJ46" s="37"/>
      <c r="CDK46" s="37"/>
      <c r="CDL46" s="37"/>
      <c r="CDM46" s="37"/>
      <c r="CDN46" s="37"/>
      <c r="CDO46" s="75"/>
      <c r="CDP46" s="37"/>
      <c r="CDQ46" s="37"/>
      <c r="CDR46" s="37"/>
      <c r="CDS46" s="37"/>
      <c r="CDT46" s="37"/>
      <c r="CDU46" s="138"/>
      <c r="CDV46" s="37"/>
      <c r="CDW46" s="37"/>
      <c r="CDX46" s="37"/>
      <c r="CDY46" s="37"/>
      <c r="CDZ46" s="37"/>
      <c r="CEA46" s="75"/>
      <c r="CEB46" s="37"/>
      <c r="CEC46" s="37"/>
      <c r="CED46" s="37"/>
      <c r="CEE46" s="37"/>
      <c r="CEF46" s="37"/>
      <c r="CEG46" s="38"/>
      <c r="CEH46" s="36"/>
      <c r="CEI46" s="65"/>
      <c r="CEJ46" s="65"/>
      <c r="CEK46" s="65"/>
      <c r="CEL46" s="37"/>
      <c r="CEM46" s="133"/>
      <c r="CEN46" s="37"/>
      <c r="CEO46" s="37"/>
      <c r="CEP46" s="37"/>
      <c r="CEQ46" s="37"/>
      <c r="CER46" s="37"/>
      <c r="CES46" s="138"/>
      <c r="CET46" s="37"/>
      <c r="CEU46" s="37"/>
      <c r="CEV46" s="37"/>
      <c r="CEW46" s="37"/>
      <c r="CEX46" s="37"/>
      <c r="CEY46" s="75"/>
      <c r="CEZ46" s="37"/>
      <c r="CFA46" s="37"/>
      <c r="CFB46" s="37"/>
      <c r="CFC46" s="37"/>
      <c r="CFD46" s="37"/>
      <c r="CFE46" s="138"/>
      <c r="CFF46" s="37"/>
      <c r="CFG46" s="37"/>
      <c r="CFH46" s="37"/>
      <c r="CFI46" s="37"/>
      <c r="CFJ46" s="37"/>
      <c r="CFK46" s="75"/>
      <c r="CFL46" s="65"/>
      <c r="CFM46" s="65"/>
      <c r="CFN46" s="65"/>
      <c r="CFO46" s="65"/>
      <c r="CFP46" s="37"/>
      <c r="CFQ46" s="138"/>
      <c r="CFR46" s="37"/>
      <c r="CFS46" s="37"/>
      <c r="CFT46" s="37"/>
      <c r="CFU46" s="37"/>
      <c r="CFV46" s="37"/>
      <c r="CFW46" s="75"/>
      <c r="CFX46" s="37"/>
      <c r="CFY46" s="37"/>
      <c r="CFZ46" s="37"/>
      <c r="CGA46" s="37"/>
      <c r="CGB46" s="37"/>
      <c r="CGC46" s="138"/>
      <c r="CGD46" s="37"/>
      <c r="CGE46" s="37"/>
      <c r="CGF46" s="37"/>
      <c r="CGG46" s="37"/>
      <c r="CGH46" s="37"/>
      <c r="CGI46" s="75"/>
      <c r="CGJ46" s="37"/>
      <c r="CGK46" s="37"/>
      <c r="CGL46" s="37"/>
      <c r="CGM46" s="37"/>
      <c r="CGN46" s="37"/>
      <c r="CGO46" s="38"/>
      <c r="CGP46" s="36"/>
      <c r="CGQ46" s="65"/>
      <c r="CGR46" s="65"/>
      <c r="CGS46" s="65"/>
      <c r="CGT46" s="37"/>
      <c r="CGU46" s="133"/>
      <c r="CGV46" s="37"/>
      <c r="CGW46" s="37"/>
      <c r="CGX46" s="37"/>
      <c r="CGY46" s="37"/>
      <c r="CGZ46" s="37"/>
      <c r="CHA46" s="138"/>
      <c r="CHB46" s="37"/>
      <c r="CHC46" s="37"/>
      <c r="CHD46" s="37"/>
      <c r="CHE46" s="37"/>
      <c r="CHF46" s="37"/>
      <c r="CHG46" s="75"/>
      <c r="CHH46" s="37"/>
      <c r="CHI46" s="37"/>
      <c r="CHJ46" s="37"/>
      <c r="CHK46" s="37"/>
      <c r="CHL46" s="37"/>
      <c r="CHM46" s="138"/>
      <c r="CHN46" s="37"/>
      <c r="CHO46" s="37"/>
      <c r="CHP46" s="37"/>
      <c r="CHQ46" s="37"/>
      <c r="CHR46" s="37"/>
      <c r="CHS46" s="75"/>
      <c r="CHT46" s="65"/>
      <c r="CHU46" s="65"/>
      <c r="CHV46" s="65"/>
      <c r="CHW46" s="65"/>
      <c r="CHX46" s="37"/>
      <c r="CHY46" s="138"/>
      <c r="CHZ46" s="37"/>
      <c r="CIA46" s="37"/>
      <c r="CIB46" s="37"/>
      <c r="CIC46" s="37"/>
      <c r="CID46" s="37"/>
      <c r="CIE46" s="75"/>
      <c r="CIF46" s="37"/>
      <c r="CIG46" s="37"/>
      <c r="CIH46" s="37"/>
      <c r="CII46" s="37"/>
      <c r="CIJ46" s="37"/>
      <c r="CIK46" s="138"/>
      <c r="CIL46" s="37"/>
      <c r="CIM46" s="37"/>
      <c r="CIN46" s="37"/>
      <c r="CIO46" s="37"/>
      <c r="CIP46" s="37"/>
      <c r="CIQ46" s="75"/>
      <c r="CIR46" s="37"/>
      <c r="CIS46" s="37"/>
      <c r="CIT46" s="37"/>
      <c r="CIU46" s="37"/>
      <c r="CIV46" s="37"/>
      <c r="CIW46" s="38"/>
      <c r="CIX46" s="36"/>
      <c r="CIY46" s="65"/>
      <c r="CIZ46" s="65"/>
      <c r="CJA46" s="65"/>
      <c r="CJB46" s="37"/>
      <c r="CJC46" s="133"/>
      <c r="CJD46" s="37"/>
      <c r="CJE46" s="37"/>
      <c r="CJF46" s="37"/>
      <c r="CJG46" s="37"/>
      <c r="CJH46" s="37"/>
      <c r="CJI46" s="138"/>
      <c r="CJJ46" s="37"/>
      <c r="CJK46" s="37"/>
      <c r="CJL46" s="37"/>
      <c r="CJM46" s="37"/>
      <c r="CJN46" s="37"/>
      <c r="CJO46" s="75"/>
      <c r="CJP46" s="37"/>
      <c r="CJQ46" s="37"/>
      <c r="CJR46" s="37"/>
      <c r="CJS46" s="37"/>
      <c r="CJT46" s="37"/>
      <c r="CJU46" s="138"/>
      <c r="CJV46" s="37"/>
      <c r="CJW46" s="37"/>
      <c r="CJX46" s="37"/>
      <c r="CJY46" s="37"/>
      <c r="CJZ46" s="37"/>
      <c r="CKA46" s="75"/>
      <c r="CKB46" s="65"/>
      <c r="CKC46" s="65"/>
      <c r="CKD46" s="65"/>
      <c r="CKE46" s="65"/>
      <c r="CKF46" s="37"/>
      <c r="CKG46" s="138"/>
      <c r="CKH46" s="37"/>
      <c r="CKI46" s="37"/>
      <c r="CKJ46" s="37"/>
      <c r="CKK46" s="37"/>
      <c r="CKL46" s="37"/>
      <c r="CKM46" s="75"/>
      <c r="CKN46" s="37"/>
      <c r="CKO46" s="37"/>
      <c r="CKP46" s="37"/>
      <c r="CKQ46" s="37"/>
      <c r="CKR46" s="37"/>
      <c r="CKS46" s="138"/>
      <c r="CKT46" s="37"/>
      <c r="CKU46" s="37"/>
      <c r="CKV46" s="37"/>
      <c r="CKW46" s="37"/>
      <c r="CKX46" s="37"/>
      <c r="CKY46" s="75"/>
      <c r="CKZ46" s="37"/>
      <c r="CLA46" s="37"/>
      <c r="CLB46" s="37"/>
      <c r="CLC46" s="37"/>
      <c r="CLD46" s="37"/>
      <c r="CLE46" s="38"/>
      <c r="CLF46" s="36"/>
      <c r="CLG46" s="65"/>
      <c r="CLH46" s="65"/>
      <c r="CLI46" s="65"/>
      <c r="CLJ46" s="37"/>
      <c r="CLK46" s="133"/>
      <c r="CLL46" s="37"/>
      <c r="CLM46" s="37"/>
      <c r="CLN46" s="37"/>
      <c r="CLO46" s="37"/>
      <c r="CLP46" s="37"/>
      <c r="CLQ46" s="138"/>
      <c r="CLR46" s="37"/>
      <c r="CLS46" s="37"/>
      <c r="CLT46" s="37"/>
      <c r="CLU46" s="37"/>
      <c r="CLV46" s="37"/>
      <c r="CLW46" s="75"/>
      <c r="CLX46" s="37"/>
      <c r="CLY46" s="37"/>
      <c r="CLZ46" s="37"/>
      <c r="CMA46" s="37"/>
      <c r="CMB46" s="37"/>
      <c r="CMC46" s="138"/>
      <c r="CMD46" s="37"/>
      <c r="CME46" s="37"/>
      <c r="CMF46" s="37"/>
      <c r="CMG46" s="37"/>
      <c r="CMH46" s="37"/>
      <c r="CMI46" s="75"/>
      <c r="CMJ46" s="65"/>
      <c r="CMK46" s="65"/>
      <c r="CML46" s="65"/>
      <c r="CMM46" s="65"/>
      <c r="CMN46" s="37"/>
      <c r="CMO46" s="138"/>
      <c r="CMP46" s="37"/>
      <c r="CMQ46" s="37"/>
      <c r="CMR46" s="37"/>
      <c r="CMS46" s="37"/>
      <c r="CMT46" s="37"/>
      <c r="CMU46" s="75"/>
      <c r="CMV46" s="37"/>
      <c r="CMW46" s="37"/>
      <c r="CMX46" s="37"/>
      <c r="CMY46" s="37"/>
      <c r="CMZ46" s="37"/>
      <c r="CNA46" s="138"/>
      <c r="CNB46" s="37"/>
      <c r="CNC46" s="37"/>
      <c r="CND46" s="37"/>
      <c r="CNE46" s="37"/>
      <c r="CNF46" s="37"/>
      <c r="CNG46" s="75"/>
      <c r="CNH46" s="37"/>
      <c r="CNI46" s="37"/>
      <c r="CNJ46" s="37"/>
      <c r="CNK46" s="37"/>
      <c r="CNL46" s="37"/>
      <c r="CNM46" s="38"/>
      <c r="CNN46" s="36"/>
      <c r="CNO46" s="65"/>
      <c r="CNP46" s="65"/>
      <c r="CNQ46" s="65"/>
      <c r="CNR46" s="37"/>
      <c r="CNS46" s="133"/>
      <c r="CNT46" s="37"/>
      <c r="CNU46" s="37"/>
      <c r="CNV46" s="37"/>
      <c r="CNW46" s="37"/>
      <c r="CNX46" s="37"/>
      <c r="CNY46" s="138"/>
      <c r="CNZ46" s="37"/>
      <c r="COA46" s="37"/>
      <c r="COB46" s="37"/>
      <c r="COC46" s="37"/>
      <c r="COD46" s="37"/>
      <c r="COE46" s="75"/>
      <c r="COF46" s="37"/>
      <c r="COG46" s="37"/>
      <c r="COH46" s="37"/>
      <c r="COI46" s="37"/>
      <c r="COJ46" s="37"/>
      <c r="COK46" s="138"/>
      <c r="COL46" s="37"/>
      <c r="COM46" s="37"/>
      <c r="CON46" s="37"/>
      <c r="COO46" s="37"/>
      <c r="COP46" s="37"/>
      <c r="COQ46" s="75"/>
      <c r="COR46" s="65"/>
      <c r="COS46" s="65"/>
      <c r="COT46" s="65"/>
      <c r="COU46" s="65"/>
      <c r="COV46" s="37"/>
      <c r="COW46" s="138"/>
      <c r="COX46" s="37"/>
      <c r="COY46" s="37"/>
      <c r="COZ46" s="37"/>
      <c r="CPA46" s="37"/>
      <c r="CPB46" s="37"/>
      <c r="CPC46" s="75"/>
      <c r="CPD46" s="37"/>
      <c r="CPE46" s="37"/>
      <c r="CPF46" s="37"/>
      <c r="CPG46" s="37"/>
      <c r="CPH46" s="37"/>
      <c r="CPI46" s="138"/>
      <c r="CPJ46" s="37"/>
      <c r="CPK46" s="37"/>
      <c r="CPL46" s="37"/>
      <c r="CPM46" s="37"/>
      <c r="CPN46" s="37"/>
      <c r="CPO46" s="75"/>
      <c r="CPP46" s="37"/>
      <c r="CPQ46" s="37"/>
      <c r="CPR46" s="37"/>
      <c r="CPS46" s="37"/>
      <c r="CPT46" s="37"/>
      <c r="CPU46" s="38"/>
      <c r="CPV46" s="36"/>
      <c r="CPW46" s="65"/>
      <c r="CPX46" s="65"/>
      <c r="CPY46" s="65"/>
      <c r="CPZ46" s="37"/>
      <c r="CQA46" s="133"/>
      <c r="CQB46" s="37"/>
      <c r="CQC46" s="37"/>
      <c r="CQD46" s="37"/>
      <c r="CQE46" s="37"/>
      <c r="CQF46" s="37"/>
      <c r="CQG46" s="138"/>
      <c r="CQH46" s="37"/>
      <c r="CQI46" s="37"/>
      <c r="CQJ46" s="37"/>
      <c r="CQK46" s="37"/>
      <c r="CQL46" s="37"/>
      <c r="CQM46" s="75"/>
      <c r="CQN46" s="37"/>
      <c r="CQO46" s="37"/>
      <c r="CQP46" s="37"/>
      <c r="CQQ46" s="37"/>
      <c r="CQR46" s="37"/>
      <c r="CQS46" s="138"/>
      <c r="CQT46" s="37"/>
      <c r="CQU46" s="37"/>
      <c r="CQV46" s="37"/>
      <c r="CQW46" s="37"/>
      <c r="CQX46" s="37"/>
      <c r="CQY46" s="75"/>
      <c r="CQZ46" s="65"/>
      <c r="CRA46" s="65"/>
      <c r="CRB46" s="65"/>
      <c r="CRC46" s="65"/>
      <c r="CRD46" s="37"/>
      <c r="CRE46" s="138"/>
      <c r="CRF46" s="37"/>
      <c r="CRG46" s="37"/>
      <c r="CRH46" s="37"/>
      <c r="CRI46" s="37"/>
      <c r="CRJ46" s="37"/>
      <c r="CRK46" s="75"/>
      <c r="CRL46" s="37"/>
      <c r="CRM46" s="37"/>
      <c r="CRN46" s="37"/>
      <c r="CRO46" s="37"/>
      <c r="CRP46" s="37"/>
      <c r="CRQ46" s="138"/>
      <c r="CRR46" s="37"/>
      <c r="CRS46" s="37"/>
      <c r="CRT46" s="37"/>
      <c r="CRU46" s="37"/>
      <c r="CRV46" s="37"/>
      <c r="CRW46" s="75"/>
      <c r="CRX46" s="37"/>
      <c r="CRY46" s="37"/>
      <c r="CRZ46" s="37"/>
      <c r="CSA46" s="37"/>
      <c r="CSB46" s="37"/>
      <c r="CSC46" s="38"/>
      <c r="CSD46" s="90"/>
    </row>
    <row r="47" spans="1:2526" ht="20.100000000000001" customHeight="1" x14ac:dyDescent="0.25">
      <c r="A47" s="100" t="s">
        <v>18</v>
      </c>
      <c r="B47" s="63" t="str">
        <f>IF(LEN(C79)=0,"",C79)</f>
        <v/>
      </c>
      <c r="C47" s="211" t="s">
        <v>99</v>
      </c>
      <c r="D47" s="146" t="str">
        <f t="shared" si="0"/>
        <v>3h</v>
      </c>
      <c r="E47" s="39">
        <v>36</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40"/>
      <c r="BLW47" s="66"/>
      <c r="BLX47" s="66"/>
      <c r="BLY47" s="66"/>
      <c r="BLZ47" s="41"/>
      <c r="BMA47" s="134"/>
      <c r="BMB47" s="41"/>
      <c r="BMC47" s="41"/>
      <c r="BMD47" s="41"/>
      <c r="BME47" s="41"/>
      <c r="BMF47" s="41"/>
      <c r="BMG47" s="139"/>
      <c r="BMH47" s="41"/>
      <c r="BMI47" s="41"/>
      <c r="BMJ47" s="41"/>
      <c r="BMK47" s="41"/>
      <c r="BML47" s="41"/>
      <c r="BMM47" s="76"/>
      <c r="BMN47" s="41"/>
      <c r="BMO47" s="41"/>
      <c r="BMP47" s="41"/>
      <c r="BMQ47" s="41"/>
      <c r="BMR47" s="41"/>
      <c r="BMS47" s="139"/>
      <c r="BMT47" s="41"/>
      <c r="BMU47" s="41"/>
      <c r="BMV47" s="41"/>
      <c r="BMW47" s="41"/>
      <c r="BMX47" s="41"/>
      <c r="BMY47" s="76"/>
      <c r="BMZ47" s="66"/>
      <c r="BNA47" s="66"/>
      <c r="BNB47" s="66"/>
      <c r="BNC47" s="66"/>
      <c r="BND47" s="41"/>
      <c r="BNE47" s="139"/>
      <c r="BNF47" s="41"/>
      <c r="BNG47" s="41"/>
      <c r="BNH47" s="41"/>
      <c r="BNI47" s="41"/>
      <c r="BNJ47" s="41"/>
      <c r="BNK47" s="76"/>
      <c r="BNL47" s="41"/>
      <c r="BNM47" s="41"/>
      <c r="BNN47" s="41"/>
      <c r="BNO47" s="41"/>
      <c r="BNP47" s="41"/>
      <c r="BNQ47" s="139"/>
      <c r="BNR47" s="41"/>
      <c r="BNS47" s="41"/>
      <c r="BNT47" s="41"/>
      <c r="BNU47" s="41"/>
      <c r="BNV47" s="41"/>
      <c r="BNW47" s="76"/>
      <c r="BNX47" s="41"/>
      <c r="BNY47" s="41"/>
      <c r="BNZ47" s="41"/>
      <c r="BOA47" s="41"/>
      <c r="BOB47" s="41"/>
      <c r="BOC47" s="42"/>
      <c r="BOD47" s="40"/>
      <c r="BOE47" s="66"/>
      <c r="BOF47" s="66"/>
      <c r="BOG47" s="66"/>
      <c r="BOH47" s="41"/>
      <c r="BOI47" s="134"/>
      <c r="BOJ47" s="41"/>
      <c r="BOK47" s="41"/>
      <c r="BOL47" s="41"/>
      <c r="BOM47" s="41"/>
      <c r="BON47" s="41"/>
      <c r="BOO47" s="139"/>
      <c r="BOP47" s="41"/>
      <c r="BOQ47" s="41"/>
      <c r="BOR47" s="41"/>
      <c r="BOS47" s="41"/>
      <c r="BOT47" s="41"/>
      <c r="BOU47" s="76"/>
      <c r="BOV47" s="41"/>
      <c r="BOW47" s="41"/>
      <c r="BOX47" s="41"/>
      <c r="BOY47" s="41"/>
      <c r="BOZ47" s="41"/>
      <c r="BPA47" s="139"/>
      <c r="BPB47" s="41"/>
      <c r="BPC47" s="41"/>
      <c r="BPD47" s="41"/>
      <c r="BPE47" s="41"/>
      <c r="BPF47" s="41"/>
      <c r="BPG47" s="76"/>
      <c r="BPH47" s="66"/>
      <c r="BPI47" s="66"/>
      <c r="BPJ47" s="66"/>
      <c r="BPK47" s="66"/>
      <c r="BPL47" s="41"/>
      <c r="BPM47" s="139"/>
      <c r="BPN47" s="41"/>
      <c r="BPO47" s="41"/>
      <c r="BPP47" s="41"/>
      <c r="BPQ47" s="41"/>
      <c r="BPR47" s="41"/>
      <c r="BPS47" s="76"/>
      <c r="BPT47" s="41"/>
      <c r="BPU47" s="41"/>
      <c r="BPV47" s="41"/>
      <c r="BPW47" s="41"/>
      <c r="BPX47" s="41"/>
      <c r="BPY47" s="139"/>
      <c r="BPZ47" s="41"/>
      <c r="BQA47" s="41"/>
      <c r="BQB47" s="41"/>
      <c r="BQC47" s="41"/>
      <c r="BQD47" s="41"/>
      <c r="BQE47" s="76"/>
      <c r="BQF47" s="41"/>
      <c r="BQG47" s="41"/>
      <c r="BQH47" s="41"/>
      <c r="BQI47" s="41"/>
      <c r="BQJ47" s="41"/>
      <c r="BQK47" s="42"/>
      <c r="BQL47" s="40"/>
      <c r="BQM47" s="66"/>
      <c r="BQN47" s="66"/>
      <c r="BQO47" s="66"/>
      <c r="BQP47" s="41"/>
      <c r="BQQ47" s="134"/>
      <c r="BQR47" s="41"/>
      <c r="BQS47" s="41"/>
      <c r="BQT47" s="41"/>
      <c r="BQU47" s="41"/>
      <c r="BQV47" s="41"/>
      <c r="BQW47" s="139"/>
      <c r="BQX47" s="41"/>
      <c r="BQY47" s="41"/>
      <c r="BQZ47" s="41"/>
      <c r="BRA47" s="41"/>
      <c r="BRB47" s="41"/>
      <c r="BRC47" s="76"/>
      <c r="BRD47" s="41"/>
      <c r="BRE47" s="41"/>
      <c r="BRF47" s="41"/>
      <c r="BRG47" s="41"/>
      <c r="BRH47" s="41"/>
      <c r="BRI47" s="139"/>
      <c r="BRJ47" s="41"/>
      <c r="BRK47" s="41"/>
      <c r="BRL47" s="41"/>
      <c r="BRM47" s="41"/>
      <c r="BRN47" s="41"/>
      <c r="BRO47" s="76"/>
      <c r="BRP47" s="66"/>
      <c r="BRQ47" s="66"/>
      <c r="BRR47" s="66"/>
      <c r="BRS47" s="66"/>
      <c r="BRT47" s="41"/>
      <c r="BRU47" s="139"/>
      <c r="BRV47" s="41"/>
      <c r="BRW47" s="41"/>
      <c r="BRX47" s="41"/>
      <c r="BRY47" s="41"/>
      <c r="BRZ47" s="41"/>
      <c r="BSA47" s="76"/>
      <c r="BSB47" s="41"/>
      <c r="BSC47" s="41"/>
      <c r="BSD47" s="41"/>
      <c r="BSE47" s="41"/>
      <c r="BSF47" s="41"/>
      <c r="BSG47" s="139"/>
      <c r="BSH47" s="41"/>
      <c r="BSI47" s="41"/>
      <c r="BSJ47" s="41"/>
      <c r="BSK47" s="41"/>
      <c r="BSL47" s="41"/>
      <c r="BSM47" s="76"/>
      <c r="BSN47" s="41"/>
      <c r="BSO47" s="41"/>
      <c r="BSP47" s="41"/>
      <c r="BSQ47" s="41"/>
      <c r="BSR47" s="41"/>
      <c r="BSS47" s="42"/>
      <c r="BST47" s="40"/>
      <c r="BSU47" s="66"/>
      <c r="BSV47" s="66"/>
      <c r="BSW47" s="66"/>
      <c r="BSX47" s="41"/>
      <c r="BSY47" s="134"/>
      <c r="BSZ47" s="41"/>
      <c r="BTA47" s="41"/>
      <c r="BTB47" s="41"/>
      <c r="BTC47" s="41"/>
      <c r="BTD47" s="41"/>
      <c r="BTE47" s="139"/>
      <c r="BTF47" s="41"/>
      <c r="BTG47" s="41"/>
      <c r="BTH47" s="41"/>
      <c r="BTI47" s="41"/>
      <c r="BTJ47" s="41"/>
      <c r="BTK47" s="76"/>
      <c r="BTL47" s="41"/>
      <c r="BTM47" s="41"/>
      <c r="BTN47" s="41"/>
      <c r="BTO47" s="41"/>
      <c r="BTP47" s="41"/>
      <c r="BTQ47" s="139"/>
      <c r="BTR47" s="41"/>
      <c r="BTS47" s="41"/>
      <c r="BTT47" s="41"/>
      <c r="BTU47" s="41"/>
      <c r="BTV47" s="41"/>
      <c r="BTW47" s="76"/>
      <c r="BTX47" s="66"/>
      <c r="BTY47" s="66"/>
      <c r="BTZ47" s="66"/>
      <c r="BUA47" s="66"/>
      <c r="BUB47" s="41"/>
      <c r="BUC47" s="139"/>
      <c r="BUD47" s="41"/>
      <c r="BUE47" s="41"/>
      <c r="BUF47" s="41"/>
      <c r="BUG47" s="41"/>
      <c r="BUH47" s="41"/>
      <c r="BUI47" s="76"/>
      <c r="BUJ47" s="41"/>
      <c r="BUK47" s="41"/>
      <c r="BUL47" s="41"/>
      <c r="BUM47" s="41"/>
      <c r="BUN47" s="41"/>
      <c r="BUO47" s="139"/>
      <c r="BUP47" s="41"/>
      <c r="BUQ47" s="41"/>
      <c r="BUR47" s="41"/>
      <c r="BUS47" s="41"/>
      <c r="BUT47" s="41"/>
      <c r="BUU47" s="76"/>
      <c r="BUV47" s="41"/>
      <c r="BUW47" s="41"/>
      <c r="BUX47" s="41"/>
      <c r="BUY47" s="41"/>
      <c r="BUZ47" s="41"/>
      <c r="BVA47" s="42"/>
      <c r="BVB47" s="176"/>
      <c r="BVC47" s="175"/>
      <c r="BVD47" s="175"/>
      <c r="BVE47" s="175"/>
      <c r="BVF47" s="171"/>
      <c r="BVG47" s="177"/>
      <c r="BVH47" s="171"/>
      <c r="BVI47" s="171"/>
      <c r="BVJ47" s="171"/>
      <c r="BVK47" s="171"/>
      <c r="BVL47" s="171"/>
      <c r="BVM47" s="172"/>
      <c r="BVN47" s="171"/>
      <c r="BVO47" s="171"/>
      <c r="BVP47" s="171"/>
      <c r="BVQ47" s="171"/>
      <c r="BVR47" s="171"/>
      <c r="BVS47" s="173"/>
      <c r="BVT47" s="171"/>
      <c r="BVU47" s="171"/>
      <c r="BVV47" s="171"/>
      <c r="BVW47" s="171"/>
      <c r="BVX47" s="171"/>
      <c r="BVY47" s="172"/>
      <c r="BVZ47" s="171"/>
      <c r="BWA47" s="171"/>
      <c r="BWB47" s="171"/>
      <c r="BWC47" s="171"/>
      <c r="BWD47" s="171"/>
      <c r="BWE47" s="173"/>
      <c r="BWF47" s="175"/>
      <c r="BWG47" s="175"/>
      <c r="BWH47" s="175"/>
      <c r="BWI47" s="175"/>
      <c r="BWJ47" s="171"/>
      <c r="BWK47" s="172"/>
      <c r="BWL47" s="41"/>
      <c r="BWM47" s="41"/>
      <c r="BWN47" s="41"/>
      <c r="BWO47" s="41"/>
      <c r="BWP47" s="41"/>
      <c r="BWQ47" s="76"/>
      <c r="BWR47" s="41"/>
      <c r="BWS47" s="41"/>
      <c r="BWT47" s="41"/>
      <c r="BWU47" s="41"/>
      <c r="BWV47" s="41"/>
      <c r="BWW47" s="139"/>
      <c r="BWX47" s="41"/>
      <c r="BWY47" s="41"/>
      <c r="BWZ47" s="41"/>
      <c r="BXA47" s="41"/>
      <c r="BXB47" s="41"/>
      <c r="BXC47" s="76"/>
      <c r="BXD47" s="41"/>
      <c r="BXE47" s="41"/>
      <c r="BXF47" s="41"/>
      <c r="BXG47" s="41"/>
      <c r="BXH47" s="41"/>
      <c r="BXI47" s="42"/>
      <c r="BXJ47" s="40"/>
      <c r="BXK47" s="66"/>
      <c r="BXL47" s="66"/>
      <c r="BXM47" s="66"/>
      <c r="BXN47" s="41"/>
      <c r="BXO47" s="134"/>
      <c r="BXP47" s="41"/>
      <c r="BXQ47" s="41"/>
      <c r="BXR47" s="41"/>
      <c r="BXS47" s="41"/>
      <c r="BXT47" s="41"/>
      <c r="BXU47" s="139"/>
      <c r="BXV47" s="41"/>
      <c r="BXW47" s="41"/>
      <c r="BXX47" s="41"/>
      <c r="BXY47" s="41"/>
      <c r="BXZ47" s="41"/>
      <c r="BYA47" s="76"/>
      <c r="BYB47" s="41"/>
      <c r="BYC47" s="41"/>
      <c r="BYD47" s="41"/>
      <c r="BYE47" s="41"/>
      <c r="BYF47" s="41"/>
      <c r="BYG47" s="139"/>
      <c r="BYH47" s="41"/>
      <c r="BYI47" s="41"/>
      <c r="BYJ47" s="41"/>
      <c r="BYK47" s="41"/>
      <c r="BYL47" s="41"/>
      <c r="BYM47" s="76"/>
      <c r="BYN47" s="66"/>
      <c r="BYO47" s="66"/>
      <c r="BYP47" s="66"/>
      <c r="BYQ47" s="66"/>
      <c r="BYR47" s="41"/>
      <c r="BYS47" s="139"/>
      <c r="BYT47" s="41"/>
      <c r="BYU47" s="41"/>
      <c r="BYV47" s="41"/>
      <c r="BYW47" s="41"/>
      <c r="BYX47" s="41"/>
      <c r="BYY47" s="76"/>
      <c r="BYZ47" s="41"/>
      <c r="BZA47" s="41"/>
      <c r="BZB47" s="41"/>
      <c r="BZC47" s="41"/>
      <c r="BZD47" s="41"/>
      <c r="BZE47" s="139"/>
      <c r="BZF47" s="41"/>
      <c r="BZG47" s="41"/>
      <c r="BZH47" s="41"/>
      <c r="BZI47" s="41"/>
      <c r="BZJ47" s="41"/>
      <c r="BZK47" s="76"/>
      <c r="BZL47" s="41"/>
      <c r="BZM47" s="41"/>
      <c r="BZN47" s="41"/>
      <c r="BZO47" s="41"/>
      <c r="BZP47" s="41"/>
      <c r="BZQ47" s="42"/>
      <c r="BZR47" s="40"/>
      <c r="BZS47" s="66"/>
      <c r="BZT47" s="66"/>
      <c r="BZU47" s="66"/>
      <c r="BZV47" s="41"/>
      <c r="BZW47" s="134"/>
      <c r="BZX47" s="41"/>
      <c r="BZY47" s="41"/>
      <c r="BZZ47" s="41"/>
      <c r="CAA47" s="41"/>
      <c r="CAB47" s="41"/>
      <c r="CAC47" s="139"/>
      <c r="CAD47" s="41"/>
      <c r="CAE47" s="41"/>
      <c r="CAF47" s="41"/>
      <c r="CAG47" s="41"/>
      <c r="CAH47" s="41"/>
      <c r="CAI47" s="76"/>
      <c r="CAJ47" s="41"/>
      <c r="CAK47" s="41"/>
      <c r="CAL47" s="41"/>
      <c r="CAM47" s="41"/>
      <c r="CAN47" s="41"/>
      <c r="CAO47" s="139"/>
      <c r="CAP47" s="41"/>
      <c r="CAQ47" s="41"/>
      <c r="CAR47" s="41"/>
      <c r="CAS47" s="41"/>
      <c r="CAT47" s="41"/>
      <c r="CAU47" s="76"/>
      <c r="CAV47" s="66"/>
      <c r="CAW47" s="66"/>
      <c r="CAX47" s="66"/>
      <c r="CAY47" s="66"/>
      <c r="CAZ47" s="41"/>
      <c r="CBA47" s="139"/>
      <c r="CBB47" s="41"/>
      <c r="CBC47" s="41"/>
      <c r="CBD47" s="41"/>
      <c r="CBE47" s="41"/>
      <c r="CBF47" s="41"/>
      <c r="CBG47" s="76"/>
      <c r="CBH47" s="41"/>
      <c r="CBI47" s="41"/>
      <c r="CBJ47" s="41"/>
      <c r="CBK47" s="41"/>
      <c r="CBL47" s="41"/>
      <c r="CBM47" s="139"/>
      <c r="CBN47" s="41"/>
      <c r="CBO47" s="41"/>
      <c r="CBP47" s="41"/>
      <c r="CBQ47" s="41"/>
      <c r="CBR47" s="41"/>
      <c r="CBS47" s="76"/>
      <c r="CBT47" s="41"/>
      <c r="CBU47" s="41"/>
      <c r="CBV47" s="41"/>
      <c r="CBW47" s="41"/>
      <c r="CBX47" s="41"/>
      <c r="CBY47" s="42"/>
      <c r="CBZ47" s="40"/>
      <c r="CCA47" s="66"/>
      <c r="CCB47" s="66"/>
      <c r="CCC47" s="66"/>
      <c r="CCD47" s="41"/>
      <c r="CCE47" s="134"/>
      <c r="CCF47" s="41"/>
      <c r="CCG47" s="41"/>
      <c r="CCH47" s="41"/>
      <c r="CCI47" s="41"/>
      <c r="CCJ47" s="41"/>
      <c r="CCK47" s="139"/>
      <c r="CCL47" s="41"/>
      <c r="CCM47" s="41"/>
      <c r="CCN47" s="41"/>
      <c r="CCO47" s="41"/>
      <c r="CCP47" s="41"/>
      <c r="CCQ47" s="76"/>
      <c r="CCR47" s="41"/>
      <c r="CCS47" s="41"/>
      <c r="CCT47" s="41"/>
      <c r="CCU47" s="41"/>
      <c r="CCV47" s="41"/>
      <c r="CCW47" s="139"/>
      <c r="CCX47" s="41"/>
      <c r="CCY47" s="41"/>
      <c r="CCZ47" s="41"/>
      <c r="CDA47" s="41"/>
      <c r="CDB47" s="41"/>
      <c r="CDC47" s="76"/>
      <c r="CDD47" s="66"/>
      <c r="CDE47" s="66"/>
      <c r="CDF47" s="66"/>
      <c r="CDG47" s="66"/>
      <c r="CDH47" s="41"/>
      <c r="CDI47" s="139"/>
      <c r="CDJ47" s="41"/>
      <c r="CDK47" s="41"/>
      <c r="CDL47" s="41"/>
      <c r="CDM47" s="41"/>
      <c r="CDN47" s="41"/>
      <c r="CDO47" s="76"/>
      <c r="CDP47" s="41"/>
      <c r="CDQ47" s="41"/>
      <c r="CDR47" s="41"/>
      <c r="CDS47" s="41"/>
      <c r="CDT47" s="41"/>
      <c r="CDU47" s="139"/>
      <c r="CDV47" s="41"/>
      <c r="CDW47" s="41"/>
      <c r="CDX47" s="41"/>
      <c r="CDY47" s="41"/>
      <c r="CDZ47" s="41"/>
      <c r="CEA47" s="76"/>
      <c r="CEB47" s="41"/>
      <c r="CEC47" s="41"/>
      <c r="CED47" s="41"/>
      <c r="CEE47" s="41"/>
      <c r="CEF47" s="41"/>
      <c r="CEG47" s="42"/>
      <c r="CEH47" s="40"/>
      <c r="CEI47" s="66"/>
      <c r="CEJ47" s="66"/>
      <c r="CEK47" s="66"/>
      <c r="CEL47" s="41"/>
      <c r="CEM47" s="134"/>
      <c r="CEN47" s="41"/>
      <c r="CEO47" s="41"/>
      <c r="CEP47" s="41"/>
      <c r="CEQ47" s="41"/>
      <c r="CER47" s="41"/>
      <c r="CES47" s="139"/>
      <c r="CET47" s="41"/>
      <c r="CEU47" s="41"/>
      <c r="CEV47" s="41"/>
      <c r="CEW47" s="41"/>
      <c r="CEX47" s="41"/>
      <c r="CEY47" s="76"/>
      <c r="CEZ47" s="41"/>
      <c r="CFA47" s="41"/>
      <c r="CFB47" s="41"/>
      <c r="CFC47" s="41"/>
      <c r="CFD47" s="41"/>
      <c r="CFE47" s="139"/>
      <c r="CFF47" s="41"/>
      <c r="CFG47" s="41"/>
      <c r="CFH47" s="41"/>
      <c r="CFI47" s="41"/>
      <c r="CFJ47" s="41"/>
      <c r="CFK47" s="76"/>
      <c r="CFL47" s="66"/>
      <c r="CFM47" s="66"/>
      <c r="CFN47" s="66"/>
      <c r="CFO47" s="66"/>
      <c r="CFP47" s="41"/>
      <c r="CFQ47" s="139"/>
      <c r="CFR47" s="41"/>
      <c r="CFS47" s="41"/>
      <c r="CFT47" s="41"/>
      <c r="CFU47" s="41"/>
      <c r="CFV47" s="41"/>
      <c r="CFW47" s="76"/>
      <c r="CFX47" s="41"/>
      <c r="CFY47" s="41"/>
      <c r="CFZ47" s="41"/>
      <c r="CGA47" s="41"/>
      <c r="CGB47" s="41"/>
      <c r="CGC47" s="139"/>
      <c r="CGD47" s="41"/>
      <c r="CGE47" s="41"/>
      <c r="CGF47" s="41"/>
      <c r="CGG47" s="41"/>
      <c r="CGH47" s="41"/>
      <c r="CGI47" s="76"/>
      <c r="CGJ47" s="41"/>
      <c r="CGK47" s="41"/>
      <c r="CGL47" s="41"/>
      <c r="CGM47" s="41"/>
      <c r="CGN47" s="41"/>
      <c r="CGO47" s="42"/>
      <c r="CGP47" s="40"/>
      <c r="CGQ47" s="66"/>
      <c r="CGR47" s="66"/>
      <c r="CGS47" s="66"/>
      <c r="CGT47" s="41"/>
      <c r="CGU47" s="134"/>
      <c r="CGV47" s="41"/>
      <c r="CGW47" s="41"/>
      <c r="CGX47" s="41"/>
      <c r="CGY47" s="41"/>
      <c r="CGZ47" s="41"/>
      <c r="CHA47" s="139"/>
      <c r="CHB47" s="41"/>
      <c r="CHC47" s="41"/>
      <c r="CHD47" s="41"/>
      <c r="CHE47" s="41"/>
      <c r="CHF47" s="41"/>
      <c r="CHG47" s="76"/>
      <c r="CHH47" s="41"/>
      <c r="CHI47" s="41"/>
      <c r="CHJ47" s="41"/>
      <c r="CHK47" s="41"/>
      <c r="CHL47" s="41"/>
      <c r="CHM47" s="139"/>
      <c r="CHN47" s="41"/>
      <c r="CHO47" s="41"/>
      <c r="CHP47" s="41"/>
      <c r="CHQ47" s="41"/>
      <c r="CHR47" s="41"/>
      <c r="CHS47" s="76"/>
      <c r="CHT47" s="66"/>
      <c r="CHU47" s="66"/>
      <c r="CHV47" s="66"/>
      <c r="CHW47" s="66"/>
      <c r="CHX47" s="41"/>
      <c r="CHY47" s="139"/>
      <c r="CHZ47" s="41"/>
      <c r="CIA47" s="41"/>
      <c r="CIB47" s="41"/>
      <c r="CIC47" s="41"/>
      <c r="CID47" s="41"/>
      <c r="CIE47" s="76"/>
      <c r="CIF47" s="41"/>
      <c r="CIG47" s="41"/>
      <c r="CIH47" s="41"/>
      <c r="CII47" s="41"/>
      <c r="CIJ47" s="41"/>
      <c r="CIK47" s="139"/>
      <c r="CIL47" s="41"/>
      <c r="CIM47" s="41"/>
      <c r="CIN47" s="41"/>
      <c r="CIO47" s="41"/>
      <c r="CIP47" s="41"/>
      <c r="CIQ47" s="76"/>
      <c r="CIR47" s="41"/>
      <c r="CIS47" s="41"/>
      <c r="CIT47" s="41"/>
      <c r="CIU47" s="41"/>
      <c r="CIV47" s="41"/>
      <c r="CIW47" s="42"/>
      <c r="CIX47" s="40"/>
      <c r="CIY47" s="66"/>
      <c r="CIZ47" s="66"/>
      <c r="CJA47" s="66"/>
      <c r="CJB47" s="41"/>
      <c r="CJC47" s="134"/>
      <c r="CJD47" s="41"/>
      <c r="CJE47" s="41"/>
      <c r="CJF47" s="41"/>
      <c r="CJG47" s="41"/>
      <c r="CJH47" s="41"/>
      <c r="CJI47" s="139"/>
      <c r="CJJ47" s="41"/>
      <c r="CJK47" s="41"/>
      <c r="CJL47" s="41"/>
      <c r="CJM47" s="41"/>
      <c r="CJN47" s="41"/>
      <c r="CJO47" s="76"/>
      <c r="CJP47" s="41"/>
      <c r="CJQ47" s="41"/>
      <c r="CJR47" s="41"/>
      <c r="CJS47" s="41"/>
      <c r="CJT47" s="41"/>
      <c r="CJU47" s="139"/>
      <c r="CJV47" s="41"/>
      <c r="CJW47" s="41"/>
      <c r="CJX47" s="41"/>
      <c r="CJY47" s="41"/>
      <c r="CJZ47" s="41"/>
      <c r="CKA47" s="76"/>
      <c r="CKB47" s="66"/>
      <c r="CKC47" s="66"/>
      <c r="CKD47" s="66"/>
      <c r="CKE47" s="66"/>
      <c r="CKF47" s="41"/>
      <c r="CKG47" s="139"/>
      <c r="CKH47" s="41"/>
      <c r="CKI47" s="41"/>
      <c r="CKJ47" s="41"/>
      <c r="CKK47" s="41"/>
      <c r="CKL47" s="41"/>
      <c r="CKM47" s="76"/>
      <c r="CKN47" s="41"/>
      <c r="CKO47" s="41"/>
      <c r="CKP47" s="41"/>
      <c r="CKQ47" s="41"/>
      <c r="CKR47" s="41"/>
      <c r="CKS47" s="139"/>
      <c r="CKT47" s="41"/>
      <c r="CKU47" s="41"/>
      <c r="CKV47" s="41"/>
      <c r="CKW47" s="41"/>
      <c r="CKX47" s="41"/>
      <c r="CKY47" s="76"/>
      <c r="CKZ47" s="41"/>
      <c r="CLA47" s="41"/>
      <c r="CLB47" s="41"/>
      <c r="CLC47" s="41"/>
      <c r="CLD47" s="41"/>
      <c r="CLE47" s="42"/>
      <c r="CLF47" s="40"/>
      <c r="CLG47" s="66"/>
      <c r="CLH47" s="66"/>
      <c r="CLI47" s="66"/>
      <c r="CLJ47" s="41"/>
      <c r="CLK47" s="134"/>
      <c r="CLL47" s="41"/>
      <c r="CLM47" s="41"/>
      <c r="CLN47" s="41"/>
      <c r="CLO47" s="41"/>
      <c r="CLP47" s="41"/>
      <c r="CLQ47" s="139"/>
      <c r="CLR47" s="41"/>
      <c r="CLS47" s="41"/>
      <c r="CLT47" s="41"/>
      <c r="CLU47" s="41"/>
      <c r="CLV47" s="41"/>
      <c r="CLW47" s="76"/>
      <c r="CLX47" s="41"/>
      <c r="CLY47" s="41"/>
      <c r="CLZ47" s="41"/>
      <c r="CMA47" s="41"/>
      <c r="CMB47" s="41"/>
      <c r="CMC47" s="139"/>
      <c r="CMD47" s="41"/>
      <c r="CME47" s="41"/>
      <c r="CMF47" s="41"/>
      <c r="CMG47" s="41"/>
      <c r="CMH47" s="41"/>
      <c r="CMI47" s="76"/>
      <c r="CMJ47" s="66"/>
      <c r="CMK47" s="66"/>
      <c r="CML47" s="66"/>
      <c r="CMM47" s="66"/>
      <c r="CMN47" s="41"/>
      <c r="CMO47" s="139"/>
      <c r="CMP47" s="41"/>
      <c r="CMQ47" s="41"/>
      <c r="CMR47" s="41"/>
      <c r="CMS47" s="41"/>
      <c r="CMT47" s="41"/>
      <c r="CMU47" s="76"/>
      <c r="CMV47" s="41"/>
      <c r="CMW47" s="41"/>
      <c r="CMX47" s="41"/>
      <c r="CMY47" s="41"/>
      <c r="CMZ47" s="41"/>
      <c r="CNA47" s="139"/>
      <c r="CNB47" s="41"/>
      <c r="CNC47" s="41"/>
      <c r="CND47" s="41"/>
      <c r="CNE47" s="41"/>
      <c r="CNF47" s="41"/>
      <c r="CNG47" s="76"/>
      <c r="CNH47" s="41"/>
      <c r="CNI47" s="41"/>
      <c r="CNJ47" s="41"/>
      <c r="CNK47" s="41"/>
      <c r="CNL47" s="41"/>
      <c r="CNM47" s="42"/>
      <c r="CNN47" s="40"/>
      <c r="CNO47" s="66"/>
      <c r="CNP47" s="66"/>
      <c r="CNQ47" s="66"/>
      <c r="CNR47" s="41"/>
      <c r="CNS47" s="134"/>
      <c r="CNT47" s="41"/>
      <c r="CNU47" s="41"/>
      <c r="CNV47" s="41"/>
      <c r="CNW47" s="41"/>
      <c r="CNX47" s="41"/>
      <c r="CNY47" s="139"/>
      <c r="CNZ47" s="41"/>
      <c r="COA47" s="41"/>
      <c r="COB47" s="41"/>
      <c r="COC47" s="41"/>
      <c r="COD47" s="41"/>
      <c r="COE47" s="76"/>
      <c r="COF47" s="41"/>
      <c r="COG47" s="41"/>
      <c r="COH47" s="41"/>
      <c r="COI47" s="41"/>
      <c r="COJ47" s="41"/>
      <c r="COK47" s="139"/>
      <c r="COL47" s="41"/>
      <c r="COM47" s="41"/>
      <c r="CON47" s="41"/>
      <c r="COO47" s="41"/>
      <c r="COP47" s="41"/>
      <c r="COQ47" s="76"/>
      <c r="COR47" s="66"/>
      <c r="COS47" s="66"/>
      <c r="COT47" s="66"/>
      <c r="COU47" s="66"/>
      <c r="COV47" s="41"/>
      <c r="COW47" s="139"/>
      <c r="COX47" s="41"/>
      <c r="COY47" s="41"/>
      <c r="COZ47" s="41"/>
      <c r="CPA47" s="41"/>
      <c r="CPB47" s="41"/>
      <c r="CPC47" s="76"/>
      <c r="CPD47" s="41"/>
      <c r="CPE47" s="41"/>
      <c r="CPF47" s="41"/>
      <c r="CPG47" s="41"/>
      <c r="CPH47" s="41"/>
      <c r="CPI47" s="139"/>
      <c r="CPJ47" s="41"/>
      <c r="CPK47" s="41"/>
      <c r="CPL47" s="41"/>
      <c r="CPM47" s="41"/>
      <c r="CPN47" s="41"/>
      <c r="CPO47" s="76"/>
      <c r="CPP47" s="41"/>
      <c r="CPQ47" s="41"/>
      <c r="CPR47" s="41"/>
      <c r="CPS47" s="41"/>
      <c r="CPT47" s="41"/>
      <c r="CPU47" s="42"/>
      <c r="CPV47" s="40"/>
      <c r="CPW47" s="66"/>
      <c r="CPX47" s="66"/>
      <c r="CPY47" s="66"/>
      <c r="CPZ47" s="41"/>
      <c r="CQA47" s="134"/>
      <c r="CQB47" s="41"/>
      <c r="CQC47" s="41"/>
      <c r="CQD47" s="41"/>
      <c r="CQE47" s="41"/>
      <c r="CQF47" s="41"/>
      <c r="CQG47" s="139"/>
      <c r="CQH47" s="41"/>
      <c r="CQI47" s="41"/>
      <c r="CQJ47" s="41"/>
      <c r="CQK47" s="41"/>
      <c r="CQL47" s="41"/>
      <c r="CQM47" s="76"/>
      <c r="CQN47" s="41"/>
      <c r="CQO47" s="41"/>
      <c r="CQP47" s="41"/>
      <c r="CQQ47" s="41"/>
      <c r="CQR47" s="41"/>
      <c r="CQS47" s="139"/>
      <c r="CQT47" s="41"/>
      <c r="CQU47" s="41"/>
      <c r="CQV47" s="41"/>
      <c r="CQW47" s="41"/>
      <c r="CQX47" s="41"/>
      <c r="CQY47" s="76"/>
      <c r="CQZ47" s="66"/>
      <c r="CRA47" s="66"/>
      <c r="CRB47" s="66"/>
      <c r="CRC47" s="66"/>
      <c r="CRD47" s="41"/>
      <c r="CRE47" s="139"/>
      <c r="CRF47" s="41"/>
      <c r="CRG47" s="41"/>
      <c r="CRH47" s="41"/>
      <c r="CRI47" s="41"/>
      <c r="CRJ47" s="41"/>
      <c r="CRK47" s="76"/>
      <c r="CRL47" s="41"/>
      <c r="CRM47" s="41"/>
      <c r="CRN47" s="41"/>
      <c r="CRO47" s="41"/>
      <c r="CRP47" s="41"/>
      <c r="CRQ47" s="139"/>
      <c r="CRR47" s="41"/>
      <c r="CRS47" s="41"/>
      <c r="CRT47" s="41"/>
      <c r="CRU47" s="41"/>
      <c r="CRV47" s="41"/>
      <c r="CRW47" s="76"/>
      <c r="CRX47" s="41"/>
      <c r="CRY47" s="41"/>
      <c r="CRZ47" s="41"/>
      <c r="CSA47" s="41"/>
      <c r="CSB47" s="41"/>
      <c r="CSC47" s="42"/>
      <c r="CSD47" s="90"/>
    </row>
    <row r="48" spans="1:2526" ht="20.100000000000001" customHeight="1" x14ac:dyDescent="0.3">
      <c r="A48" s="100" t="s">
        <v>19</v>
      </c>
      <c r="B48" s="63" t="str">
        <f>IF(LEN(C81)=0,"",C81)</f>
        <v/>
      </c>
      <c r="C48" s="212"/>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28"/>
      <c r="BLW48" s="67"/>
      <c r="BLX48" s="67"/>
      <c r="BLY48" s="67"/>
      <c r="BLZ48" s="29"/>
      <c r="BMA48" s="131"/>
      <c r="BMB48" s="29"/>
      <c r="BMC48" s="29"/>
      <c r="BMD48" s="29"/>
      <c r="BME48" s="29"/>
      <c r="BMF48" s="29"/>
      <c r="BMG48" s="136"/>
      <c r="BMH48" s="29"/>
      <c r="BMI48" s="29"/>
      <c r="BMJ48" s="29"/>
      <c r="BMK48" s="29"/>
      <c r="BML48" s="29"/>
      <c r="BMM48" s="73"/>
      <c r="BMN48" s="29"/>
      <c r="BMO48" s="29"/>
      <c r="BMP48" s="29"/>
      <c r="BMQ48" s="29"/>
      <c r="BMR48" s="29"/>
      <c r="BMS48" s="136"/>
      <c r="BMT48" s="29"/>
      <c r="BMU48" s="29"/>
      <c r="BMV48" s="29"/>
      <c r="BMW48" s="29"/>
      <c r="BMX48" s="29"/>
      <c r="BMY48" s="73"/>
      <c r="BMZ48" s="67"/>
      <c r="BNA48" s="67"/>
      <c r="BNB48" s="67"/>
      <c r="BNC48" s="67"/>
      <c r="BND48" s="29"/>
      <c r="BNE48" s="136"/>
      <c r="BNF48" s="29"/>
      <c r="BNG48" s="29"/>
      <c r="BNH48" s="29"/>
      <c r="BNI48" s="29"/>
      <c r="BNJ48" s="29"/>
      <c r="BNK48" s="73"/>
      <c r="BNL48" s="29"/>
      <c r="BNM48" s="29"/>
      <c r="BNN48" s="29"/>
      <c r="BNO48" s="29"/>
      <c r="BNP48" s="29"/>
      <c r="BNQ48" s="136"/>
      <c r="BNR48" s="29"/>
      <c r="BNS48" s="29"/>
      <c r="BNT48" s="29"/>
      <c r="BNU48" s="29"/>
      <c r="BNV48" s="29"/>
      <c r="BNW48" s="73"/>
      <c r="BNX48" s="29"/>
      <c r="BNY48" s="29"/>
      <c r="BNZ48" s="29"/>
      <c r="BOA48" s="29"/>
      <c r="BOB48" s="29"/>
      <c r="BOC48" s="30"/>
      <c r="BOD48" s="28"/>
      <c r="BOE48" s="67"/>
      <c r="BOF48" s="67"/>
      <c r="BOG48" s="67"/>
      <c r="BOH48" s="29"/>
      <c r="BOI48" s="131"/>
      <c r="BOJ48" s="29"/>
      <c r="BOK48" s="29"/>
      <c r="BOL48" s="29"/>
      <c r="BOM48" s="29"/>
      <c r="BON48" s="29"/>
      <c r="BOO48" s="136"/>
      <c r="BOP48" s="29"/>
      <c r="BOQ48" s="29"/>
      <c r="BOR48" s="29"/>
      <c r="BOS48" s="29"/>
      <c r="BOT48" s="29"/>
      <c r="BOU48" s="73"/>
      <c r="BOV48" s="29"/>
      <c r="BOW48" s="29"/>
      <c r="BOX48" s="29"/>
      <c r="BOY48" s="29"/>
      <c r="BOZ48" s="29"/>
      <c r="BPA48" s="136"/>
      <c r="BPB48" s="29"/>
      <c r="BPC48" s="29"/>
      <c r="BPD48" s="29"/>
      <c r="BPE48" s="29"/>
      <c r="BPF48" s="29"/>
      <c r="BPG48" s="73"/>
      <c r="BPH48" s="67"/>
      <c r="BPI48" s="67"/>
      <c r="BPJ48" s="67"/>
      <c r="BPK48" s="67"/>
      <c r="BPL48" s="29"/>
      <c r="BPM48" s="136"/>
      <c r="BPN48" s="29"/>
      <c r="BPO48" s="29"/>
      <c r="BPP48" s="29"/>
      <c r="BPQ48" s="29"/>
      <c r="BPR48" s="29"/>
      <c r="BPS48" s="73"/>
      <c r="BPT48" s="29"/>
      <c r="BPU48" s="29"/>
      <c r="BPV48" s="29"/>
      <c r="BPW48" s="29"/>
      <c r="BPX48" s="29"/>
      <c r="BPY48" s="136"/>
      <c r="BPZ48" s="29"/>
      <c r="BQA48" s="29"/>
      <c r="BQB48" s="29"/>
      <c r="BQC48" s="29"/>
      <c r="BQD48" s="29"/>
      <c r="BQE48" s="73"/>
      <c r="BQF48" s="29"/>
      <c r="BQG48" s="29"/>
      <c r="BQH48" s="29"/>
      <c r="BQI48" s="29"/>
      <c r="BQJ48" s="29"/>
      <c r="BQK48" s="30"/>
      <c r="BQL48" s="28"/>
      <c r="BQM48" s="67"/>
      <c r="BQN48" s="67"/>
      <c r="BQO48" s="67"/>
      <c r="BQP48" s="29"/>
      <c r="BQQ48" s="131"/>
      <c r="BQR48" s="29"/>
      <c r="BQS48" s="29"/>
      <c r="BQT48" s="29"/>
      <c r="BQU48" s="29"/>
      <c r="BQV48" s="29"/>
      <c r="BQW48" s="136"/>
      <c r="BQX48" s="29"/>
      <c r="BQY48" s="29"/>
      <c r="BQZ48" s="29"/>
      <c r="BRA48" s="29"/>
      <c r="BRB48" s="29"/>
      <c r="BRC48" s="73"/>
      <c r="BRD48" s="29"/>
      <c r="BRE48" s="29"/>
      <c r="BRF48" s="29"/>
      <c r="BRG48" s="29"/>
      <c r="BRH48" s="29"/>
      <c r="BRI48" s="136"/>
      <c r="BRJ48" s="29"/>
      <c r="BRK48" s="29"/>
      <c r="BRL48" s="29"/>
      <c r="BRM48" s="29"/>
      <c r="BRN48" s="29"/>
      <c r="BRO48" s="73"/>
      <c r="BRP48" s="67"/>
      <c r="BRQ48" s="67"/>
      <c r="BRR48" s="67"/>
      <c r="BRS48" s="67"/>
      <c r="BRT48" s="29"/>
      <c r="BRU48" s="136"/>
      <c r="BRV48" s="29"/>
      <c r="BRW48" s="29"/>
      <c r="BRX48" s="29"/>
      <c r="BRY48" s="29"/>
      <c r="BRZ48" s="29"/>
      <c r="BSA48" s="73"/>
      <c r="BSB48" s="29"/>
      <c r="BSC48" s="29"/>
      <c r="BSD48" s="29"/>
      <c r="BSE48" s="29"/>
      <c r="BSF48" s="29"/>
      <c r="BSG48" s="136"/>
      <c r="BSH48" s="29"/>
      <c r="BSI48" s="29"/>
      <c r="BSJ48" s="29"/>
      <c r="BSK48" s="29"/>
      <c r="BSL48" s="29"/>
      <c r="BSM48" s="73"/>
      <c r="BSN48" s="29"/>
      <c r="BSO48" s="29"/>
      <c r="BSP48" s="29"/>
      <c r="BSQ48" s="29"/>
      <c r="BSR48" s="29"/>
      <c r="BSS48" s="30"/>
      <c r="BST48" s="28"/>
      <c r="BSU48" s="67"/>
      <c r="BSV48" s="67"/>
      <c r="BSW48" s="67"/>
      <c r="BSX48" s="29"/>
      <c r="BSY48" s="131"/>
      <c r="BSZ48" s="29"/>
      <c r="BTA48" s="29"/>
      <c r="BTB48" s="29"/>
      <c r="BTC48" s="29"/>
      <c r="BTD48" s="29"/>
      <c r="BTE48" s="136"/>
      <c r="BTF48" s="29"/>
      <c r="BTG48" s="29"/>
      <c r="BTH48" s="29"/>
      <c r="BTI48" s="29"/>
      <c r="BTJ48" s="29"/>
      <c r="BTK48" s="73"/>
      <c r="BTL48" s="29"/>
      <c r="BTM48" s="29"/>
      <c r="BTN48" s="29"/>
      <c r="BTO48" s="29"/>
      <c r="BTP48" s="29"/>
      <c r="BTQ48" s="136"/>
      <c r="BTR48" s="29"/>
      <c r="BTS48" s="29"/>
      <c r="BTT48" s="29"/>
      <c r="BTU48" s="29"/>
      <c r="BTV48" s="29"/>
      <c r="BTW48" s="73"/>
      <c r="BTX48" s="67"/>
      <c r="BTY48" s="67"/>
      <c r="BTZ48" s="67"/>
      <c r="BUA48" s="67"/>
      <c r="BUB48" s="29"/>
      <c r="BUC48" s="136"/>
      <c r="BUD48" s="29"/>
      <c r="BUE48" s="29"/>
      <c r="BUF48" s="29"/>
      <c r="BUG48" s="29"/>
      <c r="BUH48" s="29"/>
      <c r="BUI48" s="73"/>
      <c r="BUJ48" s="29"/>
      <c r="BUK48" s="29"/>
      <c r="BUL48" s="29"/>
      <c r="BUM48" s="29"/>
      <c r="BUN48" s="29"/>
      <c r="BUO48" s="136"/>
      <c r="BUP48" s="29"/>
      <c r="BUQ48" s="29"/>
      <c r="BUR48" s="29"/>
      <c r="BUS48" s="29"/>
      <c r="BUT48" s="29"/>
      <c r="BUU48" s="73"/>
      <c r="BUV48" s="29"/>
      <c r="BUW48" s="29"/>
      <c r="BUX48" s="29"/>
      <c r="BUY48" s="29"/>
      <c r="BUZ48" s="29"/>
      <c r="BVA48" s="30"/>
      <c r="BVB48" s="28"/>
      <c r="BVC48" s="67"/>
      <c r="BVD48" s="67"/>
      <c r="BVE48" s="67"/>
      <c r="BVF48" s="29"/>
      <c r="BVG48" s="131"/>
      <c r="BVH48" s="29"/>
      <c r="BVI48" s="29"/>
      <c r="BVJ48" s="29"/>
      <c r="BVK48" s="29"/>
      <c r="BVL48" s="29"/>
      <c r="BVM48" s="136"/>
      <c r="BVN48" s="29"/>
      <c r="BVO48" s="29"/>
      <c r="BVP48" s="29"/>
      <c r="BVQ48" s="29"/>
      <c r="BVR48" s="29"/>
      <c r="BVS48" s="73"/>
      <c r="BVT48" s="29"/>
      <c r="BVU48" s="29"/>
      <c r="BVV48" s="29"/>
      <c r="BVW48" s="29"/>
      <c r="BVX48" s="29"/>
      <c r="BVY48" s="136"/>
      <c r="BVZ48" s="29"/>
      <c r="BWA48" s="29"/>
      <c r="BWB48" s="29"/>
      <c r="BWC48" s="29"/>
      <c r="BWD48" s="29"/>
      <c r="BWE48" s="73"/>
      <c r="BWF48" s="67"/>
      <c r="BWG48" s="67"/>
      <c r="BWH48" s="67"/>
      <c r="BWI48" s="67"/>
      <c r="BWJ48" s="29"/>
      <c r="BWK48" s="136"/>
      <c r="BWL48" s="29"/>
      <c r="BWM48" s="29"/>
      <c r="BWN48" s="29"/>
      <c r="BWO48" s="29"/>
      <c r="BWP48" s="29"/>
      <c r="BWQ48" s="73"/>
      <c r="BWR48" s="29"/>
      <c r="BWS48" s="29"/>
      <c r="BWT48" s="29"/>
      <c r="BWU48" s="29"/>
      <c r="BWV48" s="29"/>
      <c r="BWW48" s="136"/>
      <c r="BWX48" s="29"/>
      <c r="BWY48" s="29"/>
      <c r="BWZ48" s="29"/>
      <c r="BXA48" s="29"/>
      <c r="BXB48" s="29"/>
      <c r="BXC48" s="73"/>
      <c r="BXD48" s="29"/>
      <c r="BXE48" s="29"/>
      <c r="BXF48" s="29"/>
      <c r="BXG48" s="29"/>
      <c r="BXH48" s="29"/>
      <c r="BXI48" s="30"/>
      <c r="BXJ48" s="28"/>
      <c r="BXK48" s="67"/>
      <c r="BXL48" s="67"/>
      <c r="BXM48" s="67"/>
      <c r="BXN48" s="29"/>
      <c r="BXO48" s="131"/>
      <c r="BXP48" s="29"/>
      <c r="BXQ48" s="29"/>
      <c r="BXR48" s="29"/>
      <c r="BXS48" s="29"/>
      <c r="BXT48" s="29"/>
      <c r="BXU48" s="136"/>
      <c r="BXV48" s="29"/>
      <c r="BXW48" s="29"/>
      <c r="BXX48" s="29"/>
      <c r="BXY48" s="29"/>
      <c r="BXZ48" s="29"/>
      <c r="BYA48" s="73"/>
      <c r="BYB48" s="29"/>
      <c r="BYC48" s="29"/>
      <c r="BYD48" s="29"/>
      <c r="BYE48" s="29"/>
      <c r="BYF48" s="29"/>
      <c r="BYG48" s="136"/>
      <c r="BYH48" s="29"/>
      <c r="BYI48" s="29"/>
      <c r="BYJ48" s="29"/>
      <c r="BYK48" s="29"/>
      <c r="BYL48" s="29"/>
      <c r="BYM48" s="73"/>
      <c r="BYN48" s="67"/>
      <c r="BYO48" s="67"/>
      <c r="BYP48" s="67"/>
      <c r="BYQ48" s="67"/>
      <c r="BYR48" s="29"/>
      <c r="BYS48" s="136"/>
      <c r="BYT48" s="29"/>
      <c r="BYU48" s="29"/>
      <c r="BYV48" s="29"/>
      <c r="BYW48" s="29"/>
      <c r="BYX48" s="29"/>
      <c r="BYY48" s="73"/>
      <c r="BYZ48" s="29"/>
      <c r="BZA48" s="29"/>
      <c r="BZB48" s="29"/>
      <c r="BZC48" s="29"/>
      <c r="BZD48" s="29"/>
      <c r="BZE48" s="136"/>
      <c r="BZF48" s="29"/>
      <c r="BZG48" s="29"/>
      <c r="BZH48" s="29"/>
      <c r="BZI48" s="29"/>
      <c r="BZJ48" s="29"/>
      <c r="BZK48" s="73"/>
      <c r="BZL48" s="29"/>
      <c r="BZM48" s="29"/>
      <c r="BZN48" s="29"/>
      <c r="BZO48" s="29"/>
      <c r="BZP48" s="29"/>
      <c r="BZQ48" s="30"/>
      <c r="BZR48" s="28"/>
      <c r="BZS48" s="67"/>
      <c r="BZT48" s="67"/>
      <c r="BZU48" s="67"/>
      <c r="BZV48" s="29"/>
      <c r="BZW48" s="131"/>
      <c r="BZX48" s="29"/>
      <c r="BZY48" s="29"/>
      <c r="BZZ48" s="29"/>
      <c r="CAA48" s="29"/>
      <c r="CAB48" s="29"/>
      <c r="CAC48" s="136"/>
      <c r="CAD48" s="29"/>
      <c r="CAE48" s="29"/>
      <c r="CAF48" s="29"/>
      <c r="CAG48" s="29"/>
      <c r="CAH48" s="29"/>
      <c r="CAI48" s="73"/>
      <c r="CAJ48" s="29"/>
      <c r="CAK48" s="29"/>
      <c r="CAL48" s="29"/>
      <c r="CAM48" s="29"/>
      <c r="CAN48" s="29"/>
      <c r="CAO48" s="136"/>
      <c r="CAP48" s="29"/>
      <c r="CAQ48" s="29"/>
      <c r="CAR48" s="29"/>
      <c r="CAS48" s="29"/>
      <c r="CAT48" s="29"/>
      <c r="CAU48" s="73"/>
      <c r="CAV48" s="67"/>
      <c r="CAW48" s="67"/>
      <c r="CAX48" s="67"/>
      <c r="CAY48" s="67"/>
      <c r="CAZ48" s="29"/>
      <c r="CBA48" s="136"/>
      <c r="CBB48" s="29"/>
      <c r="CBC48" s="29"/>
      <c r="CBD48" s="29"/>
      <c r="CBE48" s="29"/>
      <c r="CBF48" s="29"/>
      <c r="CBG48" s="73"/>
      <c r="CBH48" s="29"/>
      <c r="CBI48" s="29"/>
      <c r="CBJ48" s="29"/>
      <c r="CBK48" s="29"/>
      <c r="CBL48" s="29"/>
      <c r="CBM48" s="136"/>
      <c r="CBN48" s="29"/>
      <c r="CBO48" s="29"/>
      <c r="CBP48" s="29"/>
      <c r="CBQ48" s="29"/>
      <c r="CBR48" s="29"/>
      <c r="CBS48" s="73"/>
      <c r="CBT48" s="29"/>
      <c r="CBU48" s="29"/>
      <c r="CBV48" s="29"/>
      <c r="CBW48" s="29"/>
      <c r="CBX48" s="29"/>
      <c r="CBY48" s="30"/>
      <c r="CBZ48" s="28"/>
      <c r="CCA48" s="67"/>
      <c r="CCB48" s="67"/>
      <c r="CCC48" s="67"/>
      <c r="CCD48" s="29"/>
      <c r="CCE48" s="131"/>
      <c r="CCF48" s="29"/>
      <c r="CCG48" s="29"/>
      <c r="CCH48" s="29"/>
      <c r="CCI48" s="29"/>
      <c r="CCJ48" s="29"/>
      <c r="CCK48" s="136"/>
      <c r="CCL48" s="29"/>
      <c r="CCM48" s="29"/>
      <c r="CCN48" s="29"/>
      <c r="CCO48" s="29"/>
      <c r="CCP48" s="29"/>
      <c r="CCQ48" s="73"/>
      <c r="CCR48" s="29"/>
      <c r="CCS48" s="29"/>
      <c r="CCT48" s="29"/>
      <c r="CCU48" s="29"/>
      <c r="CCV48" s="29"/>
      <c r="CCW48" s="136"/>
      <c r="CCX48" s="29"/>
      <c r="CCY48" s="29"/>
      <c r="CCZ48" s="29"/>
      <c r="CDA48" s="29"/>
      <c r="CDB48" s="29"/>
      <c r="CDC48" s="73"/>
      <c r="CDD48" s="67"/>
      <c r="CDE48" s="67"/>
      <c r="CDF48" s="67"/>
      <c r="CDG48" s="67"/>
      <c r="CDH48" s="29"/>
      <c r="CDI48" s="136"/>
      <c r="CDJ48" s="29"/>
      <c r="CDK48" s="29"/>
      <c r="CDL48" s="29"/>
      <c r="CDM48" s="29"/>
      <c r="CDN48" s="29"/>
      <c r="CDO48" s="73"/>
      <c r="CDP48" s="29"/>
      <c r="CDQ48" s="29"/>
      <c r="CDR48" s="29"/>
      <c r="CDS48" s="29"/>
      <c r="CDT48" s="29"/>
      <c r="CDU48" s="136"/>
      <c r="CDV48" s="29"/>
      <c r="CDW48" s="29"/>
      <c r="CDX48" s="29"/>
      <c r="CDY48" s="29"/>
      <c r="CDZ48" s="29"/>
      <c r="CEA48" s="73"/>
      <c r="CEB48" s="29"/>
      <c r="CEC48" s="29"/>
      <c r="CED48" s="29"/>
      <c r="CEE48" s="29"/>
      <c r="CEF48" s="29"/>
      <c r="CEG48" s="30"/>
      <c r="CEH48" s="28"/>
      <c r="CEI48" s="67"/>
      <c r="CEJ48" s="67"/>
      <c r="CEK48" s="67"/>
      <c r="CEL48" s="29"/>
      <c r="CEM48" s="131"/>
      <c r="CEN48" s="29"/>
      <c r="CEO48" s="29"/>
      <c r="CEP48" s="29"/>
      <c r="CEQ48" s="29"/>
      <c r="CER48" s="29"/>
      <c r="CES48" s="136"/>
      <c r="CET48" s="29"/>
      <c r="CEU48" s="29"/>
      <c r="CEV48" s="29"/>
      <c r="CEW48" s="29"/>
      <c r="CEX48" s="29"/>
      <c r="CEY48" s="73"/>
      <c r="CEZ48" s="29"/>
      <c r="CFA48" s="29"/>
      <c r="CFB48" s="29"/>
      <c r="CFC48" s="29"/>
      <c r="CFD48" s="29"/>
      <c r="CFE48" s="136"/>
      <c r="CFF48" s="29"/>
      <c r="CFG48" s="29"/>
      <c r="CFH48" s="29"/>
      <c r="CFI48" s="29"/>
      <c r="CFJ48" s="29"/>
      <c r="CFK48" s="73"/>
      <c r="CFL48" s="67"/>
      <c r="CFM48" s="67"/>
      <c r="CFN48" s="67"/>
      <c r="CFO48" s="67"/>
      <c r="CFP48" s="29"/>
      <c r="CFQ48" s="136"/>
      <c r="CFR48" s="29"/>
      <c r="CFS48" s="29"/>
      <c r="CFT48" s="29"/>
      <c r="CFU48" s="29"/>
      <c r="CFV48" s="29"/>
      <c r="CFW48" s="73"/>
      <c r="CFX48" s="29"/>
      <c r="CFY48" s="29"/>
      <c r="CFZ48" s="29"/>
      <c r="CGA48" s="29"/>
      <c r="CGB48" s="29"/>
      <c r="CGC48" s="136"/>
      <c r="CGD48" s="29"/>
      <c r="CGE48" s="29"/>
      <c r="CGF48" s="29"/>
      <c r="CGG48" s="29"/>
      <c r="CGH48" s="29"/>
      <c r="CGI48" s="73"/>
      <c r="CGJ48" s="29"/>
      <c r="CGK48" s="29"/>
      <c r="CGL48" s="29"/>
      <c r="CGM48" s="29"/>
      <c r="CGN48" s="29"/>
      <c r="CGO48" s="30"/>
      <c r="CGP48" s="28"/>
      <c r="CGQ48" s="67"/>
      <c r="CGR48" s="67"/>
      <c r="CGS48" s="67"/>
      <c r="CGT48" s="29"/>
      <c r="CGU48" s="131"/>
      <c r="CGV48" s="29"/>
      <c r="CGW48" s="29"/>
      <c r="CGX48" s="29"/>
      <c r="CGY48" s="29"/>
      <c r="CGZ48" s="29"/>
      <c r="CHA48" s="136"/>
      <c r="CHB48" s="29"/>
      <c r="CHC48" s="29"/>
      <c r="CHD48" s="29"/>
      <c r="CHE48" s="29"/>
      <c r="CHF48" s="29"/>
      <c r="CHG48" s="73"/>
      <c r="CHH48" s="29"/>
      <c r="CHI48" s="29"/>
      <c r="CHJ48" s="29"/>
      <c r="CHK48" s="29"/>
      <c r="CHL48" s="29"/>
      <c r="CHM48" s="136"/>
      <c r="CHN48" s="29"/>
      <c r="CHO48" s="29"/>
      <c r="CHP48" s="29"/>
      <c r="CHQ48" s="29"/>
      <c r="CHR48" s="29"/>
      <c r="CHS48" s="73"/>
      <c r="CHT48" s="67"/>
      <c r="CHU48" s="67"/>
      <c r="CHV48" s="67"/>
      <c r="CHW48" s="67"/>
      <c r="CHX48" s="29"/>
      <c r="CHY48" s="136"/>
      <c r="CHZ48" s="29"/>
      <c r="CIA48" s="29"/>
      <c r="CIB48" s="29"/>
      <c r="CIC48" s="29"/>
      <c r="CID48" s="29"/>
      <c r="CIE48" s="73"/>
      <c r="CIF48" s="29"/>
      <c r="CIG48" s="29"/>
      <c r="CIH48" s="29"/>
      <c r="CII48" s="29"/>
      <c r="CIJ48" s="29"/>
      <c r="CIK48" s="136"/>
      <c r="CIL48" s="29"/>
      <c r="CIM48" s="29"/>
      <c r="CIN48" s="29"/>
      <c r="CIO48" s="29"/>
      <c r="CIP48" s="29"/>
      <c r="CIQ48" s="73"/>
      <c r="CIR48" s="29"/>
      <c r="CIS48" s="29"/>
      <c r="CIT48" s="29"/>
      <c r="CIU48" s="29"/>
      <c r="CIV48" s="29"/>
      <c r="CIW48" s="30"/>
      <c r="CIX48" s="28"/>
      <c r="CIY48" s="67"/>
      <c r="CIZ48" s="67"/>
      <c r="CJA48" s="67"/>
      <c r="CJB48" s="29"/>
      <c r="CJC48" s="131"/>
      <c r="CJD48" s="29"/>
      <c r="CJE48" s="29"/>
      <c r="CJF48" s="29"/>
      <c r="CJG48" s="29"/>
      <c r="CJH48" s="29"/>
      <c r="CJI48" s="136"/>
      <c r="CJJ48" s="29"/>
      <c r="CJK48" s="29"/>
      <c r="CJL48" s="29"/>
      <c r="CJM48" s="29"/>
      <c r="CJN48" s="29"/>
      <c r="CJO48" s="73"/>
      <c r="CJP48" s="29"/>
      <c r="CJQ48" s="29"/>
      <c r="CJR48" s="29"/>
      <c r="CJS48" s="29"/>
      <c r="CJT48" s="29"/>
      <c r="CJU48" s="136"/>
      <c r="CJV48" s="29"/>
      <c r="CJW48" s="29"/>
      <c r="CJX48" s="29"/>
      <c r="CJY48" s="29"/>
      <c r="CJZ48" s="29"/>
      <c r="CKA48" s="73"/>
      <c r="CKB48" s="67"/>
      <c r="CKC48" s="67"/>
      <c r="CKD48" s="67"/>
      <c r="CKE48" s="67"/>
      <c r="CKF48" s="29"/>
      <c r="CKG48" s="136"/>
      <c r="CKH48" s="29"/>
      <c r="CKI48" s="29"/>
      <c r="CKJ48" s="29"/>
      <c r="CKK48" s="29"/>
      <c r="CKL48" s="29"/>
      <c r="CKM48" s="73"/>
      <c r="CKN48" s="29"/>
      <c r="CKO48" s="29"/>
      <c r="CKP48" s="29"/>
      <c r="CKQ48" s="29"/>
      <c r="CKR48" s="29"/>
      <c r="CKS48" s="136"/>
      <c r="CKT48" s="29"/>
      <c r="CKU48" s="29"/>
      <c r="CKV48" s="29"/>
      <c r="CKW48" s="29"/>
      <c r="CKX48" s="29"/>
      <c r="CKY48" s="73"/>
      <c r="CKZ48" s="29"/>
      <c r="CLA48" s="29"/>
      <c r="CLB48" s="29"/>
      <c r="CLC48" s="29"/>
      <c r="CLD48" s="29"/>
      <c r="CLE48" s="30"/>
      <c r="CLF48" s="28"/>
      <c r="CLG48" s="67"/>
      <c r="CLH48" s="67"/>
      <c r="CLI48" s="67"/>
      <c r="CLJ48" s="29"/>
      <c r="CLK48" s="131"/>
      <c r="CLL48" s="29"/>
      <c r="CLM48" s="29"/>
      <c r="CLN48" s="29"/>
      <c r="CLO48" s="29"/>
      <c r="CLP48" s="29"/>
      <c r="CLQ48" s="136"/>
      <c r="CLR48" s="29"/>
      <c r="CLS48" s="29"/>
      <c r="CLT48" s="29"/>
      <c r="CLU48" s="29"/>
      <c r="CLV48" s="29"/>
      <c r="CLW48" s="73"/>
      <c r="CLX48" s="29"/>
      <c r="CLY48" s="29"/>
      <c r="CLZ48" s="29"/>
      <c r="CMA48" s="29"/>
      <c r="CMB48" s="29"/>
      <c r="CMC48" s="136"/>
      <c r="CMD48" s="29"/>
      <c r="CME48" s="29"/>
      <c r="CMF48" s="29"/>
      <c r="CMG48" s="29"/>
      <c r="CMH48" s="29"/>
      <c r="CMI48" s="73"/>
      <c r="CMJ48" s="67"/>
      <c r="CMK48" s="67"/>
      <c r="CML48" s="67"/>
      <c r="CMM48" s="67"/>
      <c r="CMN48" s="29"/>
      <c r="CMO48" s="136"/>
      <c r="CMP48" s="29"/>
      <c r="CMQ48" s="29"/>
      <c r="CMR48" s="29"/>
      <c r="CMS48" s="29"/>
      <c r="CMT48" s="29"/>
      <c r="CMU48" s="73"/>
      <c r="CMV48" s="29"/>
      <c r="CMW48" s="29"/>
      <c r="CMX48" s="29"/>
      <c r="CMY48" s="29"/>
      <c r="CMZ48" s="29"/>
      <c r="CNA48" s="136"/>
      <c r="CNB48" s="29"/>
      <c r="CNC48" s="29"/>
      <c r="CND48" s="29"/>
      <c r="CNE48" s="29"/>
      <c r="CNF48" s="29"/>
      <c r="CNG48" s="73"/>
      <c r="CNH48" s="29"/>
      <c r="CNI48" s="29"/>
      <c r="CNJ48" s="29"/>
      <c r="CNK48" s="29"/>
      <c r="CNL48" s="29"/>
      <c r="CNM48" s="30"/>
      <c r="CNN48" s="28"/>
      <c r="CNO48" s="67"/>
      <c r="CNP48" s="67"/>
      <c r="CNQ48" s="67"/>
      <c r="CNR48" s="29"/>
      <c r="CNS48" s="131"/>
      <c r="CNT48" s="29"/>
      <c r="CNU48" s="29"/>
      <c r="CNV48" s="29"/>
      <c r="CNW48" s="29"/>
      <c r="CNX48" s="29"/>
      <c r="CNY48" s="136"/>
      <c r="CNZ48" s="29"/>
      <c r="COA48" s="29"/>
      <c r="COB48" s="29"/>
      <c r="COC48" s="29"/>
      <c r="COD48" s="29"/>
      <c r="COE48" s="73"/>
      <c r="COF48" s="29"/>
      <c r="COG48" s="29"/>
      <c r="COH48" s="29"/>
      <c r="COI48" s="29"/>
      <c r="COJ48" s="29"/>
      <c r="COK48" s="136"/>
      <c r="COL48" s="29"/>
      <c r="COM48" s="29"/>
      <c r="CON48" s="29"/>
      <c r="COO48" s="29"/>
      <c r="COP48" s="29"/>
      <c r="COQ48" s="73"/>
      <c r="COR48" s="67"/>
      <c r="COS48" s="67"/>
      <c r="COT48" s="67"/>
      <c r="COU48" s="67"/>
      <c r="COV48" s="29"/>
      <c r="COW48" s="136"/>
      <c r="COX48" s="29"/>
      <c r="COY48" s="29"/>
      <c r="COZ48" s="29"/>
      <c r="CPA48" s="29"/>
      <c r="CPB48" s="29"/>
      <c r="CPC48" s="73"/>
      <c r="CPD48" s="29"/>
      <c r="CPE48" s="29"/>
      <c r="CPF48" s="29"/>
      <c r="CPG48" s="29"/>
      <c r="CPH48" s="29"/>
      <c r="CPI48" s="136"/>
      <c r="CPJ48" s="29"/>
      <c r="CPK48" s="29"/>
      <c r="CPL48" s="29"/>
      <c r="CPM48" s="29"/>
      <c r="CPN48" s="29"/>
      <c r="CPO48" s="73"/>
      <c r="CPP48" s="29"/>
      <c r="CPQ48" s="29"/>
      <c r="CPR48" s="29"/>
      <c r="CPS48" s="29"/>
      <c r="CPT48" s="29"/>
      <c r="CPU48" s="30"/>
      <c r="CPV48" s="28"/>
      <c r="CPW48" s="67"/>
      <c r="CPX48" s="67"/>
      <c r="CPY48" s="67"/>
      <c r="CPZ48" s="29"/>
      <c r="CQA48" s="131"/>
      <c r="CQB48" s="29"/>
      <c r="CQC48" s="29"/>
      <c r="CQD48" s="29"/>
      <c r="CQE48" s="29"/>
      <c r="CQF48" s="29"/>
      <c r="CQG48" s="136"/>
      <c r="CQH48" s="29"/>
      <c r="CQI48" s="29"/>
      <c r="CQJ48" s="29"/>
      <c r="CQK48" s="29"/>
      <c r="CQL48" s="29"/>
      <c r="CQM48" s="73"/>
      <c r="CQN48" s="29"/>
      <c r="CQO48" s="29"/>
      <c r="CQP48" s="29"/>
      <c r="CQQ48" s="29"/>
      <c r="CQR48" s="29"/>
      <c r="CQS48" s="136"/>
      <c r="CQT48" s="29"/>
      <c r="CQU48" s="29"/>
      <c r="CQV48" s="29"/>
      <c r="CQW48" s="29"/>
      <c r="CQX48" s="29"/>
      <c r="CQY48" s="73"/>
      <c r="CQZ48" s="67"/>
      <c r="CRA48" s="67"/>
      <c r="CRB48" s="67"/>
      <c r="CRC48" s="67"/>
      <c r="CRD48" s="29"/>
      <c r="CRE48" s="136"/>
      <c r="CRF48" s="29"/>
      <c r="CRG48" s="29"/>
      <c r="CRH48" s="29"/>
      <c r="CRI48" s="29"/>
      <c r="CRJ48" s="29"/>
      <c r="CRK48" s="73"/>
      <c r="CRL48" s="29"/>
      <c r="CRM48" s="29"/>
      <c r="CRN48" s="29"/>
      <c r="CRO48" s="29"/>
      <c r="CRP48" s="29"/>
      <c r="CRQ48" s="136"/>
      <c r="CRR48" s="29"/>
      <c r="CRS48" s="29"/>
      <c r="CRT48" s="29"/>
      <c r="CRU48" s="29"/>
      <c r="CRV48" s="29"/>
      <c r="CRW48" s="73"/>
      <c r="CRX48" s="29"/>
      <c r="CRY48" s="29"/>
      <c r="CRZ48" s="29"/>
      <c r="CSA48" s="29"/>
      <c r="CSB48" s="29"/>
      <c r="CSC48" s="30"/>
      <c r="CSD48" s="90"/>
    </row>
    <row r="49" spans="1:2526" ht="20.100000000000001" customHeight="1" x14ac:dyDescent="0.25">
      <c r="A49" s="100" t="s">
        <v>18</v>
      </c>
      <c r="B49" s="63" t="str">
        <f>IF(LEN(C83)=0,"",C83)</f>
        <v/>
      </c>
      <c r="C49" s="211" t="s">
        <v>55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32"/>
      <c r="BLW49" s="64"/>
      <c r="BLX49" s="64"/>
      <c r="BLY49" s="64"/>
      <c r="BLZ49" s="33"/>
      <c r="BMA49" s="132"/>
      <c r="BMB49" s="33"/>
      <c r="BMC49" s="33"/>
      <c r="BMD49" s="33"/>
      <c r="BME49" s="33"/>
      <c r="BMF49" s="33"/>
      <c r="BMG49" s="137"/>
      <c r="BMH49" s="33"/>
      <c r="BMI49" s="33"/>
      <c r="BMJ49" s="33"/>
      <c r="BMK49" s="33"/>
      <c r="BML49" s="33"/>
      <c r="BMM49" s="74"/>
      <c r="BMN49" s="33"/>
      <c r="BMO49" s="33"/>
      <c r="BMP49" s="33"/>
      <c r="BMQ49" s="33"/>
      <c r="BMR49" s="33"/>
      <c r="BMS49" s="137"/>
      <c r="BMT49" s="33"/>
      <c r="BMU49" s="33"/>
      <c r="BMV49" s="33"/>
      <c r="BMW49" s="33"/>
      <c r="BMX49" s="33"/>
      <c r="BMY49" s="74"/>
      <c r="BMZ49" s="64"/>
      <c r="BNA49" s="64"/>
      <c r="BNB49" s="64"/>
      <c r="BNC49" s="64"/>
      <c r="BND49" s="33"/>
      <c r="BNE49" s="137"/>
      <c r="BNF49" s="33"/>
      <c r="BNG49" s="33"/>
      <c r="BNH49" s="33"/>
      <c r="BNI49" s="33"/>
      <c r="BNJ49" s="33"/>
      <c r="BNK49" s="74"/>
      <c r="BNL49" s="33"/>
      <c r="BNM49" s="33"/>
      <c r="BNN49" s="33"/>
      <c r="BNO49" s="33"/>
      <c r="BNP49" s="33"/>
      <c r="BNQ49" s="137"/>
      <c r="BNR49" s="33"/>
      <c r="BNS49" s="33"/>
      <c r="BNT49" s="33"/>
      <c r="BNU49" s="33"/>
      <c r="BNV49" s="33"/>
      <c r="BNW49" s="74"/>
      <c r="BNX49" s="33"/>
      <c r="BNY49" s="33"/>
      <c r="BNZ49" s="33"/>
      <c r="BOA49" s="33"/>
      <c r="BOB49" s="33"/>
      <c r="BOC49" s="34"/>
      <c r="BOD49" s="32"/>
      <c r="BOE49" s="64"/>
      <c r="BOF49" s="64"/>
      <c r="BOG49" s="64"/>
      <c r="BOH49" s="33"/>
      <c r="BOI49" s="132"/>
      <c r="BOJ49" s="33"/>
      <c r="BOK49" s="33"/>
      <c r="BOL49" s="33"/>
      <c r="BOM49" s="33"/>
      <c r="BON49" s="33"/>
      <c r="BOO49" s="137"/>
      <c r="BOP49" s="33"/>
      <c r="BOQ49" s="33"/>
      <c r="BOR49" s="33"/>
      <c r="BOS49" s="33"/>
      <c r="BOT49" s="33"/>
      <c r="BOU49" s="74"/>
      <c r="BOV49" s="33"/>
      <c r="BOW49" s="33"/>
      <c r="BOX49" s="33"/>
      <c r="BOY49" s="33"/>
      <c r="BOZ49" s="33"/>
      <c r="BPA49" s="137"/>
      <c r="BPB49" s="33"/>
      <c r="BPC49" s="33"/>
      <c r="BPD49" s="33"/>
      <c r="BPE49" s="33"/>
      <c r="BPF49" s="33"/>
      <c r="BPG49" s="74"/>
      <c r="BPH49" s="64"/>
      <c r="BPI49" s="64"/>
      <c r="BPJ49" s="64"/>
      <c r="BPK49" s="64"/>
      <c r="BPL49" s="33"/>
      <c r="BPM49" s="137"/>
      <c r="BPN49" s="33"/>
      <c r="BPO49" s="33"/>
      <c r="BPP49" s="33"/>
      <c r="BPQ49" s="33"/>
      <c r="BPR49" s="33"/>
      <c r="BPS49" s="74"/>
      <c r="BPT49" s="33"/>
      <c r="BPU49" s="33"/>
      <c r="BPV49" s="33"/>
      <c r="BPW49" s="33"/>
      <c r="BPX49" s="33"/>
      <c r="BPY49" s="137"/>
      <c r="BPZ49" s="33"/>
      <c r="BQA49" s="33"/>
      <c r="BQB49" s="33"/>
      <c r="BQC49" s="33"/>
      <c r="BQD49" s="33"/>
      <c r="BQE49" s="74"/>
      <c r="BQF49" s="33"/>
      <c r="BQG49" s="33"/>
      <c r="BQH49" s="33"/>
      <c r="BQI49" s="33"/>
      <c r="BQJ49" s="33"/>
      <c r="BQK49" s="34"/>
      <c r="BQL49" s="32"/>
      <c r="BQM49" s="64"/>
      <c r="BQN49" s="64"/>
      <c r="BQO49" s="64"/>
      <c r="BQP49" s="33"/>
      <c r="BQQ49" s="132"/>
      <c r="BQR49" s="33"/>
      <c r="BQS49" s="33"/>
      <c r="BQT49" s="33"/>
      <c r="BQU49" s="33"/>
      <c r="BQV49" s="33"/>
      <c r="BQW49" s="137"/>
      <c r="BQX49" s="33"/>
      <c r="BQY49" s="33"/>
      <c r="BQZ49" s="33"/>
      <c r="BRA49" s="33"/>
      <c r="BRB49" s="33"/>
      <c r="BRC49" s="74"/>
      <c r="BRD49" s="33"/>
      <c r="BRE49" s="33"/>
      <c r="BRF49" s="33"/>
      <c r="BRG49" s="33"/>
      <c r="BRH49" s="33"/>
      <c r="BRI49" s="137"/>
      <c r="BRJ49" s="33"/>
      <c r="BRK49" s="33"/>
      <c r="BRL49" s="33"/>
      <c r="BRM49" s="33"/>
      <c r="BRN49" s="33"/>
      <c r="BRO49" s="74"/>
      <c r="BRP49" s="64"/>
      <c r="BRQ49" s="64"/>
      <c r="BRR49" s="64"/>
      <c r="BRS49" s="64"/>
      <c r="BRT49" s="33"/>
      <c r="BRU49" s="137"/>
      <c r="BRV49" s="33"/>
      <c r="BRW49" s="33"/>
      <c r="BRX49" s="33"/>
      <c r="BRY49" s="33"/>
      <c r="BRZ49" s="33"/>
      <c r="BSA49" s="74"/>
      <c r="BSB49" s="33"/>
      <c r="BSC49" s="33"/>
      <c r="BSD49" s="33"/>
      <c r="BSE49" s="33"/>
      <c r="BSF49" s="33"/>
      <c r="BSG49" s="137"/>
      <c r="BSH49" s="33"/>
      <c r="BSI49" s="33"/>
      <c r="BSJ49" s="33"/>
      <c r="BSK49" s="33"/>
      <c r="BSL49" s="33"/>
      <c r="BSM49" s="74"/>
      <c r="BSN49" s="33"/>
      <c r="BSO49" s="33"/>
      <c r="BSP49" s="33"/>
      <c r="BSQ49" s="33"/>
      <c r="BSR49" s="33"/>
      <c r="BSS49" s="34"/>
      <c r="BST49" s="32"/>
      <c r="BSU49" s="64"/>
      <c r="BSV49" s="64"/>
      <c r="BSW49" s="64"/>
      <c r="BSX49" s="33"/>
      <c r="BSY49" s="132"/>
      <c r="BSZ49" s="33"/>
      <c r="BTA49" s="33"/>
      <c r="BTB49" s="33"/>
      <c r="BTC49" s="33"/>
      <c r="BTD49" s="33"/>
      <c r="BTE49" s="137"/>
      <c r="BTF49" s="33"/>
      <c r="BTG49" s="33"/>
      <c r="BTH49" s="33"/>
      <c r="BTI49" s="33"/>
      <c r="BTJ49" s="33"/>
      <c r="BTK49" s="74"/>
      <c r="BTL49" s="33"/>
      <c r="BTM49" s="33"/>
      <c r="BTN49" s="33"/>
      <c r="BTO49" s="33"/>
      <c r="BTP49" s="33"/>
      <c r="BTQ49" s="137"/>
      <c r="BTR49" s="33"/>
      <c r="BTS49" s="33"/>
      <c r="BTT49" s="33"/>
      <c r="BTU49" s="33"/>
      <c r="BTV49" s="33"/>
      <c r="BTW49" s="74"/>
      <c r="BTX49" s="64"/>
      <c r="BTY49" s="64"/>
      <c r="BTZ49" s="64"/>
      <c r="BUA49" s="64"/>
      <c r="BUB49" s="33"/>
      <c r="BUC49" s="137"/>
      <c r="BUD49" s="33"/>
      <c r="BUE49" s="33"/>
      <c r="BUF49" s="33"/>
      <c r="BUG49" s="33"/>
      <c r="BUH49" s="33"/>
      <c r="BUI49" s="74"/>
      <c r="BUJ49" s="33"/>
      <c r="BUK49" s="33"/>
      <c r="BUL49" s="33"/>
      <c r="BUM49" s="33"/>
      <c r="BUN49" s="33"/>
      <c r="BUO49" s="137"/>
      <c r="BUP49" s="33"/>
      <c r="BUQ49" s="33"/>
      <c r="BUR49" s="33"/>
      <c r="BUS49" s="33"/>
      <c r="BUT49" s="33"/>
      <c r="BUU49" s="74"/>
      <c r="BUV49" s="33"/>
      <c r="BUW49" s="33"/>
      <c r="BUX49" s="33"/>
      <c r="BUY49" s="33"/>
      <c r="BUZ49" s="33"/>
      <c r="BVA49" s="34"/>
      <c r="BVB49" s="32"/>
      <c r="BVC49" s="64"/>
      <c r="BVD49" s="64"/>
      <c r="BVE49" s="64"/>
      <c r="BVF49" s="33"/>
      <c r="BVG49" s="132"/>
      <c r="BVH49" s="33"/>
      <c r="BVI49" s="33"/>
      <c r="BVJ49" s="33"/>
      <c r="BVK49" s="33"/>
      <c r="BVL49" s="33"/>
      <c r="BVM49" s="137"/>
      <c r="BVN49" s="33"/>
      <c r="BVO49" s="33"/>
      <c r="BVP49" s="33"/>
      <c r="BVQ49" s="33"/>
      <c r="BVR49" s="33"/>
      <c r="BVS49" s="74"/>
      <c r="BVT49" s="33"/>
      <c r="BVU49" s="33"/>
      <c r="BVV49" s="33"/>
      <c r="BVW49" s="33"/>
      <c r="BVX49" s="33"/>
      <c r="BVY49" s="137"/>
      <c r="BVZ49" s="33"/>
      <c r="BWA49" s="33"/>
      <c r="BWB49" s="33"/>
      <c r="BWC49" s="33"/>
      <c r="BWD49" s="33"/>
      <c r="BWE49" s="74"/>
      <c r="BWF49" s="64"/>
      <c r="BWG49" s="64"/>
      <c r="BWH49" s="64"/>
      <c r="BWI49" s="64"/>
      <c r="BWJ49" s="33"/>
      <c r="BWK49" s="137"/>
      <c r="BWL49" s="33"/>
      <c r="BWM49" s="33"/>
      <c r="BWN49" s="33"/>
      <c r="BWO49" s="33"/>
      <c r="BWP49" s="33"/>
      <c r="BWQ49" s="74"/>
      <c r="BWR49" s="33"/>
      <c r="BWS49" s="33"/>
      <c r="BWT49" s="33"/>
      <c r="BWU49" s="33"/>
      <c r="BWV49" s="33"/>
      <c r="BWW49" s="137"/>
      <c r="BWX49" s="33"/>
      <c r="BWY49" s="33"/>
      <c r="BWZ49" s="33"/>
      <c r="BXA49" s="33"/>
      <c r="BXB49" s="33"/>
      <c r="BXC49" s="74"/>
      <c r="BXD49" s="33"/>
      <c r="BXE49" s="33"/>
      <c r="BXF49" s="33"/>
      <c r="BXG49" s="33"/>
      <c r="BXH49" s="33"/>
      <c r="BXI49" s="34"/>
      <c r="BXJ49" s="165"/>
      <c r="BXK49" s="166"/>
      <c r="BXL49" s="166"/>
      <c r="BXM49" s="166"/>
      <c r="BXN49" s="167"/>
      <c r="BXO49" s="168"/>
      <c r="BXP49" s="167"/>
      <c r="BXQ49" s="167"/>
      <c r="BXR49" s="167"/>
      <c r="BXS49" s="167"/>
      <c r="BXT49" s="167"/>
      <c r="BXU49" s="169"/>
      <c r="BXV49" s="33"/>
      <c r="BXW49" s="33"/>
      <c r="BXX49" s="33"/>
      <c r="BXY49" s="33"/>
      <c r="BXZ49" s="33"/>
      <c r="BYA49" s="74"/>
      <c r="BYB49" s="33"/>
      <c r="BYC49" s="33"/>
      <c r="BYD49" s="33"/>
      <c r="BYE49" s="33"/>
      <c r="BYF49" s="33"/>
      <c r="BYG49" s="137"/>
      <c r="BYH49" s="33"/>
      <c r="BYI49" s="33"/>
      <c r="BYJ49" s="33"/>
      <c r="BYK49" s="33"/>
      <c r="BYL49" s="33"/>
      <c r="BYM49" s="74"/>
      <c r="BYN49" s="64"/>
      <c r="BYO49" s="64"/>
      <c r="BYP49" s="64"/>
      <c r="BYQ49" s="64"/>
      <c r="BYR49" s="33"/>
      <c r="BYS49" s="137"/>
      <c r="BYT49" s="33"/>
      <c r="BYU49" s="33"/>
      <c r="BYV49" s="33"/>
      <c r="BYW49" s="33"/>
      <c r="BYX49" s="33"/>
      <c r="BYY49" s="74"/>
      <c r="BYZ49" s="33"/>
      <c r="BZA49" s="33"/>
      <c r="BZB49" s="33"/>
      <c r="BZC49" s="33"/>
      <c r="BZD49" s="33"/>
      <c r="BZE49" s="137"/>
      <c r="BZF49" s="33"/>
      <c r="BZG49" s="33"/>
      <c r="BZH49" s="33"/>
      <c r="BZI49" s="33"/>
      <c r="BZJ49" s="33"/>
      <c r="BZK49" s="74"/>
      <c r="BZL49" s="33"/>
      <c r="BZM49" s="33"/>
      <c r="BZN49" s="33"/>
      <c r="BZO49" s="33"/>
      <c r="BZP49" s="33"/>
      <c r="BZQ49" s="34"/>
      <c r="BZR49" s="32"/>
      <c r="BZS49" s="64"/>
      <c r="BZT49" s="64"/>
      <c r="BZU49" s="64"/>
      <c r="BZV49" s="33"/>
      <c r="BZW49" s="132"/>
      <c r="BZX49" s="33"/>
      <c r="BZY49" s="33"/>
      <c r="BZZ49" s="33"/>
      <c r="CAA49" s="33"/>
      <c r="CAB49" s="33"/>
      <c r="CAC49" s="137"/>
      <c r="CAD49" s="33"/>
      <c r="CAE49" s="33"/>
      <c r="CAF49" s="33"/>
      <c r="CAG49" s="33"/>
      <c r="CAH49" s="33"/>
      <c r="CAI49" s="74"/>
      <c r="CAJ49" s="33"/>
      <c r="CAK49" s="33"/>
      <c r="CAL49" s="33"/>
      <c r="CAM49" s="33"/>
      <c r="CAN49" s="33"/>
      <c r="CAO49" s="137"/>
      <c r="CAP49" s="33"/>
      <c r="CAQ49" s="33"/>
      <c r="CAR49" s="33"/>
      <c r="CAS49" s="33"/>
      <c r="CAT49" s="33"/>
      <c r="CAU49" s="74"/>
      <c r="CAV49" s="64"/>
      <c r="CAW49" s="64"/>
      <c r="CAX49" s="64"/>
      <c r="CAY49" s="64"/>
      <c r="CAZ49" s="33"/>
      <c r="CBA49" s="137"/>
      <c r="CBB49" s="33"/>
      <c r="CBC49" s="33"/>
      <c r="CBD49" s="33"/>
      <c r="CBE49" s="33"/>
      <c r="CBF49" s="33"/>
      <c r="CBG49" s="74"/>
      <c r="CBH49" s="33"/>
      <c r="CBI49" s="33"/>
      <c r="CBJ49" s="33"/>
      <c r="CBK49" s="33"/>
      <c r="CBL49" s="33"/>
      <c r="CBM49" s="137"/>
      <c r="CBN49" s="33"/>
      <c r="CBO49" s="33"/>
      <c r="CBP49" s="33"/>
      <c r="CBQ49" s="33"/>
      <c r="CBR49" s="33"/>
      <c r="CBS49" s="74"/>
      <c r="CBT49" s="33"/>
      <c r="CBU49" s="33"/>
      <c r="CBV49" s="33"/>
      <c r="CBW49" s="33"/>
      <c r="CBX49" s="33"/>
      <c r="CBY49" s="34"/>
      <c r="CBZ49" s="32"/>
      <c r="CCA49" s="64"/>
      <c r="CCB49" s="64"/>
      <c r="CCC49" s="64"/>
      <c r="CCD49" s="33"/>
      <c r="CCE49" s="132"/>
      <c r="CCF49" s="33"/>
      <c r="CCG49" s="33"/>
      <c r="CCH49" s="33"/>
      <c r="CCI49" s="33"/>
      <c r="CCJ49" s="33"/>
      <c r="CCK49" s="137"/>
      <c r="CCL49" s="33"/>
      <c r="CCM49" s="33"/>
      <c r="CCN49" s="33"/>
      <c r="CCO49" s="33"/>
      <c r="CCP49" s="33"/>
      <c r="CCQ49" s="74"/>
      <c r="CCR49" s="33"/>
      <c r="CCS49" s="33"/>
      <c r="CCT49" s="33"/>
      <c r="CCU49" s="33"/>
      <c r="CCV49" s="33"/>
      <c r="CCW49" s="137"/>
      <c r="CCX49" s="33"/>
      <c r="CCY49" s="33"/>
      <c r="CCZ49" s="33"/>
      <c r="CDA49" s="33"/>
      <c r="CDB49" s="33"/>
      <c r="CDC49" s="74"/>
      <c r="CDD49" s="64"/>
      <c r="CDE49" s="64"/>
      <c r="CDF49" s="64"/>
      <c r="CDG49" s="64"/>
      <c r="CDH49" s="33"/>
      <c r="CDI49" s="137"/>
      <c r="CDJ49" s="33"/>
      <c r="CDK49" s="33"/>
      <c r="CDL49" s="33"/>
      <c r="CDM49" s="33"/>
      <c r="CDN49" s="33"/>
      <c r="CDO49" s="74"/>
      <c r="CDP49" s="33"/>
      <c r="CDQ49" s="33"/>
      <c r="CDR49" s="33"/>
      <c r="CDS49" s="33"/>
      <c r="CDT49" s="33"/>
      <c r="CDU49" s="137"/>
      <c r="CDV49" s="33"/>
      <c r="CDW49" s="33"/>
      <c r="CDX49" s="33"/>
      <c r="CDY49" s="33"/>
      <c r="CDZ49" s="33"/>
      <c r="CEA49" s="74"/>
      <c r="CEB49" s="33"/>
      <c r="CEC49" s="33"/>
      <c r="CED49" s="33"/>
      <c r="CEE49" s="33"/>
      <c r="CEF49" s="33"/>
      <c r="CEG49" s="34"/>
      <c r="CEH49" s="32"/>
      <c r="CEI49" s="64"/>
      <c r="CEJ49" s="64"/>
      <c r="CEK49" s="64"/>
      <c r="CEL49" s="33"/>
      <c r="CEM49" s="132"/>
      <c r="CEN49" s="33"/>
      <c r="CEO49" s="33"/>
      <c r="CEP49" s="33"/>
      <c r="CEQ49" s="33"/>
      <c r="CER49" s="33"/>
      <c r="CES49" s="137"/>
      <c r="CET49" s="33"/>
      <c r="CEU49" s="33"/>
      <c r="CEV49" s="33"/>
      <c r="CEW49" s="33"/>
      <c r="CEX49" s="33"/>
      <c r="CEY49" s="74"/>
      <c r="CEZ49" s="33"/>
      <c r="CFA49" s="33"/>
      <c r="CFB49" s="33"/>
      <c r="CFC49" s="33"/>
      <c r="CFD49" s="33"/>
      <c r="CFE49" s="137"/>
      <c r="CFF49" s="33"/>
      <c r="CFG49" s="33"/>
      <c r="CFH49" s="33"/>
      <c r="CFI49" s="33"/>
      <c r="CFJ49" s="33"/>
      <c r="CFK49" s="74"/>
      <c r="CFL49" s="64"/>
      <c r="CFM49" s="64"/>
      <c r="CFN49" s="64"/>
      <c r="CFO49" s="64"/>
      <c r="CFP49" s="33"/>
      <c r="CFQ49" s="137"/>
      <c r="CFR49" s="33"/>
      <c r="CFS49" s="33"/>
      <c r="CFT49" s="33"/>
      <c r="CFU49" s="33"/>
      <c r="CFV49" s="33"/>
      <c r="CFW49" s="74"/>
      <c r="CFX49" s="33"/>
      <c r="CFY49" s="33"/>
      <c r="CFZ49" s="33"/>
      <c r="CGA49" s="33"/>
      <c r="CGB49" s="33"/>
      <c r="CGC49" s="137"/>
      <c r="CGD49" s="33"/>
      <c r="CGE49" s="33"/>
      <c r="CGF49" s="33"/>
      <c r="CGG49" s="33"/>
      <c r="CGH49" s="33"/>
      <c r="CGI49" s="74"/>
      <c r="CGJ49" s="33"/>
      <c r="CGK49" s="33"/>
      <c r="CGL49" s="33"/>
      <c r="CGM49" s="33"/>
      <c r="CGN49" s="33"/>
      <c r="CGO49" s="34"/>
      <c r="CGP49" s="32"/>
      <c r="CGQ49" s="64"/>
      <c r="CGR49" s="64"/>
      <c r="CGS49" s="64"/>
      <c r="CGT49" s="33"/>
      <c r="CGU49" s="132"/>
      <c r="CGV49" s="33"/>
      <c r="CGW49" s="33"/>
      <c r="CGX49" s="33"/>
      <c r="CGY49" s="33"/>
      <c r="CGZ49" s="33"/>
      <c r="CHA49" s="137"/>
      <c r="CHB49" s="33"/>
      <c r="CHC49" s="33"/>
      <c r="CHD49" s="33"/>
      <c r="CHE49" s="33"/>
      <c r="CHF49" s="33"/>
      <c r="CHG49" s="74"/>
      <c r="CHH49" s="33"/>
      <c r="CHI49" s="33"/>
      <c r="CHJ49" s="33"/>
      <c r="CHK49" s="33"/>
      <c r="CHL49" s="33"/>
      <c r="CHM49" s="137"/>
      <c r="CHN49" s="33"/>
      <c r="CHO49" s="33"/>
      <c r="CHP49" s="33"/>
      <c r="CHQ49" s="33"/>
      <c r="CHR49" s="33"/>
      <c r="CHS49" s="74"/>
      <c r="CHT49" s="64"/>
      <c r="CHU49" s="64"/>
      <c r="CHV49" s="64"/>
      <c r="CHW49" s="64"/>
      <c r="CHX49" s="33"/>
      <c r="CHY49" s="137"/>
      <c r="CHZ49" s="33"/>
      <c r="CIA49" s="33"/>
      <c r="CIB49" s="33"/>
      <c r="CIC49" s="33"/>
      <c r="CID49" s="33"/>
      <c r="CIE49" s="74"/>
      <c r="CIF49" s="33"/>
      <c r="CIG49" s="33"/>
      <c r="CIH49" s="33"/>
      <c r="CII49" s="33"/>
      <c r="CIJ49" s="33"/>
      <c r="CIK49" s="137"/>
      <c r="CIL49" s="33"/>
      <c r="CIM49" s="33"/>
      <c r="CIN49" s="33"/>
      <c r="CIO49" s="33"/>
      <c r="CIP49" s="33"/>
      <c r="CIQ49" s="74"/>
      <c r="CIR49" s="33"/>
      <c r="CIS49" s="33"/>
      <c r="CIT49" s="33"/>
      <c r="CIU49" s="33"/>
      <c r="CIV49" s="33"/>
      <c r="CIW49" s="34"/>
      <c r="CIX49" s="32"/>
      <c r="CIY49" s="64"/>
      <c r="CIZ49" s="64"/>
      <c r="CJA49" s="64"/>
      <c r="CJB49" s="33"/>
      <c r="CJC49" s="132"/>
      <c r="CJD49" s="33"/>
      <c r="CJE49" s="33"/>
      <c r="CJF49" s="33"/>
      <c r="CJG49" s="33"/>
      <c r="CJH49" s="33"/>
      <c r="CJI49" s="137"/>
      <c r="CJJ49" s="33"/>
      <c r="CJK49" s="33"/>
      <c r="CJL49" s="33"/>
      <c r="CJM49" s="33"/>
      <c r="CJN49" s="33"/>
      <c r="CJO49" s="74"/>
      <c r="CJP49" s="33"/>
      <c r="CJQ49" s="33"/>
      <c r="CJR49" s="33"/>
      <c r="CJS49" s="33"/>
      <c r="CJT49" s="33"/>
      <c r="CJU49" s="137"/>
      <c r="CJV49" s="33"/>
      <c r="CJW49" s="33"/>
      <c r="CJX49" s="33"/>
      <c r="CJY49" s="33"/>
      <c r="CJZ49" s="33"/>
      <c r="CKA49" s="74"/>
      <c r="CKB49" s="64"/>
      <c r="CKC49" s="64"/>
      <c r="CKD49" s="64"/>
      <c r="CKE49" s="64"/>
      <c r="CKF49" s="33"/>
      <c r="CKG49" s="137"/>
      <c r="CKH49" s="33"/>
      <c r="CKI49" s="33"/>
      <c r="CKJ49" s="33"/>
      <c r="CKK49" s="33"/>
      <c r="CKL49" s="33"/>
      <c r="CKM49" s="74"/>
      <c r="CKN49" s="33"/>
      <c r="CKO49" s="33"/>
      <c r="CKP49" s="33"/>
      <c r="CKQ49" s="33"/>
      <c r="CKR49" s="33"/>
      <c r="CKS49" s="137"/>
      <c r="CKT49" s="33"/>
      <c r="CKU49" s="33"/>
      <c r="CKV49" s="33"/>
      <c r="CKW49" s="33"/>
      <c r="CKX49" s="33"/>
      <c r="CKY49" s="74"/>
      <c r="CKZ49" s="33"/>
      <c r="CLA49" s="33"/>
      <c r="CLB49" s="33"/>
      <c r="CLC49" s="33"/>
      <c r="CLD49" s="33"/>
      <c r="CLE49" s="34"/>
      <c r="CLF49" s="32"/>
      <c r="CLG49" s="64"/>
      <c r="CLH49" s="64"/>
      <c r="CLI49" s="64"/>
      <c r="CLJ49" s="33"/>
      <c r="CLK49" s="132"/>
      <c r="CLL49" s="33"/>
      <c r="CLM49" s="33"/>
      <c r="CLN49" s="33"/>
      <c r="CLO49" s="33"/>
      <c r="CLP49" s="33"/>
      <c r="CLQ49" s="137"/>
      <c r="CLR49" s="33"/>
      <c r="CLS49" s="33"/>
      <c r="CLT49" s="33"/>
      <c r="CLU49" s="33"/>
      <c r="CLV49" s="33"/>
      <c r="CLW49" s="74"/>
      <c r="CLX49" s="33"/>
      <c r="CLY49" s="33"/>
      <c r="CLZ49" s="33"/>
      <c r="CMA49" s="33"/>
      <c r="CMB49" s="33"/>
      <c r="CMC49" s="137"/>
      <c r="CMD49" s="33"/>
      <c r="CME49" s="33"/>
      <c r="CMF49" s="33"/>
      <c r="CMG49" s="33"/>
      <c r="CMH49" s="33"/>
      <c r="CMI49" s="74"/>
      <c r="CMJ49" s="64"/>
      <c r="CMK49" s="64"/>
      <c r="CML49" s="64"/>
      <c r="CMM49" s="64"/>
      <c r="CMN49" s="33"/>
      <c r="CMO49" s="137"/>
      <c r="CMP49" s="33"/>
      <c r="CMQ49" s="33"/>
      <c r="CMR49" s="33"/>
      <c r="CMS49" s="33"/>
      <c r="CMT49" s="33"/>
      <c r="CMU49" s="74"/>
      <c r="CMV49" s="33"/>
      <c r="CMW49" s="33"/>
      <c r="CMX49" s="33"/>
      <c r="CMY49" s="33"/>
      <c r="CMZ49" s="33"/>
      <c r="CNA49" s="137"/>
      <c r="CNB49" s="33"/>
      <c r="CNC49" s="33"/>
      <c r="CND49" s="33"/>
      <c r="CNE49" s="33"/>
      <c r="CNF49" s="33"/>
      <c r="CNG49" s="74"/>
      <c r="CNH49" s="33"/>
      <c r="CNI49" s="33"/>
      <c r="CNJ49" s="33"/>
      <c r="CNK49" s="33"/>
      <c r="CNL49" s="33"/>
      <c r="CNM49" s="34"/>
      <c r="CNN49" s="32"/>
      <c r="CNO49" s="64"/>
      <c r="CNP49" s="64"/>
      <c r="CNQ49" s="64"/>
      <c r="CNR49" s="33"/>
      <c r="CNS49" s="132"/>
      <c r="CNT49" s="33"/>
      <c r="CNU49" s="33"/>
      <c r="CNV49" s="33"/>
      <c r="CNW49" s="33"/>
      <c r="CNX49" s="33"/>
      <c r="CNY49" s="137"/>
      <c r="CNZ49" s="33"/>
      <c r="COA49" s="33"/>
      <c r="COB49" s="33"/>
      <c r="COC49" s="33"/>
      <c r="COD49" s="33"/>
      <c r="COE49" s="74"/>
      <c r="COF49" s="33"/>
      <c r="COG49" s="33"/>
      <c r="COH49" s="33"/>
      <c r="COI49" s="33"/>
      <c r="COJ49" s="33"/>
      <c r="COK49" s="137"/>
      <c r="COL49" s="33"/>
      <c r="COM49" s="33"/>
      <c r="CON49" s="33"/>
      <c r="COO49" s="33"/>
      <c r="COP49" s="33"/>
      <c r="COQ49" s="74"/>
      <c r="COR49" s="64"/>
      <c r="COS49" s="64"/>
      <c r="COT49" s="64"/>
      <c r="COU49" s="64"/>
      <c r="COV49" s="33"/>
      <c r="COW49" s="137"/>
      <c r="COX49" s="33"/>
      <c r="COY49" s="33"/>
      <c r="COZ49" s="33"/>
      <c r="CPA49" s="33"/>
      <c r="CPB49" s="33"/>
      <c r="CPC49" s="74"/>
      <c r="CPD49" s="33"/>
      <c r="CPE49" s="33"/>
      <c r="CPF49" s="33"/>
      <c r="CPG49" s="33"/>
      <c r="CPH49" s="33"/>
      <c r="CPI49" s="137"/>
      <c r="CPJ49" s="33"/>
      <c r="CPK49" s="33"/>
      <c r="CPL49" s="33"/>
      <c r="CPM49" s="33"/>
      <c r="CPN49" s="33"/>
      <c r="CPO49" s="74"/>
      <c r="CPP49" s="33"/>
      <c r="CPQ49" s="33"/>
      <c r="CPR49" s="33"/>
      <c r="CPS49" s="33"/>
      <c r="CPT49" s="33"/>
      <c r="CPU49" s="34"/>
      <c r="CPV49" s="32"/>
      <c r="CPW49" s="64"/>
      <c r="CPX49" s="64"/>
      <c r="CPY49" s="64"/>
      <c r="CPZ49" s="33"/>
      <c r="CQA49" s="132"/>
      <c r="CQB49" s="33"/>
      <c r="CQC49" s="33"/>
      <c r="CQD49" s="33"/>
      <c r="CQE49" s="33"/>
      <c r="CQF49" s="33"/>
      <c r="CQG49" s="137"/>
      <c r="CQH49" s="33"/>
      <c r="CQI49" s="33"/>
      <c r="CQJ49" s="33"/>
      <c r="CQK49" s="33"/>
      <c r="CQL49" s="33"/>
      <c r="CQM49" s="74"/>
      <c r="CQN49" s="33"/>
      <c r="CQO49" s="33"/>
      <c r="CQP49" s="33"/>
      <c r="CQQ49" s="33"/>
      <c r="CQR49" s="33"/>
      <c r="CQS49" s="137"/>
      <c r="CQT49" s="33"/>
      <c r="CQU49" s="33"/>
      <c r="CQV49" s="33"/>
      <c r="CQW49" s="33"/>
      <c r="CQX49" s="33"/>
      <c r="CQY49" s="74"/>
      <c r="CQZ49" s="64"/>
      <c r="CRA49" s="64"/>
      <c r="CRB49" s="64"/>
      <c r="CRC49" s="64"/>
      <c r="CRD49" s="33"/>
      <c r="CRE49" s="137"/>
      <c r="CRF49" s="33"/>
      <c r="CRG49" s="33"/>
      <c r="CRH49" s="33"/>
      <c r="CRI49" s="33"/>
      <c r="CRJ49" s="33"/>
      <c r="CRK49" s="74"/>
      <c r="CRL49" s="33"/>
      <c r="CRM49" s="33"/>
      <c r="CRN49" s="33"/>
      <c r="CRO49" s="33"/>
      <c r="CRP49" s="33"/>
      <c r="CRQ49" s="137"/>
      <c r="CRR49" s="33"/>
      <c r="CRS49" s="33"/>
      <c r="CRT49" s="33"/>
      <c r="CRU49" s="33"/>
      <c r="CRV49" s="33"/>
      <c r="CRW49" s="74"/>
      <c r="CRX49" s="33"/>
      <c r="CRY49" s="33"/>
      <c r="CRZ49" s="33"/>
      <c r="CSA49" s="33"/>
      <c r="CSB49" s="33"/>
      <c r="CSC49" s="34"/>
      <c r="CSD49" s="90"/>
    </row>
    <row r="50" spans="1:2526" ht="20.100000000000001" customHeight="1" x14ac:dyDescent="0.3">
      <c r="A50" s="100" t="s">
        <v>19</v>
      </c>
      <c r="B50" s="63" t="str">
        <f>IF(LEN(C85)=0,"",C85)</f>
        <v/>
      </c>
      <c r="C50" s="212"/>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36"/>
      <c r="BLW50" s="65"/>
      <c r="BLX50" s="65"/>
      <c r="BLY50" s="65"/>
      <c r="BLZ50" s="37"/>
      <c r="BMA50" s="133"/>
      <c r="BMB50" s="37"/>
      <c r="BMC50" s="37"/>
      <c r="BMD50" s="37"/>
      <c r="BME50" s="37"/>
      <c r="BMF50" s="37"/>
      <c r="BMG50" s="138"/>
      <c r="BMH50" s="37"/>
      <c r="BMI50" s="37"/>
      <c r="BMJ50" s="37"/>
      <c r="BMK50" s="37"/>
      <c r="BML50" s="37"/>
      <c r="BMM50" s="75"/>
      <c r="BMN50" s="37"/>
      <c r="BMO50" s="37"/>
      <c r="BMP50" s="37"/>
      <c r="BMQ50" s="37"/>
      <c r="BMR50" s="37"/>
      <c r="BMS50" s="138"/>
      <c r="BMT50" s="37"/>
      <c r="BMU50" s="37"/>
      <c r="BMV50" s="37"/>
      <c r="BMW50" s="37"/>
      <c r="BMX50" s="37"/>
      <c r="BMY50" s="75"/>
      <c r="BMZ50" s="65"/>
      <c r="BNA50" s="65"/>
      <c r="BNB50" s="65"/>
      <c r="BNC50" s="65"/>
      <c r="BND50" s="37"/>
      <c r="BNE50" s="138"/>
      <c r="BNF50" s="37"/>
      <c r="BNG50" s="37"/>
      <c r="BNH50" s="37"/>
      <c r="BNI50" s="37"/>
      <c r="BNJ50" s="37"/>
      <c r="BNK50" s="75"/>
      <c r="BNL50" s="37"/>
      <c r="BNM50" s="37"/>
      <c r="BNN50" s="37"/>
      <c r="BNO50" s="37"/>
      <c r="BNP50" s="37"/>
      <c r="BNQ50" s="138"/>
      <c r="BNR50" s="37"/>
      <c r="BNS50" s="37"/>
      <c r="BNT50" s="37"/>
      <c r="BNU50" s="37"/>
      <c r="BNV50" s="37"/>
      <c r="BNW50" s="75"/>
      <c r="BNX50" s="37"/>
      <c r="BNY50" s="37"/>
      <c r="BNZ50" s="37"/>
      <c r="BOA50" s="37"/>
      <c r="BOB50" s="37"/>
      <c r="BOC50" s="38"/>
      <c r="BOD50" s="36"/>
      <c r="BOE50" s="65"/>
      <c r="BOF50" s="65"/>
      <c r="BOG50" s="65"/>
      <c r="BOH50" s="37"/>
      <c r="BOI50" s="133"/>
      <c r="BOJ50" s="37"/>
      <c r="BOK50" s="37"/>
      <c r="BOL50" s="37"/>
      <c r="BOM50" s="37"/>
      <c r="BON50" s="37"/>
      <c r="BOO50" s="138"/>
      <c r="BOP50" s="37"/>
      <c r="BOQ50" s="37"/>
      <c r="BOR50" s="37"/>
      <c r="BOS50" s="37"/>
      <c r="BOT50" s="37"/>
      <c r="BOU50" s="75"/>
      <c r="BOV50" s="37"/>
      <c r="BOW50" s="37"/>
      <c r="BOX50" s="37"/>
      <c r="BOY50" s="37"/>
      <c r="BOZ50" s="37"/>
      <c r="BPA50" s="138"/>
      <c r="BPB50" s="37"/>
      <c r="BPC50" s="37"/>
      <c r="BPD50" s="37"/>
      <c r="BPE50" s="37"/>
      <c r="BPF50" s="37"/>
      <c r="BPG50" s="75"/>
      <c r="BPH50" s="65"/>
      <c r="BPI50" s="65"/>
      <c r="BPJ50" s="65"/>
      <c r="BPK50" s="65"/>
      <c r="BPL50" s="37"/>
      <c r="BPM50" s="138"/>
      <c r="BPN50" s="37"/>
      <c r="BPO50" s="37"/>
      <c r="BPP50" s="37"/>
      <c r="BPQ50" s="37"/>
      <c r="BPR50" s="37"/>
      <c r="BPS50" s="75"/>
      <c r="BPT50" s="37"/>
      <c r="BPU50" s="37"/>
      <c r="BPV50" s="37"/>
      <c r="BPW50" s="37"/>
      <c r="BPX50" s="37"/>
      <c r="BPY50" s="138"/>
      <c r="BPZ50" s="37"/>
      <c r="BQA50" s="37"/>
      <c r="BQB50" s="37"/>
      <c r="BQC50" s="37"/>
      <c r="BQD50" s="37"/>
      <c r="BQE50" s="75"/>
      <c r="BQF50" s="37"/>
      <c r="BQG50" s="37"/>
      <c r="BQH50" s="37"/>
      <c r="BQI50" s="37"/>
      <c r="BQJ50" s="37"/>
      <c r="BQK50" s="38"/>
      <c r="BQL50" s="36"/>
      <c r="BQM50" s="65"/>
      <c r="BQN50" s="65"/>
      <c r="BQO50" s="65"/>
      <c r="BQP50" s="37"/>
      <c r="BQQ50" s="133"/>
      <c r="BQR50" s="37"/>
      <c r="BQS50" s="37"/>
      <c r="BQT50" s="37"/>
      <c r="BQU50" s="37"/>
      <c r="BQV50" s="37"/>
      <c r="BQW50" s="138"/>
      <c r="BQX50" s="37"/>
      <c r="BQY50" s="37"/>
      <c r="BQZ50" s="37"/>
      <c r="BRA50" s="37"/>
      <c r="BRB50" s="37"/>
      <c r="BRC50" s="75"/>
      <c r="BRD50" s="37"/>
      <c r="BRE50" s="37"/>
      <c r="BRF50" s="37"/>
      <c r="BRG50" s="37"/>
      <c r="BRH50" s="37"/>
      <c r="BRI50" s="138"/>
      <c r="BRJ50" s="37"/>
      <c r="BRK50" s="37"/>
      <c r="BRL50" s="37"/>
      <c r="BRM50" s="37"/>
      <c r="BRN50" s="37"/>
      <c r="BRO50" s="75"/>
      <c r="BRP50" s="65"/>
      <c r="BRQ50" s="65"/>
      <c r="BRR50" s="65"/>
      <c r="BRS50" s="65"/>
      <c r="BRT50" s="37"/>
      <c r="BRU50" s="138"/>
      <c r="BRV50" s="37"/>
      <c r="BRW50" s="37"/>
      <c r="BRX50" s="37"/>
      <c r="BRY50" s="37"/>
      <c r="BRZ50" s="37"/>
      <c r="BSA50" s="75"/>
      <c r="BSB50" s="37"/>
      <c r="BSC50" s="37"/>
      <c r="BSD50" s="37"/>
      <c r="BSE50" s="37"/>
      <c r="BSF50" s="37"/>
      <c r="BSG50" s="138"/>
      <c r="BSH50" s="37"/>
      <c r="BSI50" s="37"/>
      <c r="BSJ50" s="37"/>
      <c r="BSK50" s="37"/>
      <c r="BSL50" s="37"/>
      <c r="BSM50" s="75"/>
      <c r="BSN50" s="37"/>
      <c r="BSO50" s="37"/>
      <c r="BSP50" s="37"/>
      <c r="BSQ50" s="37"/>
      <c r="BSR50" s="37"/>
      <c r="BSS50" s="38"/>
      <c r="BST50" s="36"/>
      <c r="BSU50" s="65"/>
      <c r="BSV50" s="65"/>
      <c r="BSW50" s="65"/>
      <c r="BSX50" s="37"/>
      <c r="BSY50" s="133"/>
      <c r="BSZ50" s="37"/>
      <c r="BTA50" s="37"/>
      <c r="BTB50" s="37"/>
      <c r="BTC50" s="37"/>
      <c r="BTD50" s="37"/>
      <c r="BTE50" s="138"/>
      <c r="BTF50" s="37"/>
      <c r="BTG50" s="37"/>
      <c r="BTH50" s="37"/>
      <c r="BTI50" s="37"/>
      <c r="BTJ50" s="37"/>
      <c r="BTK50" s="75"/>
      <c r="BTL50" s="37"/>
      <c r="BTM50" s="37"/>
      <c r="BTN50" s="37"/>
      <c r="BTO50" s="37"/>
      <c r="BTP50" s="37"/>
      <c r="BTQ50" s="138"/>
      <c r="BTR50" s="37"/>
      <c r="BTS50" s="37"/>
      <c r="BTT50" s="37"/>
      <c r="BTU50" s="37"/>
      <c r="BTV50" s="37"/>
      <c r="BTW50" s="75"/>
      <c r="BTX50" s="65"/>
      <c r="BTY50" s="65"/>
      <c r="BTZ50" s="65"/>
      <c r="BUA50" s="65"/>
      <c r="BUB50" s="37"/>
      <c r="BUC50" s="138"/>
      <c r="BUD50" s="37"/>
      <c r="BUE50" s="37"/>
      <c r="BUF50" s="37"/>
      <c r="BUG50" s="37"/>
      <c r="BUH50" s="37"/>
      <c r="BUI50" s="75"/>
      <c r="BUJ50" s="37"/>
      <c r="BUK50" s="37"/>
      <c r="BUL50" s="37"/>
      <c r="BUM50" s="37"/>
      <c r="BUN50" s="37"/>
      <c r="BUO50" s="138"/>
      <c r="BUP50" s="37"/>
      <c r="BUQ50" s="37"/>
      <c r="BUR50" s="37"/>
      <c r="BUS50" s="37"/>
      <c r="BUT50" s="37"/>
      <c r="BUU50" s="75"/>
      <c r="BUV50" s="37"/>
      <c r="BUW50" s="37"/>
      <c r="BUX50" s="37"/>
      <c r="BUY50" s="37"/>
      <c r="BUZ50" s="37"/>
      <c r="BVA50" s="38"/>
      <c r="BVB50" s="36"/>
      <c r="BVC50" s="65"/>
      <c r="BVD50" s="65"/>
      <c r="BVE50" s="65"/>
      <c r="BVF50" s="37"/>
      <c r="BVG50" s="133"/>
      <c r="BVH50" s="37"/>
      <c r="BVI50" s="37"/>
      <c r="BVJ50" s="37"/>
      <c r="BVK50" s="37"/>
      <c r="BVL50" s="37"/>
      <c r="BVM50" s="138"/>
      <c r="BVN50" s="37"/>
      <c r="BVO50" s="37"/>
      <c r="BVP50" s="37"/>
      <c r="BVQ50" s="37"/>
      <c r="BVR50" s="37"/>
      <c r="BVS50" s="75"/>
      <c r="BVT50" s="37"/>
      <c r="BVU50" s="37"/>
      <c r="BVV50" s="37"/>
      <c r="BVW50" s="37"/>
      <c r="BVX50" s="37"/>
      <c r="BVY50" s="138"/>
      <c r="BVZ50" s="37"/>
      <c r="BWA50" s="37"/>
      <c r="BWB50" s="37"/>
      <c r="BWC50" s="37"/>
      <c r="BWD50" s="37"/>
      <c r="BWE50" s="75"/>
      <c r="BWF50" s="65"/>
      <c r="BWG50" s="65"/>
      <c r="BWH50" s="65"/>
      <c r="BWI50" s="65"/>
      <c r="BWJ50" s="37"/>
      <c r="BWK50" s="138"/>
      <c r="BWL50" s="37"/>
      <c r="BWM50" s="37"/>
      <c r="BWN50" s="37"/>
      <c r="BWO50" s="37"/>
      <c r="BWP50" s="37"/>
      <c r="BWQ50" s="75"/>
      <c r="BWR50" s="37"/>
      <c r="BWS50" s="37"/>
      <c r="BWT50" s="37"/>
      <c r="BWU50" s="37"/>
      <c r="BWV50" s="37"/>
      <c r="BWW50" s="138"/>
      <c r="BWX50" s="37"/>
      <c r="BWY50" s="37"/>
      <c r="BWZ50" s="37"/>
      <c r="BXA50" s="37"/>
      <c r="BXB50" s="37"/>
      <c r="BXC50" s="75"/>
      <c r="BXD50" s="37"/>
      <c r="BXE50" s="37"/>
      <c r="BXF50" s="37"/>
      <c r="BXG50" s="37"/>
      <c r="BXH50" s="37"/>
      <c r="BXI50" s="38"/>
      <c r="BXJ50" s="36"/>
      <c r="BXK50" s="65"/>
      <c r="BXL50" s="65"/>
      <c r="BXM50" s="65"/>
      <c r="BXN50" s="37"/>
      <c r="BXO50" s="133"/>
      <c r="BXP50" s="37"/>
      <c r="BXQ50" s="37"/>
      <c r="BXR50" s="37"/>
      <c r="BXS50" s="37"/>
      <c r="BXT50" s="37"/>
      <c r="BXU50" s="138"/>
      <c r="BXV50" s="37"/>
      <c r="BXW50" s="37"/>
      <c r="BXX50" s="37"/>
      <c r="BXY50" s="37"/>
      <c r="BXZ50" s="37"/>
      <c r="BYA50" s="75"/>
      <c r="BYB50" s="37"/>
      <c r="BYC50" s="37"/>
      <c r="BYD50" s="37"/>
      <c r="BYE50" s="37"/>
      <c r="BYF50" s="37"/>
      <c r="BYG50" s="138"/>
      <c r="BYH50" s="37"/>
      <c r="BYI50" s="37"/>
      <c r="BYJ50" s="37"/>
      <c r="BYK50" s="37"/>
      <c r="BYL50" s="37"/>
      <c r="BYM50" s="75"/>
      <c r="BYN50" s="65"/>
      <c r="BYO50" s="65"/>
      <c r="BYP50" s="65"/>
      <c r="BYQ50" s="65"/>
      <c r="BYR50" s="37"/>
      <c r="BYS50" s="138"/>
      <c r="BYT50" s="37"/>
      <c r="BYU50" s="37"/>
      <c r="BYV50" s="37"/>
      <c r="BYW50" s="37"/>
      <c r="BYX50" s="37"/>
      <c r="BYY50" s="75"/>
      <c r="BYZ50" s="37"/>
      <c r="BZA50" s="37"/>
      <c r="BZB50" s="37"/>
      <c r="BZC50" s="37"/>
      <c r="BZD50" s="37"/>
      <c r="BZE50" s="138"/>
      <c r="BZF50" s="37"/>
      <c r="BZG50" s="37"/>
      <c r="BZH50" s="37"/>
      <c r="BZI50" s="37"/>
      <c r="BZJ50" s="37"/>
      <c r="BZK50" s="75"/>
      <c r="BZL50" s="37"/>
      <c r="BZM50" s="37"/>
      <c r="BZN50" s="37"/>
      <c r="BZO50" s="37"/>
      <c r="BZP50" s="37"/>
      <c r="BZQ50" s="38"/>
      <c r="BZR50" s="36"/>
      <c r="BZS50" s="65"/>
      <c r="BZT50" s="65"/>
      <c r="BZU50" s="65"/>
      <c r="BZV50" s="37"/>
      <c r="BZW50" s="133"/>
      <c r="BZX50" s="37"/>
      <c r="BZY50" s="37"/>
      <c r="BZZ50" s="37"/>
      <c r="CAA50" s="37"/>
      <c r="CAB50" s="37"/>
      <c r="CAC50" s="138"/>
      <c r="CAD50" s="37"/>
      <c r="CAE50" s="37"/>
      <c r="CAF50" s="37"/>
      <c r="CAG50" s="37"/>
      <c r="CAH50" s="37"/>
      <c r="CAI50" s="75"/>
      <c r="CAJ50" s="37"/>
      <c r="CAK50" s="37"/>
      <c r="CAL50" s="37"/>
      <c r="CAM50" s="37"/>
      <c r="CAN50" s="37"/>
      <c r="CAO50" s="138"/>
      <c r="CAP50" s="37"/>
      <c r="CAQ50" s="37"/>
      <c r="CAR50" s="37"/>
      <c r="CAS50" s="37"/>
      <c r="CAT50" s="37"/>
      <c r="CAU50" s="75"/>
      <c r="CAV50" s="65"/>
      <c r="CAW50" s="65"/>
      <c r="CAX50" s="65"/>
      <c r="CAY50" s="65"/>
      <c r="CAZ50" s="37"/>
      <c r="CBA50" s="138"/>
      <c r="CBB50" s="37"/>
      <c r="CBC50" s="37"/>
      <c r="CBD50" s="37"/>
      <c r="CBE50" s="37"/>
      <c r="CBF50" s="37"/>
      <c r="CBG50" s="75"/>
      <c r="CBH50" s="37"/>
      <c r="CBI50" s="37"/>
      <c r="CBJ50" s="37"/>
      <c r="CBK50" s="37"/>
      <c r="CBL50" s="37"/>
      <c r="CBM50" s="138"/>
      <c r="CBN50" s="37"/>
      <c r="CBO50" s="37"/>
      <c r="CBP50" s="37"/>
      <c r="CBQ50" s="37"/>
      <c r="CBR50" s="37"/>
      <c r="CBS50" s="75"/>
      <c r="CBT50" s="37"/>
      <c r="CBU50" s="37"/>
      <c r="CBV50" s="37"/>
      <c r="CBW50" s="37"/>
      <c r="CBX50" s="37"/>
      <c r="CBY50" s="38"/>
      <c r="CBZ50" s="36"/>
      <c r="CCA50" s="65"/>
      <c r="CCB50" s="65"/>
      <c r="CCC50" s="65"/>
      <c r="CCD50" s="37"/>
      <c r="CCE50" s="133"/>
      <c r="CCF50" s="37"/>
      <c r="CCG50" s="37"/>
      <c r="CCH50" s="37"/>
      <c r="CCI50" s="37"/>
      <c r="CCJ50" s="37"/>
      <c r="CCK50" s="138"/>
      <c r="CCL50" s="37"/>
      <c r="CCM50" s="37"/>
      <c r="CCN50" s="37"/>
      <c r="CCO50" s="37"/>
      <c r="CCP50" s="37"/>
      <c r="CCQ50" s="75"/>
      <c r="CCR50" s="37"/>
      <c r="CCS50" s="37"/>
      <c r="CCT50" s="37"/>
      <c r="CCU50" s="37"/>
      <c r="CCV50" s="37"/>
      <c r="CCW50" s="138"/>
      <c r="CCX50" s="37"/>
      <c r="CCY50" s="37"/>
      <c r="CCZ50" s="37"/>
      <c r="CDA50" s="37"/>
      <c r="CDB50" s="37"/>
      <c r="CDC50" s="75"/>
      <c r="CDD50" s="65"/>
      <c r="CDE50" s="65"/>
      <c r="CDF50" s="65"/>
      <c r="CDG50" s="65"/>
      <c r="CDH50" s="37"/>
      <c r="CDI50" s="138"/>
      <c r="CDJ50" s="37"/>
      <c r="CDK50" s="37"/>
      <c r="CDL50" s="37"/>
      <c r="CDM50" s="37"/>
      <c r="CDN50" s="37"/>
      <c r="CDO50" s="75"/>
      <c r="CDP50" s="37"/>
      <c r="CDQ50" s="37"/>
      <c r="CDR50" s="37"/>
      <c r="CDS50" s="37"/>
      <c r="CDT50" s="37"/>
      <c r="CDU50" s="138"/>
      <c r="CDV50" s="37"/>
      <c r="CDW50" s="37"/>
      <c r="CDX50" s="37"/>
      <c r="CDY50" s="37"/>
      <c r="CDZ50" s="37"/>
      <c r="CEA50" s="75"/>
      <c r="CEB50" s="37"/>
      <c r="CEC50" s="37"/>
      <c r="CED50" s="37"/>
      <c r="CEE50" s="37"/>
      <c r="CEF50" s="37"/>
      <c r="CEG50" s="38"/>
      <c r="CEH50" s="36"/>
      <c r="CEI50" s="65"/>
      <c r="CEJ50" s="65"/>
      <c r="CEK50" s="65"/>
      <c r="CEL50" s="37"/>
      <c r="CEM50" s="133"/>
      <c r="CEN50" s="37"/>
      <c r="CEO50" s="37"/>
      <c r="CEP50" s="37"/>
      <c r="CEQ50" s="37"/>
      <c r="CER50" s="37"/>
      <c r="CES50" s="138"/>
      <c r="CET50" s="37"/>
      <c r="CEU50" s="37"/>
      <c r="CEV50" s="37"/>
      <c r="CEW50" s="37"/>
      <c r="CEX50" s="37"/>
      <c r="CEY50" s="75"/>
      <c r="CEZ50" s="37"/>
      <c r="CFA50" s="37"/>
      <c r="CFB50" s="37"/>
      <c r="CFC50" s="37"/>
      <c r="CFD50" s="37"/>
      <c r="CFE50" s="138"/>
      <c r="CFF50" s="37"/>
      <c r="CFG50" s="37"/>
      <c r="CFH50" s="37"/>
      <c r="CFI50" s="37"/>
      <c r="CFJ50" s="37"/>
      <c r="CFK50" s="75"/>
      <c r="CFL50" s="65"/>
      <c r="CFM50" s="65"/>
      <c r="CFN50" s="65"/>
      <c r="CFO50" s="65"/>
      <c r="CFP50" s="37"/>
      <c r="CFQ50" s="138"/>
      <c r="CFR50" s="37"/>
      <c r="CFS50" s="37"/>
      <c r="CFT50" s="37"/>
      <c r="CFU50" s="37"/>
      <c r="CFV50" s="37"/>
      <c r="CFW50" s="75"/>
      <c r="CFX50" s="37"/>
      <c r="CFY50" s="37"/>
      <c r="CFZ50" s="37"/>
      <c r="CGA50" s="37"/>
      <c r="CGB50" s="37"/>
      <c r="CGC50" s="138"/>
      <c r="CGD50" s="37"/>
      <c r="CGE50" s="37"/>
      <c r="CGF50" s="37"/>
      <c r="CGG50" s="37"/>
      <c r="CGH50" s="37"/>
      <c r="CGI50" s="75"/>
      <c r="CGJ50" s="37"/>
      <c r="CGK50" s="37"/>
      <c r="CGL50" s="37"/>
      <c r="CGM50" s="37"/>
      <c r="CGN50" s="37"/>
      <c r="CGO50" s="38"/>
      <c r="CGP50" s="36"/>
      <c r="CGQ50" s="65"/>
      <c r="CGR50" s="65"/>
      <c r="CGS50" s="65"/>
      <c r="CGT50" s="37"/>
      <c r="CGU50" s="133"/>
      <c r="CGV50" s="37"/>
      <c r="CGW50" s="37"/>
      <c r="CGX50" s="37"/>
      <c r="CGY50" s="37"/>
      <c r="CGZ50" s="37"/>
      <c r="CHA50" s="138"/>
      <c r="CHB50" s="37"/>
      <c r="CHC50" s="37"/>
      <c r="CHD50" s="37"/>
      <c r="CHE50" s="37"/>
      <c r="CHF50" s="37"/>
      <c r="CHG50" s="75"/>
      <c r="CHH50" s="37"/>
      <c r="CHI50" s="37"/>
      <c r="CHJ50" s="37"/>
      <c r="CHK50" s="37"/>
      <c r="CHL50" s="37"/>
      <c r="CHM50" s="138"/>
      <c r="CHN50" s="37"/>
      <c r="CHO50" s="37"/>
      <c r="CHP50" s="37"/>
      <c r="CHQ50" s="37"/>
      <c r="CHR50" s="37"/>
      <c r="CHS50" s="75"/>
      <c r="CHT50" s="65"/>
      <c r="CHU50" s="65"/>
      <c r="CHV50" s="65"/>
      <c r="CHW50" s="65"/>
      <c r="CHX50" s="37"/>
      <c r="CHY50" s="138"/>
      <c r="CHZ50" s="37"/>
      <c r="CIA50" s="37"/>
      <c r="CIB50" s="37"/>
      <c r="CIC50" s="37"/>
      <c r="CID50" s="37"/>
      <c r="CIE50" s="75"/>
      <c r="CIF50" s="37"/>
      <c r="CIG50" s="37"/>
      <c r="CIH50" s="37"/>
      <c r="CII50" s="37"/>
      <c r="CIJ50" s="37"/>
      <c r="CIK50" s="138"/>
      <c r="CIL50" s="37"/>
      <c r="CIM50" s="37"/>
      <c r="CIN50" s="37"/>
      <c r="CIO50" s="37"/>
      <c r="CIP50" s="37"/>
      <c r="CIQ50" s="75"/>
      <c r="CIR50" s="37"/>
      <c r="CIS50" s="37"/>
      <c r="CIT50" s="37"/>
      <c r="CIU50" s="37"/>
      <c r="CIV50" s="37"/>
      <c r="CIW50" s="38"/>
      <c r="CIX50" s="36"/>
      <c r="CIY50" s="65"/>
      <c r="CIZ50" s="65"/>
      <c r="CJA50" s="65"/>
      <c r="CJB50" s="37"/>
      <c r="CJC50" s="133"/>
      <c r="CJD50" s="37"/>
      <c r="CJE50" s="37"/>
      <c r="CJF50" s="37"/>
      <c r="CJG50" s="37"/>
      <c r="CJH50" s="37"/>
      <c r="CJI50" s="138"/>
      <c r="CJJ50" s="37"/>
      <c r="CJK50" s="37"/>
      <c r="CJL50" s="37"/>
      <c r="CJM50" s="37"/>
      <c r="CJN50" s="37"/>
      <c r="CJO50" s="75"/>
      <c r="CJP50" s="37"/>
      <c r="CJQ50" s="37"/>
      <c r="CJR50" s="37"/>
      <c r="CJS50" s="37"/>
      <c r="CJT50" s="37"/>
      <c r="CJU50" s="138"/>
      <c r="CJV50" s="37"/>
      <c r="CJW50" s="37"/>
      <c r="CJX50" s="37"/>
      <c r="CJY50" s="37"/>
      <c r="CJZ50" s="37"/>
      <c r="CKA50" s="75"/>
      <c r="CKB50" s="65"/>
      <c r="CKC50" s="65"/>
      <c r="CKD50" s="65"/>
      <c r="CKE50" s="65"/>
      <c r="CKF50" s="37"/>
      <c r="CKG50" s="138"/>
      <c r="CKH50" s="37"/>
      <c r="CKI50" s="37"/>
      <c r="CKJ50" s="37"/>
      <c r="CKK50" s="37"/>
      <c r="CKL50" s="37"/>
      <c r="CKM50" s="75"/>
      <c r="CKN50" s="37"/>
      <c r="CKO50" s="37"/>
      <c r="CKP50" s="37"/>
      <c r="CKQ50" s="37"/>
      <c r="CKR50" s="37"/>
      <c r="CKS50" s="138"/>
      <c r="CKT50" s="37"/>
      <c r="CKU50" s="37"/>
      <c r="CKV50" s="37"/>
      <c r="CKW50" s="37"/>
      <c r="CKX50" s="37"/>
      <c r="CKY50" s="75"/>
      <c r="CKZ50" s="37"/>
      <c r="CLA50" s="37"/>
      <c r="CLB50" s="37"/>
      <c r="CLC50" s="37"/>
      <c r="CLD50" s="37"/>
      <c r="CLE50" s="38"/>
      <c r="CLF50" s="36"/>
      <c r="CLG50" s="65"/>
      <c r="CLH50" s="65"/>
      <c r="CLI50" s="65"/>
      <c r="CLJ50" s="37"/>
      <c r="CLK50" s="133"/>
      <c r="CLL50" s="37"/>
      <c r="CLM50" s="37"/>
      <c r="CLN50" s="37"/>
      <c r="CLO50" s="37"/>
      <c r="CLP50" s="37"/>
      <c r="CLQ50" s="138"/>
      <c r="CLR50" s="37"/>
      <c r="CLS50" s="37"/>
      <c r="CLT50" s="37"/>
      <c r="CLU50" s="37"/>
      <c r="CLV50" s="37"/>
      <c r="CLW50" s="75"/>
      <c r="CLX50" s="37"/>
      <c r="CLY50" s="37"/>
      <c r="CLZ50" s="37"/>
      <c r="CMA50" s="37"/>
      <c r="CMB50" s="37"/>
      <c r="CMC50" s="138"/>
      <c r="CMD50" s="37"/>
      <c r="CME50" s="37"/>
      <c r="CMF50" s="37"/>
      <c r="CMG50" s="37"/>
      <c r="CMH50" s="37"/>
      <c r="CMI50" s="75"/>
      <c r="CMJ50" s="65"/>
      <c r="CMK50" s="65"/>
      <c r="CML50" s="65"/>
      <c r="CMM50" s="65"/>
      <c r="CMN50" s="37"/>
      <c r="CMO50" s="138"/>
      <c r="CMP50" s="37"/>
      <c r="CMQ50" s="37"/>
      <c r="CMR50" s="37"/>
      <c r="CMS50" s="37"/>
      <c r="CMT50" s="37"/>
      <c r="CMU50" s="75"/>
      <c r="CMV50" s="37"/>
      <c r="CMW50" s="37"/>
      <c r="CMX50" s="37"/>
      <c r="CMY50" s="37"/>
      <c r="CMZ50" s="37"/>
      <c r="CNA50" s="138"/>
      <c r="CNB50" s="37"/>
      <c r="CNC50" s="37"/>
      <c r="CND50" s="37"/>
      <c r="CNE50" s="37"/>
      <c r="CNF50" s="37"/>
      <c r="CNG50" s="75"/>
      <c r="CNH50" s="37"/>
      <c r="CNI50" s="37"/>
      <c r="CNJ50" s="37"/>
      <c r="CNK50" s="37"/>
      <c r="CNL50" s="37"/>
      <c r="CNM50" s="38"/>
      <c r="CNN50" s="36"/>
      <c r="CNO50" s="65"/>
      <c r="CNP50" s="65"/>
      <c r="CNQ50" s="65"/>
      <c r="CNR50" s="37"/>
      <c r="CNS50" s="133"/>
      <c r="CNT50" s="37"/>
      <c r="CNU50" s="37"/>
      <c r="CNV50" s="37"/>
      <c r="CNW50" s="37"/>
      <c r="CNX50" s="37"/>
      <c r="CNY50" s="138"/>
      <c r="CNZ50" s="37"/>
      <c r="COA50" s="37"/>
      <c r="COB50" s="37"/>
      <c r="COC50" s="37"/>
      <c r="COD50" s="37"/>
      <c r="COE50" s="75"/>
      <c r="COF50" s="37"/>
      <c r="COG50" s="37"/>
      <c r="COH50" s="37"/>
      <c r="COI50" s="37"/>
      <c r="COJ50" s="37"/>
      <c r="COK50" s="138"/>
      <c r="COL50" s="37"/>
      <c r="COM50" s="37"/>
      <c r="CON50" s="37"/>
      <c r="COO50" s="37"/>
      <c r="COP50" s="37"/>
      <c r="COQ50" s="75"/>
      <c r="COR50" s="65"/>
      <c r="COS50" s="65"/>
      <c r="COT50" s="65"/>
      <c r="COU50" s="65"/>
      <c r="COV50" s="37"/>
      <c r="COW50" s="138"/>
      <c r="COX50" s="37"/>
      <c r="COY50" s="37"/>
      <c r="COZ50" s="37"/>
      <c r="CPA50" s="37"/>
      <c r="CPB50" s="37"/>
      <c r="CPC50" s="75"/>
      <c r="CPD50" s="37"/>
      <c r="CPE50" s="37"/>
      <c r="CPF50" s="37"/>
      <c r="CPG50" s="37"/>
      <c r="CPH50" s="37"/>
      <c r="CPI50" s="138"/>
      <c r="CPJ50" s="37"/>
      <c r="CPK50" s="37"/>
      <c r="CPL50" s="37"/>
      <c r="CPM50" s="37"/>
      <c r="CPN50" s="37"/>
      <c r="CPO50" s="75"/>
      <c r="CPP50" s="37"/>
      <c r="CPQ50" s="37"/>
      <c r="CPR50" s="37"/>
      <c r="CPS50" s="37"/>
      <c r="CPT50" s="37"/>
      <c r="CPU50" s="38"/>
      <c r="CPV50" s="36"/>
      <c r="CPW50" s="65"/>
      <c r="CPX50" s="65"/>
      <c r="CPY50" s="65"/>
      <c r="CPZ50" s="37"/>
      <c r="CQA50" s="133"/>
      <c r="CQB50" s="37"/>
      <c r="CQC50" s="37"/>
      <c r="CQD50" s="37"/>
      <c r="CQE50" s="37"/>
      <c r="CQF50" s="37"/>
      <c r="CQG50" s="138"/>
      <c r="CQH50" s="37"/>
      <c r="CQI50" s="37"/>
      <c r="CQJ50" s="37"/>
      <c r="CQK50" s="37"/>
      <c r="CQL50" s="37"/>
      <c r="CQM50" s="75"/>
      <c r="CQN50" s="37"/>
      <c r="CQO50" s="37"/>
      <c r="CQP50" s="37"/>
      <c r="CQQ50" s="37"/>
      <c r="CQR50" s="37"/>
      <c r="CQS50" s="138"/>
      <c r="CQT50" s="37"/>
      <c r="CQU50" s="37"/>
      <c r="CQV50" s="37"/>
      <c r="CQW50" s="37"/>
      <c r="CQX50" s="37"/>
      <c r="CQY50" s="75"/>
      <c r="CQZ50" s="65"/>
      <c r="CRA50" s="65"/>
      <c r="CRB50" s="65"/>
      <c r="CRC50" s="65"/>
      <c r="CRD50" s="37"/>
      <c r="CRE50" s="138"/>
      <c r="CRF50" s="37"/>
      <c r="CRG50" s="37"/>
      <c r="CRH50" s="37"/>
      <c r="CRI50" s="37"/>
      <c r="CRJ50" s="37"/>
      <c r="CRK50" s="75"/>
      <c r="CRL50" s="37"/>
      <c r="CRM50" s="37"/>
      <c r="CRN50" s="37"/>
      <c r="CRO50" s="37"/>
      <c r="CRP50" s="37"/>
      <c r="CRQ50" s="138"/>
      <c r="CRR50" s="37"/>
      <c r="CRS50" s="37"/>
      <c r="CRT50" s="37"/>
      <c r="CRU50" s="37"/>
      <c r="CRV50" s="37"/>
      <c r="CRW50" s="75"/>
      <c r="CRX50" s="37"/>
      <c r="CRY50" s="37"/>
      <c r="CRZ50" s="37"/>
      <c r="CSA50" s="37"/>
      <c r="CSB50" s="37"/>
      <c r="CSC50" s="38"/>
      <c r="CSD50" s="90"/>
    </row>
    <row r="51" spans="1:2526" ht="20.100000000000001" customHeight="1" x14ac:dyDescent="0.25">
      <c r="A51" s="100" t="s">
        <v>18</v>
      </c>
      <c r="B51" s="63" t="str">
        <f>IF(LEN(C87)=0,"",C87)</f>
        <v/>
      </c>
      <c r="C51" s="211" t="s">
        <v>56</v>
      </c>
      <c r="D51" s="146" t="str">
        <f t="shared" si="0"/>
        <v>2h45min</v>
      </c>
      <c r="E51" s="39">
        <v>33</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40"/>
      <c r="BLW51" s="66"/>
      <c r="BLX51" s="66"/>
      <c r="BLY51" s="66"/>
      <c r="BLZ51" s="41"/>
      <c r="BMA51" s="134"/>
      <c r="BMB51" s="41"/>
      <c r="BMC51" s="41"/>
      <c r="BMD51" s="41"/>
      <c r="BME51" s="41"/>
      <c r="BMF51" s="41"/>
      <c r="BMG51" s="139"/>
      <c r="BMH51" s="41"/>
      <c r="BMI51" s="41"/>
      <c r="BMJ51" s="41"/>
      <c r="BMK51" s="41"/>
      <c r="BML51" s="41"/>
      <c r="BMM51" s="76"/>
      <c r="BMN51" s="41"/>
      <c r="BMO51" s="41"/>
      <c r="BMP51" s="41"/>
      <c r="BMQ51" s="41"/>
      <c r="BMR51" s="41"/>
      <c r="BMS51" s="139"/>
      <c r="BMT51" s="41"/>
      <c r="BMU51" s="41"/>
      <c r="BMV51" s="41"/>
      <c r="BMW51" s="41"/>
      <c r="BMX51" s="41"/>
      <c r="BMY51" s="76"/>
      <c r="BMZ51" s="66"/>
      <c r="BNA51" s="66"/>
      <c r="BNB51" s="66"/>
      <c r="BNC51" s="66"/>
      <c r="BND51" s="41"/>
      <c r="BNE51" s="139"/>
      <c r="BNF51" s="41"/>
      <c r="BNG51" s="41"/>
      <c r="BNH51" s="41"/>
      <c r="BNI51" s="41"/>
      <c r="BNJ51" s="41"/>
      <c r="BNK51" s="76"/>
      <c r="BNL51" s="41"/>
      <c r="BNM51" s="41"/>
      <c r="BNN51" s="41"/>
      <c r="BNO51" s="41"/>
      <c r="BNP51" s="41"/>
      <c r="BNQ51" s="139"/>
      <c r="BNR51" s="41"/>
      <c r="BNS51" s="41"/>
      <c r="BNT51" s="41"/>
      <c r="BNU51" s="41"/>
      <c r="BNV51" s="41"/>
      <c r="BNW51" s="76"/>
      <c r="BNX51" s="41"/>
      <c r="BNY51" s="41"/>
      <c r="BNZ51" s="41"/>
      <c r="BOA51" s="41"/>
      <c r="BOB51" s="41"/>
      <c r="BOC51" s="42"/>
      <c r="BOD51" s="40"/>
      <c r="BOE51" s="66"/>
      <c r="BOF51" s="66"/>
      <c r="BOG51" s="66"/>
      <c r="BOH51" s="41"/>
      <c r="BOI51" s="134"/>
      <c r="BOJ51" s="41"/>
      <c r="BOK51" s="41"/>
      <c r="BOL51" s="41"/>
      <c r="BOM51" s="41"/>
      <c r="BON51" s="41"/>
      <c r="BOO51" s="139"/>
      <c r="BOP51" s="41"/>
      <c r="BOQ51" s="41"/>
      <c r="BOR51" s="41"/>
      <c r="BOS51" s="41"/>
      <c r="BOT51" s="41"/>
      <c r="BOU51" s="76"/>
      <c r="BOV51" s="41"/>
      <c r="BOW51" s="41"/>
      <c r="BOX51" s="41"/>
      <c r="BOY51" s="41"/>
      <c r="BOZ51" s="41"/>
      <c r="BPA51" s="139"/>
      <c r="BPB51" s="41"/>
      <c r="BPC51" s="41"/>
      <c r="BPD51" s="41"/>
      <c r="BPE51" s="41"/>
      <c r="BPF51" s="41"/>
      <c r="BPG51" s="76"/>
      <c r="BPH51" s="66"/>
      <c r="BPI51" s="66"/>
      <c r="BPJ51" s="66"/>
      <c r="BPK51" s="66"/>
      <c r="BPL51" s="41"/>
      <c r="BPM51" s="139"/>
      <c r="BPN51" s="41"/>
      <c r="BPO51" s="41"/>
      <c r="BPP51" s="41"/>
      <c r="BPQ51" s="41"/>
      <c r="BPR51" s="41"/>
      <c r="BPS51" s="76"/>
      <c r="BPT51" s="41"/>
      <c r="BPU51" s="41"/>
      <c r="BPV51" s="41"/>
      <c r="BPW51" s="41"/>
      <c r="BPX51" s="41"/>
      <c r="BPY51" s="139"/>
      <c r="BPZ51" s="41"/>
      <c r="BQA51" s="41"/>
      <c r="BQB51" s="41"/>
      <c r="BQC51" s="41"/>
      <c r="BQD51" s="41"/>
      <c r="BQE51" s="76"/>
      <c r="BQF51" s="41"/>
      <c r="BQG51" s="41"/>
      <c r="BQH51" s="41"/>
      <c r="BQI51" s="41"/>
      <c r="BQJ51" s="41"/>
      <c r="BQK51" s="42"/>
      <c r="BQL51" s="40"/>
      <c r="BQM51" s="66"/>
      <c r="BQN51" s="66"/>
      <c r="BQO51" s="66"/>
      <c r="BQP51" s="41"/>
      <c r="BQQ51" s="134"/>
      <c r="BQR51" s="41"/>
      <c r="BQS51" s="41"/>
      <c r="BQT51" s="41"/>
      <c r="BQU51" s="41"/>
      <c r="BQV51" s="41"/>
      <c r="BQW51" s="139"/>
      <c r="BQX51" s="41"/>
      <c r="BQY51" s="41"/>
      <c r="BQZ51" s="41"/>
      <c r="BRA51" s="41"/>
      <c r="BRB51" s="41"/>
      <c r="BRC51" s="76"/>
      <c r="BRD51" s="41"/>
      <c r="BRE51" s="41"/>
      <c r="BRF51" s="41"/>
      <c r="BRG51" s="41"/>
      <c r="BRH51" s="41"/>
      <c r="BRI51" s="139"/>
      <c r="BRJ51" s="41"/>
      <c r="BRK51" s="41"/>
      <c r="BRL51" s="41"/>
      <c r="BRM51" s="41"/>
      <c r="BRN51" s="41"/>
      <c r="BRO51" s="76"/>
      <c r="BRP51" s="66"/>
      <c r="BRQ51" s="66"/>
      <c r="BRR51" s="66"/>
      <c r="BRS51" s="66"/>
      <c r="BRT51" s="41"/>
      <c r="BRU51" s="139"/>
      <c r="BRV51" s="41"/>
      <c r="BRW51" s="41"/>
      <c r="BRX51" s="41"/>
      <c r="BRY51" s="41"/>
      <c r="BRZ51" s="41"/>
      <c r="BSA51" s="76"/>
      <c r="BSB51" s="41"/>
      <c r="BSC51" s="41"/>
      <c r="BSD51" s="41"/>
      <c r="BSE51" s="41"/>
      <c r="BSF51" s="41"/>
      <c r="BSG51" s="139"/>
      <c r="BSH51" s="41"/>
      <c r="BSI51" s="41"/>
      <c r="BSJ51" s="41"/>
      <c r="BSK51" s="41"/>
      <c r="BSL51" s="41"/>
      <c r="BSM51" s="76"/>
      <c r="BSN51" s="41"/>
      <c r="BSO51" s="41"/>
      <c r="BSP51" s="41"/>
      <c r="BSQ51" s="41"/>
      <c r="BSR51" s="41"/>
      <c r="BSS51" s="42"/>
      <c r="BST51" s="40"/>
      <c r="BSU51" s="66"/>
      <c r="BSV51" s="66"/>
      <c r="BSW51" s="66"/>
      <c r="BSX51" s="41"/>
      <c r="BSY51" s="134"/>
      <c r="BSZ51" s="41"/>
      <c r="BTA51" s="41"/>
      <c r="BTB51" s="41"/>
      <c r="BTC51" s="41"/>
      <c r="BTD51" s="41"/>
      <c r="BTE51" s="139"/>
      <c r="BTF51" s="41"/>
      <c r="BTG51" s="41"/>
      <c r="BTH51" s="41"/>
      <c r="BTI51" s="41"/>
      <c r="BTJ51" s="41"/>
      <c r="BTK51" s="76"/>
      <c r="BTL51" s="41"/>
      <c r="BTM51" s="41"/>
      <c r="BTN51" s="41"/>
      <c r="BTO51" s="41"/>
      <c r="BTP51" s="41"/>
      <c r="BTQ51" s="139"/>
      <c r="BTR51" s="41"/>
      <c r="BTS51" s="41"/>
      <c r="BTT51" s="41"/>
      <c r="BTU51" s="41"/>
      <c r="BTV51" s="41"/>
      <c r="BTW51" s="76"/>
      <c r="BTX51" s="66"/>
      <c r="BTY51" s="66"/>
      <c r="BTZ51" s="66"/>
      <c r="BUA51" s="66"/>
      <c r="BUB51" s="41"/>
      <c r="BUC51" s="139"/>
      <c r="BUD51" s="41"/>
      <c r="BUE51" s="41"/>
      <c r="BUF51" s="41"/>
      <c r="BUG51" s="41"/>
      <c r="BUH51" s="41"/>
      <c r="BUI51" s="76"/>
      <c r="BUJ51" s="41"/>
      <c r="BUK51" s="41"/>
      <c r="BUL51" s="41"/>
      <c r="BUM51" s="41"/>
      <c r="BUN51" s="41"/>
      <c r="BUO51" s="139"/>
      <c r="BUP51" s="41"/>
      <c r="BUQ51" s="41"/>
      <c r="BUR51" s="41"/>
      <c r="BUS51" s="41"/>
      <c r="BUT51" s="41"/>
      <c r="BUU51" s="76"/>
      <c r="BUV51" s="41"/>
      <c r="BUW51" s="41"/>
      <c r="BUX51" s="41"/>
      <c r="BUY51" s="41"/>
      <c r="BUZ51" s="41"/>
      <c r="BVA51" s="42"/>
      <c r="BVB51" s="40"/>
      <c r="BVC51" s="66"/>
      <c r="BVD51" s="66"/>
      <c r="BVE51" s="66"/>
      <c r="BVF51" s="41"/>
      <c r="BVG51" s="134"/>
      <c r="BVH51" s="41"/>
      <c r="BVI51" s="41"/>
      <c r="BVJ51" s="41"/>
      <c r="BVK51" s="41"/>
      <c r="BVL51" s="41"/>
      <c r="BVM51" s="139"/>
      <c r="BVN51" s="41"/>
      <c r="BVO51" s="41"/>
      <c r="BVP51" s="41"/>
      <c r="BVQ51" s="41"/>
      <c r="BVR51" s="41"/>
      <c r="BVS51" s="76"/>
      <c r="BVT51" s="41"/>
      <c r="BVU51" s="41"/>
      <c r="BVV51" s="41"/>
      <c r="BVW51" s="41"/>
      <c r="BVX51" s="41"/>
      <c r="BVY51" s="139"/>
      <c r="BVZ51" s="41"/>
      <c r="BWA51" s="41"/>
      <c r="BWB51" s="41"/>
      <c r="BWC51" s="41"/>
      <c r="BWD51" s="41"/>
      <c r="BWE51" s="76"/>
      <c r="BWF51" s="66"/>
      <c r="BWG51" s="66"/>
      <c r="BWH51" s="66"/>
      <c r="BWI51" s="66"/>
      <c r="BWJ51" s="41"/>
      <c r="BWK51" s="139"/>
      <c r="BWL51" s="41"/>
      <c r="BWM51" s="41"/>
      <c r="BWN51" s="41"/>
      <c r="BWO51" s="41"/>
      <c r="BWP51" s="41"/>
      <c r="BWQ51" s="76"/>
      <c r="BWR51" s="41"/>
      <c r="BWS51" s="41"/>
      <c r="BWT51" s="41"/>
      <c r="BWU51" s="41"/>
      <c r="BWV51" s="41"/>
      <c r="BWW51" s="139"/>
      <c r="BWX51" s="41"/>
      <c r="BWY51" s="41"/>
      <c r="BWZ51" s="41"/>
      <c r="BXA51" s="41"/>
      <c r="BXB51" s="41"/>
      <c r="BXC51" s="76"/>
      <c r="BXD51" s="41"/>
      <c r="BXE51" s="41"/>
      <c r="BXF51" s="41"/>
      <c r="BXG51" s="41"/>
      <c r="BXH51" s="41"/>
      <c r="BXI51" s="42"/>
      <c r="BXJ51" s="40"/>
      <c r="BXK51" s="66"/>
      <c r="BXL51" s="66"/>
      <c r="BXM51" s="66"/>
      <c r="BXN51" s="41"/>
      <c r="BXO51" s="134"/>
      <c r="BXP51" s="41"/>
      <c r="BXQ51" s="41"/>
      <c r="BXR51" s="41"/>
      <c r="BXS51" s="41"/>
      <c r="BXT51" s="41"/>
      <c r="BXU51" s="139"/>
      <c r="BXV51" s="171"/>
      <c r="BXW51" s="171"/>
      <c r="BXX51" s="171"/>
      <c r="BXY51" s="171"/>
      <c r="BXZ51" s="171"/>
      <c r="BYA51" s="173"/>
      <c r="BYB51" s="171"/>
      <c r="BYC51" s="171"/>
      <c r="BYD51" s="171"/>
      <c r="BYE51" s="171"/>
      <c r="BYF51" s="171"/>
      <c r="BYG51" s="172"/>
      <c r="BYH51" s="171"/>
      <c r="BYI51" s="171"/>
      <c r="BYJ51" s="171"/>
      <c r="BYK51" s="171"/>
      <c r="BYL51" s="171"/>
      <c r="BYM51" s="173"/>
      <c r="BYN51" s="175"/>
      <c r="BYO51" s="175"/>
      <c r="BYP51" s="175"/>
      <c r="BYQ51" s="175"/>
      <c r="BYR51" s="171"/>
      <c r="BYS51" s="172"/>
      <c r="BYT51" s="171"/>
      <c r="BYU51" s="171"/>
      <c r="BYV51" s="171"/>
      <c r="BYW51" s="171"/>
      <c r="BYX51" s="171"/>
      <c r="BYY51" s="173"/>
      <c r="BYZ51" s="171"/>
      <c r="BZA51" s="171"/>
      <c r="BZB51" s="171"/>
      <c r="BZC51" s="41"/>
      <c r="BZD51" s="41"/>
      <c r="BZE51" s="139"/>
      <c r="BZF51" s="41"/>
      <c r="BZG51" s="41"/>
      <c r="BZH51" s="41"/>
      <c r="BZI51" s="41"/>
      <c r="BZJ51" s="41"/>
      <c r="BZK51" s="76"/>
      <c r="BZL51" s="41"/>
      <c r="BZM51" s="41"/>
      <c r="BZN51" s="41"/>
      <c r="BZO51" s="41"/>
      <c r="BZP51" s="41"/>
      <c r="BZQ51" s="42"/>
      <c r="BZR51" s="40"/>
      <c r="BZS51" s="66"/>
      <c r="BZT51" s="66"/>
      <c r="BZU51" s="66"/>
      <c r="BZV51" s="41"/>
      <c r="BZW51" s="134"/>
      <c r="BZX51" s="41"/>
      <c r="BZY51" s="41"/>
      <c r="BZZ51" s="41"/>
      <c r="CAA51" s="41"/>
      <c r="CAB51" s="41"/>
      <c r="CAC51" s="139"/>
      <c r="CAD51" s="41"/>
      <c r="CAE51" s="41"/>
      <c r="CAF51" s="41"/>
      <c r="CAG51" s="41"/>
      <c r="CAH51" s="41"/>
      <c r="CAI51" s="76"/>
      <c r="CAJ51" s="41"/>
      <c r="CAK51" s="41"/>
      <c r="CAL51" s="41"/>
      <c r="CAM51" s="41"/>
      <c r="CAN51" s="41"/>
      <c r="CAO51" s="139"/>
      <c r="CAP51" s="41"/>
      <c r="CAQ51" s="41"/>
      <c r="CAR51" s="41"/>
      <c r="CAS51" s="41"/>
      <c r="CAT51" s="41"/>
      <c r="CAU51" s="76"/>
      <c r="CAV51" s="66"/>
      <c r="CAW51" s="66"/>
      <c r="CAX51" s="66"/>
      <c r="CAY51" s="66"/>
      <c r="CAZ51" s="41"/>
      <c r="CBA51" s="139"/>
      <c r="CBB51" s="41"/>
      <c r="CBC51" s="41"/>
      <c r="CBD51" s="41"/>
      <c r="CBE51" s="41"/>
      <c r="CBF51" s="41"/>
      <c r="CBG51" s="76"/>
      <c r="CBH51" s="41"/>
      <c r="CBI51" s="41"/>
      <c r="CBJ51" s="41"/>
      <c r="CBK51" s="41"/>
      <c r="CBL51" s="41"/>
      <c r="CBM51" s="139"/>
      <c r="CBN51" s="41"/>
      <c r="CBO51" s="41"/>
      <c r="CBP51" s="41"/>
      <c r="CBQ51" s="41"/>
      <c r="CBR51" s="41"/>
      <c r="CBS51" s="76"/>
      <c r="CBT51" s="41"/>
      <c r="CBU51" s="41"/>
      <c r="CBV51" s="41"/>
      <c r="CBW51" s="41"/>
      <c r="CBX51" s="41"/>
      <c r="CBY51" s="42"/>
      <c r="CBZ51" s="40"/>
      <c r="CCA51" s="66"/>
      <c r="CCB51" s="66"/>
      <c r="CCC51" s="66"/>
      <c r="CCD51" s="41"/>
      <c r="CCE51" s="134"/>
      <c r="CCF51" s="41"/>
      <c r="CCG51" s="41"/>
      <c r="CCH51" s="41"/>
      <c r="CCI51" s="41"/>
      <c r="CCJ51" s="41"/>
      <c r="CCK51" s="139"/>
      <c r="CCL51" s="41"/>
      <c r="CCM51" s="41"/>
      <c r="CCN51" s="41"/>
      <c r="CCO51" s="41"/>
      <c r="CCP51" s="41"/>
      <c r="CCQ51" s="76"/>
      <c r="CCR51" s="41"/>
      <c r="CCS51" s="41"/>
      <c r="CCT51" s="41"/>
      <c r="CCU51" s="41"/>
      <c r="CCV51" s="41"/>
      <c r="CCW51" s="139"/>
      <c r="CCX51" s="41"/>
      <c r="CCY51" s="41"/>
      <c r="CCZ51" s="41"/>
      <c r="CDA51" s="41"/>
      <c r="CDB51" s="41"/>
      <c r="CDC51" s="76"/>
      <c r="CDD51" s="66"/>
      <c r="CDE51" s="66"/>
      <c r="CDF51" s="66"/>
      <c r="CDG51" s="66"/>
      <c r="CDH51" s="41"/>
      <c r="CDI51" s="139"/>
      <c r="CDJ51" s="41"/>
      <c r="CDK51" s="41"/>
      <c r="CDL51" s="41"/>
      <c r="CDM51" s="41"/>
      <c r="CDN51" s="41"/>
      <c r="CDO51" s="76"/>
      <c r="CDP51" s="41"/>
      <c r="CDQ51" s="41"/>
      <c r="CDR51" s="41"/>
      <c r="CDS51" s="41"/>
      <c r="CDT51" s="41"/>
      <c r="CDU51" s="139"/>
      <c r="CDV51" s="41"/>
      <c r="CDW51" s="41"/>
      <c r="CDX51" s="41"/>
      <c r="CDY51" s="41"/>
      <c r="CDZ51" s="41"/>
      <c r="CEA51" s="76"/>
      <c r="CEB51" s="41"/>
      <c r="CEC51" s="41"/>
      <c r="CED51" s="41"/>
      <c r="CEE51" s="41"/>
      <c r="CEF51" s="41"/>
      <c r="CEG51" s="42"/>
      <c r="CEH51" s="40"/>
      <c r="CEI51" s="66"/>
      <c r="CEJ51" s="66"/>
      <c r="CEK51" s="66"/>
      <c r="CEL51" s="41"/>
      <c r="CEM51" s="134"/>
      <c r="CEN51" s="41"/>
      <c r="CEO51" s="41"/>
      <c r="CEP51" s="41"/>
      <c r="CEQ51" s="41"/>
      <c r="CER51" s="41"/>
      <c r="CES51" s="139"/>
      <c r="CET51" s="41"/>
      <c r="CEU51" s="41"/>
      <c r="CEV51" s="41"/>
      <c r="CEW51" s="41"/>
      <c r="CEX51" s="41"/>
      <c r="CEY51" s="76"/>
      <c r="CEZ51" s="41"/>
      <c r="CFA51" s="41"/>
      <c r="CFB51" s="41"/>
      <c r="CFC51" s="41"/>
      <c r="CFD51" s="41"/>
      <c r="CFE51" s="139"/>
      <c r="CFF51" s="41"/>
      <c r="CFG51" s="41"/>
      <c r="CFH51" s="41"/>
      <c r="CFI51" s="41"/>
      <c r="CFJ51" s="41"/>
      <c r="CFK51" s="76"/>
      <c r="CFL51" s="66"/>
      <c r="CFM51" s="66"/>
      <c r="CFN51" s="66"/>
      <c r="CFO51" s="66"/>
      <c r="CFP51" s="41"/>
      <c r="CFQ51" s="139"/>
      <c r="CFR51" s="41"/>
      <c r="CFS51" s="41"/>
      <c r="CFT51" s="41"/>
      <c r="CFU51" s="41"/>
      <c r="CFV51" s="41"/>
      <c r="CFW51" s="76"/>
      <c r="CFX51" s="41"/>
      <c r="CFY51" s="41"/>
      <c r="CFZ51" s="41"/>
      <c r="CGA51" s="41"/>
      <c r="CGB51" s="41"/>
      <c r="CGC51" s="139"/>
      <c r="CGD51" s="41"/>
      <c r="CGE51" s="41"/>
      <c r="CGF51" s="41"/>
      <c r="CGG51" s="41"/>
      <c r="CGH51" s="41"/>
      <c r="CGI51" s="76"/>
      <c r="CGJ51" s="41"/>
      <c r="CGK51" s="41"/>
      <c r="CGL51" s="41"/>
      <c r="CGM51" s="41"/>
      <c r="CGN51" s="41"/>
      <c r="CGO51" s="42"/>
      <c r="CGP51" s="40"/>
      <c r="CGQ51" s="66"/>
      <c r="CGR51" s="66"/>
      <c r="CGS51" s="66"/>
      <c r="CGT51" s="41"/>
      <c r="CGU51" s="134"/>
      <c r="CGV51" s="41"/>
      <c r="CGW51" s="41"/>
      <c r="CGX51" s="41"/>
      <c r="CGY51" s="41"/>
      <c r="CGZ51" s="41"/>
      <c r="CHA51" s="139"/>
      <c r="CHB51" s="41"/>
      <c r="CHC51" s="41"/>
      <c r="CHD51" s="41"/>
      <c r="CHE51" s="41"/>
      <c r="CHF51" s="41"/>
      <c r="CHG51" s="76"/>
      <c r="CHH51" s="41"/>
      <c r="CHI51" s="41"/>
      <c r="CHJ51" s="41"/>
      <c r="CHK51" s="41"/>
      <c r="CHL51" s="41"/>
      <c r="CHM51" s="139"/>
      <c r="CHN51" s="41"/>
      <c r="CHO51" s="41"/>
      <c r="CHP51" s="41"/>
      <c r="CHQ51" s="41"/>
      <c r="CHR51" s="41"/>
      <c r="CHS51" s="76"/>
      <c r="CHT51" s="66"/>
      <c r="CHU51" s="66"/>
      <c r="CHV51" s="66"/>
      <c r="CHW51" s="66"/>
      <c r="CHX51" s="41"/>
      <c r="CHY51" s="139"/>
      <c r="CHZ51" s="41"/>
      <c r="CIA51" s="41"/>
      <c r="CIB51" s="41"/>
      <c r="CIC51" s="41"/>
      <c r="CID51" s="41"/>
      <c r="CIE51" s="76"/>
      <c r="CIF51" s="41"/>
      <c r="CIG51" s="41"/>
      <c r="CIH51" s="41"/>
      <c r="CII51" s="41"/>
      <c r="CIJ51" s="41"/>
      <c r="CIK51" s="139"/>
      <c r="CIL51" s="41"/>
      <c r="CIM51" s="41"/>
      <c r="CIN51" s="41"/>
      <c r="CIO51" s="41"/>
      <c r="CIP51" s="41"/>
      <c r="CIQ51" s="76"/>
      <c r="CIR51" s="41"/>
      <c r="CIS51" s="41"/>
      <c r="CIT51" s="41"/>
      <c r="CIU51" s="41"/>
      <c r="CIV51" s="41"/>
      <c r="CIW51" s="42"/>
      <c r="CIX51" s="40"/>
      <c r="CIY51" s="66"/>
      <c r="CIZ51" s="66"/>
      <c r="CJA51" s="66"/>
      <c r="CJB51" s="41"/>
      <c r="CJC51" s="134"/>
      <c r="CJD51" s="41"/>
      <c r="CJE51" s="41"/>
      <c r="CJF51" s="41"/>
      <c r="CJG51" s="41"/>
      <c r="CJH51" s="41"/>
      <c r="CJI51" s="139"/>
      <c r="CJJ51" s="41"/>
      <c r="CJK51" s="41"/>
      <c r="CJL51" s="41"/>
      <c r="CJM51" s="41"/>
      <c r="CJN51" s="41"/>
      <c r="CJO51" s="76"/>
      <c r="CJP51" s="41"/>
      <c r="CJQ51" s="41"/>
      <c r="CJR51" s="41"/>
      <c r="CJS51" s="41"/>
      <c r="CJT51" s="41"/>
      <c r="CJU51" s="139"/>
      <c r="CJV51" s="41"/>
      <c r="CJW51" s="41"/>
      <c r="CJX51" s="41"/>
      <c r="CJY51" s="41"/>
      <c r="CJZ51" s="41"/>
      <c r="CKA51" s="76"/>
      <c r="CKB51" s="66"/>
      <c r="CKC51" s="66"/>
      <c r="CKD51" s="66"/>
      <c r="CKE51" s="66"/>
      <c r="CKF51" s="41"/>
      <c r="CKG51" s="139"/>
      <c r="CKH51" s="41"/>
      <c r="CKI51" s="41"/>
      <c r="CKJ51" s="41"/>
      <c r="CKK51" s="41"/>
      <c r="CKL51" s="41"/>
      <c r="CKM51" s="76"/>
      <c r="CKN51" s="41"/>
      <c r="CKO51" s="41"/>
      <c r="CKP51" s="41"/>
      <c r="CKQ51" s="41"/>
      <c r="CKR51" s="41"/>
      <c r="CKS51" s="139"/>
      <c r="CKT51" s="41"/>
      <c r="CKU51" s="41"/>
      <c r="CKV51" s="41"/>
      <c r="CKW51" s="41"/>
      <c r="CKX51" s="41"/>
      <c r="CKY51" s="76"/>
      <c r="CKZ51" s="41"/>
      <c r="CLA51" s="41"/>
      <c r="CLB51" s="41"/>
      <c r="CLC51" s="41"/>
      <c r="CLD51" s="41"/>
      <c r="CLE51" s="42"/>
      <c r="CLF51" s="40"/>
      <c r="CLG51" s="66"/>
      <c r="CLH51" s="66"/>
      <c r="CLI51" s="66"/>
      <c r="CLJ51" s="41"/>
      <c r="CLK51" s="134"/>
      <c r="CLL51" s="41"/>
      <c r="CLM51" s="41"/>
      <c r="CLN51" s="41"/>
      <c r="CLO51" s="41"/>
      <c r="CLP51" s="41"/>
      <c r="CLQ51" s="139"/>
      <c r="CLR51" s="41"/>
      <c r="CLS51" s="41"/>
      <c r="CLT51" s="41"/>
      <c r="CLU51" s="41"/>
      <c r="CLV51" s="41"/>
      <c r="CLW51" s="76"/>
      <c r="CLX51" s="41"/>
      <c r="CLY51" s="41"/>
      <c r="CLZ51" s="41"/>
      <c r="CMA51" s="41"/>
      <c r="CMB51" s="41"/>
      <c r="CMC51" s="139"/>
      <c r="CMD51" s="41"/>
      <c r="CME51" s="41"/>
      <c r="CMF51" s="41"/>
      <c r="CMG51" s="41"/>
      <c r="CMH51" s="41"/>
      <c r="CMI51" s="76"/>
      <c r="CMJ51" s="66"/>
      <c r="CMK51" s="66"/>
      <c r="CML51" s="66"/>
      <c r="CMM51" s="66"/>
      <c r="CMN51" s="41"/>
      <c r="CMO51" s="139"/>
      <c r="CMP51" s="41"/>
      <c r="CMQ51" s="41"/>
      <c r="CMR51" s="41"/>
      <c r="CMS51" s="41"/>
      <c r="CMT51" s="41"/>
      <c r="CMU51" s="76"/>
      <c r="CMV51" s="41"/>
      <c r="CMW51" s="41"/>
      <c r="CMX51" s="41"/>
      <c r="CMY51" s="41"/>
      <c r="CMZ51" s="41"/>
      <c r="CNA51" s="139"/>
      <c r="CNB51" s="41"/>
      <c r="CNC51" s="41"/>
      <c r="CND51" s="41"/>
      <c r="CNE51" s="41"/>
      <c r="CNF51" s="41"/>
      <c r="CNG51" s="76"/>
      <c r="CNH51" s="41"/>
      <c r="CNI51" s="41"/>
      <c r="CNJ51" s="41"/>
      <c r="CNK51" s="41"/>
      <c r="CNL51" s="41"/>
      <c r="CNM51" s="42"/>
      <c r="CNN51" s="40"/>
      <c r="CNO51" s="66"/>
      <c r="CNP51" s="66"/>
      <c r="CNQ51" s="66"/>
      <c r="CNR51" s="41"/>
      <c r="CNS51" s="134"/>
      <c r="CNT51" s="41"/>
      <c r="CNU51" s="41"/>
      <c r="CNV51" s="41"/>
      <c r="CNW51" s="41"/>
      <c r="CNX51" s="41"/>
      <c r="CNY51" s="139"/>
      <c r="CNZ51" s="41"/>
      <c r="COA51" s="41"/>
      <c r="COB51" s="41"/>
      <c r="COC51" s="41"/>
      <c r="COD51" s="41"/>
      <c r="COE51" s="76"/>
      <c r="COF51" s="41"/>
      <c r="COG51" s="41"/>
      <c r="COH51" s="41"/>
      <c r="COI51" s="41"/>
      <c r="COJ51" s="41"/>
      <c r="COK51" s="139"/>
      <c r="COL51" s="41"/>
      <c r="COM51" s="41"/>
      <c r="CON51" s="41"/>
      <c r="COO51" s="41"/>
      <c r="COP51" s="41"/>
      <c r="COQ51" s="76"/>
      <c r="COR51" s="66"/>
      <c r="COS51" s="66"/>
      <c r="COT51" s="66"/>
      <c r="COU51" s="66"/>
      <c r="COV51" s="41"/>
      <c r="COW51" s="139"/>
      <c r="COX51" s="41"/>
      <c r="COY51" s="41"/>
      <c r="COZ51" s="41"/>
      <c r="CPA51" s="41"/>
      <c r="CPB51" s="41"/>
      <c r="CPC51" s="76"/>
      <c r="CPD51" s="41"/>
      <c r="CPE51" s="41"/>
      <c r="CPF51" s="41"/>
      <c r="CPG51" s="41"/>
      <c r="CPH51" s="41"/>
      <c r="CPI51" s="139"/>
      <c r="CPJ51" s="41"/>
      <c r="CPK51" s="41"/>
      <c r="CPL51" s="41"/>
      <c r="CPM51" s="41"/>
      <c r="CPN51" s="41"/>
      <c r="CPO51" s="76"/>
      <c r="CPP51" s="41"/>
      <c r="CPQ51" s="41"/>
      <c r="CPR51" s="41"/>
      <c r="CPS51" s="41"/>
      <c r="CPT51" s="41"/>
      <c r="CPU51" s="42"/>
      <c r="CPV51" s="40"/>
      <c r="CPW51" s="66"/>
      <c r="CPX51" s="66"/>
      <c r="CPY51" s="66"/>
      <c r="CPZ51" s="41"/>
      <c r="CQA51" s="134"/>
      <c r="CQB51" s="41"/>
      <c r="CQC51" s="41"/>
      <c r="CQD51" s="41"/>
      <c r="CQE51" s="41"/>
      <c r="CQF51" s="41"/>
      <c r="CQG51" s="139"/>
      <c r="CQH51" s="41"/>
      <c r="CQI51" s="41"/>
      <c r="CQJ51" s="41"/>
      <c r="CQK51" s="41"/>
      <c r="CQL51" s="41"/>
      <c r="CQM51" s="76"/>
      <c r="CQN51" s="41"/>
      <c r="CQO51" s="41"/>
      <c r="CQP51" s="41"/>
      <c r="CQQ51" s="41"/>
      <c r="CQR51" s="41"/>
      <c r="CQS51" s="139"/>
      <c r="CQT51" s="41"/>
      <c r="CQU51" s="41"/>
      <c r="CQV51" s="41"/>
      <c r="CQW51" s="41"/>
      <c r="CQX51" s="41"/>
      <c r="CQY51" s="76"/>
      <c r="CQZ51" s="66"/>
      <c r="CRA51" s="66"/>
      <c r="CRB51" s="66"/>
      <c r="CRC51" s="66"/>
      <c r="CRD51" s="41"/>
      <c r="CRE51" s="139"/>
      <c r="CRF51" s="41"/>
      <c r="CRG51" s="41"/>
      <c r="CRH51" s="41"/>
      <c r="CRI51" s="41"/>
      <c r="CRJ51" s="41"/>
      <c r="CRK51" s="76"/>
      <c r="CRL51" s="41"/>
      <c r="CRM51" s="41"/>
      <c r="CRN51" s="41"/>
      <c r="CRO51" s="41"/>
      <c r="CRP51" s="41"/>
      <c r="CRQ51" s="139"/>
      <c r="CRR51" s="41"/>
      <c r="CRS51" s="41"/>
      <c r="CRT51" s="41"/>
      <c r="CRU51" s="41"/>
      <c r="CRV51" s="41"/>
      <c r="CRW51" s="76"/>
      <c r="CRX51" s="41"/>
      <c r="CRY51" s="41"/>
      <c r="CRZ51" s="41"/>
      <c r="CSA51" s="41"/>
      <c r="CSB51" s="41"/>
      <c r="CSC51" s="42"/>
      <c r="CSD51" s="90"/>
    </row>
    <row r="52" spans="1:2526" ht="20.100000000000001" customHeight="1" x14ac:dyDescent="0.25">
      <c r="A52" s="100" t="s">
        <v>19</v>
      </c>
      <c r="B52" s="63" t="str">
        <f>IF(LEN(C89)=0,"",C89)</f>
        <v/>
      </c>
      <c r="C52" s="218"/>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28"/>
      <c r="BLW52" s="67"/>
      <c r="BLX52" s="67"/>
      <c r="BLY52" s="67"/>
      <c r="BLZ52" s="29"/>
      <c r="BMA52" s="131"/>
      <c r="BMB52" s="29"/>
      <c r="BMC52" s="29"/>
      <c r="BMD52" s="29"/>
      <c r="BME52" s="29"/>
      <c r="BMF52" s="29"/>
      <c r="BMG52" s="136"/>
      <c r="BMH52" s="29"/>
      <c r="BMI52" s="29"/>
      <c r="BMJ52" s="29"/>
      <c r="BMK52" s="29"/>
      <c r="BML52" s="29"/>
      <c r="BMM52" s="75"/>
      <c r="BMN52" s="29"/>
      <c r="BMO52" s="29"/>
      <c r="BMP52" s="29"/>
      <c r="BMQ52" s="29"/>
      <c r="BMR52" s="29"/>
      <c r="BMS52" s="136"/>
      <c r="BMT52" s="29"/>
      <c r="BMU52" s="29"/>
      <c r="BMV52" s="29"/>
      <c r="BMW52" s="29"/>
      <c r="BMX52" s="29"/>
      <c r="BMY52" s="75"/>
      <c r="BMZ52" s="67"/>
      <c r="BNA52" s="67"/>
      <c r="BNB52" s="67"/>
      <c r="BNC52" s="67"/>
      <c r="BND52" s="29"/>
      <c r="BNE52" s="136"/>
      <c r="BNF52" s="29"/>
      <c r="BNG52" s="29"/>
      <c r="BNH52" s="29"/>
      <c r="BNI52" s="29"/>
      <c r="BNJ52" s="37"/>
      <c r="BNK52" s="75"/>
      <c r="BNL52" s="29"/>
      <c r="BNM52" s="29"/>
      <c r="BNN52" s="29"/>
      <c r="BNO52" s="29"/>
      <c r="BNP52" s="29"/>
      <c r="BNQ52" s="136"/>
      <c r="BNR52" s="29"/>
      <c r="BNS52" s="29"/>
      <c r="BNT52" s="29"/>
      <c r="BNU52" s="29"/>
      <c r="BNV52" s="29"/>
      <c r="BNW52" s="75"/>
      <c r="BNX52" s="29"/>
      <c r="BNY52" s="29"/>
      <c r="BNZ52" s="29"/>
      <c r="BOA52" s="29"/>
      <c r="BOB52" s="29"/>
      <c r="BOC52" s="30"/>
      <c r="BOD52" s="28"/>
      <c r="BOE52" s="67"/>
      <c r="BOF52" s="67"/>
      <c r="BOG52" s="67"/>
      <c r="BOH52" s="29"/>
      <c r="BOI52" s="131"/>
      <c r="BOJ52" s="29"/>
      <c r="BOK52" s="29"/>
      <c r="BOL52" s="29"/>
      <c r="BOM52" s="29"/>
      <c r="BON52" s="29"/>
      <c r="BOO52" s="136"/>
      <c r="BOP52" s="29"/>
      <c r="BOQ52" s="29"/>
      <c r="BOR52" s="29"/>
      <c r="BOS52" s="29"/>
      <c r="BOT52" s="29"/>
      <c r="BOU52" s="75"/>
      <c r="BOV52" s="29"/>
      <c r="BOW52" s="29"/>
      <c r="BOX52" s="29"/>
      <c r="BOY52" s="29"/>
      <c r="BOZ52" s="29"/>
      <c r="BPA52" s="136"/>
      <c r="BPB52" s="29"/>
      <c r="BPC52" s="29"/>
      <c r="BPD52" s="29"/>
      <c r="BPE52" s="29"/>
      <c r="BPF52" s="29"/>
      <c r="BPG52" s="75"/>
      <c r="BPH52" s="67"/>
      <c r="BPI52" s="67"/>
      <c r="BPJ52" s="67"/>
      <c r="BPK52" s="67"/>
      <c r="BPL52" s="29"/>
      <c r="BPM52" s="136"/>
      <c r="BPN52" s="29"/>
      <c r="BPO52" s="29"/>
      <c r="BPP52" s="29"/>
      <c r="BPQ52" s="29"/>
      <c r="BPR52" s="37"/>
      <c r="BPS52" s="75"/>
      <c r="BPT52" s="29"/>
      <c r="BPU52" s="29"/>
      <c r="BPV52" s="29"/>
      <c r="BPW52" s="29"/>
      <c r="BPX52" s="29"/>
      <c r="BPY52" s="136"/>
      <c r="BPZ52" s="29"/>
      <c r="BQA52" s="29"/>
      <c r="BQB52" s="29"/>
      <c r="BQC52" s="29"/>
      <c r="BQD52" s="29"/>
      <c r="BQE52" s="75"/>
      <c r="BQF52" s="29"/>
      <c r="BQG52" s="29"/>
      <c r="BQH52" s="29"/>
      <c r="BQI52" s="29"/>
      <c r="BQJ52" s="29"/>
      <c r="BQK52" s="30"/>
      <c r="BQL52" s="28"/>
      <c r="BQM52" s="67"/>
      <c r="BQN52" s="67"/>
      <c r="BQO52" s="67"/>
      <c r="BQP52" s="29"/>
      <c r="BQQ52" s="131"/>
      <c r="BQR52" s="29"/>
      <c r="BQS52" s="29"/>
      <c r="BQT52" s="29"/>
      <c r="BQU52" s="29"/>
      <c r="BQV52" s="29"/>
      <c r="BQW52" s="136"/>
      <c r="BQX52" s="29"/>
      <c r="BQY52" s="29"/>
      <c r="BQZ52" s="29"/>
      <c r="BRA52" s="29"/>
      <c r="BRB52" s="29"/>
      <c r="BRC52" s="75"/>
      <c r="BRD52" s="29"/>
      <c r="BRE52" s="29"/>
      <c r="BRF52" s="29"/>
      <c r="BRG52" s="29"/>
      <c r="BRH52" s="29"/>
      <c r="BRI52" s="136"/>
      <c r="BRJ52" s="29"/>
      <c r="BRK52" s="29"/>
      <c r="BRL52" s="29"/>
      <c r="BRM52" s="29"/>
      <c r="BRN52" s="29"/>
      <c r="BRO52" s="75"/>
      <c r="BRP52" s="67"/>
      <c r="BRQ52" s="67"/>
      <c r="BRR52" s="67"/>
      <c r="BRS52" s="67"/>
      <c r="BRT52" s="29"/>
      <c r="BRU52" s="136"/>
      <c r="BRV52" s="29"/>
      <c r="BRW52" s="29"/>
      <c r="BRX52" s="29"/>
      <c r="BRY52" s="29"/>
      <c r="BRZ52" s="37"/>
      <c r="BSA52" s="75"/>
      <c r="BSB52" s="29"/>
      <c r="BSC52" s="29"/>
      <c r="BSD52" s="29"/>
      <c r="BSE52" s="29"/>
      <c r="BSF52" s="29"/>
      <c r="BSG52" s="136"/>
      <c r="BSH52" s="29"/>
      <c r="BSI52" s="29"/>
      <c r="BSJ52" s="29"/>
      <c r="BSK52" s="29"/>
      <c r="BSL52" s="29"/>
      <c r="BSM52" s="75"/>
      <c r="BSN52" s="29"/>
      <c r="BSO52" s="29"/>
      <c r="BSP52" s="29"/>
      <c r="BSQ52" s="29"/>
      <c r="BSR52" s="29"/>
      <c r="BSS52" s="30"/>
      <c r="BST52" s="28"/>
      <c r="BSU52" s="67"/>
      <c r="BSV52" s="67"/>
      <c r="BSW52" s="67"/>
      <c r="BSX52" s="29"/>
      <c r="BSY52" s="131"/>
      <c r="BSZ52" s="29"/>
      <c r="BTA52" s="29"/>
      <c r="BTB52" s="29"/>
      <c r="BTC52" s="29"/>
      <c r="BTD52" s="29"/>
      <c r="BTE52" s="136"/>
      <c r="BTF52" s="29"/>
      <c r="BTG52" s="29"/>
      <c r="BTH52" s="29"/>
      <c r="BTI52" s="29"/>
      <c r="BTJ52" s="29"/>
      <c r="BTK52" s="75"/>
      <c r="BTL52" s="29"/>
      <c r="BTM52" s="29"/>
      <c r="BTN52" s="29"/>
      <c r="BTO52" s="29"/>
      <c r="BTP52" s="29"/>
      <c r="BTQ52" s="136"/>
      <c r="BTR52" s="29"/>
      <c r="BTS52" s="29"/>
      <c r="BTT52" s="29"/>
      <c r="BTU52" s="29"/>
      <c r="BTV52" s="29"/>
      <c r="BTW52" s="75"/>
      <c r="BTX52" s="67"/>
      <c r="BTY52" s="67"/>
      <c r="BTZ52" s="67"/>
      <c r="BUA52" s="67"/>
      <c r="BUB52" s="29"/>
      <c r="BUC52" s="136"/>
      <c r="BUD52" s="29"/>
      <c r="BUE52" s="29"/>
      <c r="BUF52" s="29"/>
      <c r="BUG52" s="29"/>
      <c r="BUH52" s="37"/>
      <c r="BUI52" s="75"/>
      <c r="BUJ52" s="29"/>
      <c r="BUK52" s="29"/>
      <c r="BUL52" s="29"/>
      <c r="BUM52" s="29"/>
      <c r="BUN52" s="29"/>
      <c r="BUO52" s="136"/>
      <c r="BUP52" s="29"/>
      <c r="BUQ52" s="29"/>
      <c r="BUR52" s="29"/>
      <c r="BUS52" s="29"/>
      <c r="BUT52" s="29"/>
      <c r="BUU52" s="75"/>
      <c r="BUV52" s="29"/>
      <c r="BUW52" s="29"/>
      <c r="BUX52" s="29"/>
      <c r="BUY52" s="29"/>
      <c r="BUZ52" s="29"/>
      <c r="BVA52" s="30"/>
      <c r="BVB52" s="28"/>
      <c r="BVC52" s="67"/>
      <c r="BVD52" s="67"/>
      <c r="BVE52" s="67"/>
      <c r="BVF52" s="29"/>
      <c r="BVG52" s="131"/>
      <c r="BVH52" s="29"/>
      <c r="BVI52" s="29"/>
      <c r="BVJ52" s="29"/>
      <c r="BVK52" s="29"/>
      <c r="BVL52" s="29"/>
      <c r="BVM52" s="136"/>
      <c r="BVN52" s="29"/>
      <c r="BVO52" s="29"/>
      <c r="BVP52" s="29"/>
      <c r="BVQ52" s="29"/>
      <c r="BVR52" s="29"/>
      <c r="BVS52" s="75"/>
      <c r="BVT52" s="29"/>
      <c r="BVU52" s="29"/>
      <c r="BVV52" s="29"/>
      <c r="BVW52" s="29"/>
      <c r="BVX52" s="29"/>
      <c r="BVY52" s="136"/>
      <c r="BVZ52" s="29"/>
      <c r="BWA52" s="29"/>
      <c r="BWB52" s="29"/>
      <c r="BWC52" s="29"/>
      <c r="BWD52" s="29"/>
      <c r="BWE52" s="75"/>
      <c r="BWF52" s="67"/>
      <c r="BWG52" s="67"/>
      <c r="BWH52" s="67"/>
      <c r="BWI52" s="67"/>
      <c r="BWJ52" s="29"/>
      <c r="BWK52" s="136"/>
      <c r="BWL52" s="29"/>
      <c r="BWM52" s="29"/>
      <c r="BWN52" s="29"/>
      <c r="BWO52" s="29"/>
      <c r="BWP52" s="37"/>
      <c r="BWQ52" s="75"/>
      <c r="BWR52" s="29"/>
      <c r="BWS52" s="29"/>
      <c r="BWT52" s="29"/>
      <c r="BWU52" s="29"/>
      <c r="BWV52" s="29"/>
      <c r="BWW52" s="136"/>
      <c r="BWX52" s="29"/>
      <c r="BWY52" s="29"/>
      <c r="BWZ52" s="29"/>
      <c r="BXA52" s="29"/>
      <c r="BXB52" s="29"/>
      <c r="BXC52" s="75"/>
      <c r="BXD52" s="29"/>
      <c r="BXE52" s="29"/>
      <c r="BXF52" s="29"/>
      <c r="BXG52" s="29"/>
      <c r="BXH52" s="29"/>
      <c r="BXI52" s="30"/>
      <c r="BXJ52" s="28"/>
      <c r="BXK52" s="67"/>
      <c r="BXL52" s="67"/>
      <c r="BXM52" s="67"/>
      <c r="BXN52" s="29"/>
      <c r="BXO52" s="131"/>
      <c r="BXP52" s="29"/>
      <c r="BXQ52" s="29"/>
      <c r="BXR52" s="29"/>
      <c r="BXS52" s="29"/>
      <c r="BXT52" s="29"/>
      <c r="BXU52" s="136"/>
      <c r="BXV52" s="29"/>
      <c r="BXW52" s="29"/>
      <c r="BXX52" s="29"/>
      <c r="BXY52" s="29"/>
      <c r="BXZ52" s="29"/>
      <c r="BYA52" s="75"/>
      <c r="BYB52" s="29"/>
      <c r="BYC52" s="29"/>
      <c r="BYD52" s="29"/>
      <c r="BYE52" s="29"/>
      <c r="BYF52" s="29"/>
      <c r="BYG52" s="136"/>
      <c r="BYH52" s="29"/>
      <c r="BYI52" s="29"/>
      <c r="BYJ52" s="29"/>
      <c r="BYK52" s="29"/>
      <c r="BYL52" s="29"/>
      <c r="BYM52" s="75"/>
      <c r="BYN52" s="67"/>
      <c r="BYO52" s="67"/>
      <c r="BYP52" s="67"/>
      <c r="BYQ52" s="67"/>
      <c r="BYR52" s="29"/>
      <c r="BYS52" s="136"/>
      <c r="BYT52" s="29"/>
      <c r="BYU52" s="29"/>
      <c r="BYV52" s="29"/>
      <c r="BYW52" s="29"/>
      <c r="BYX52" s="37"/>
      <c r="BYY52" s="75"/>
      <c r="BYZ52" s="29"/>
      <c r="BZA52" s="29"/>
      <c r="BZB52" s="29"/>
      <c r="BZC52" s="29"/>
      <c r="BZD52" s="29"/>
      <c r="BZE52" s="136"/>
      <c r="BZF52" s="29"/>
      <c r="BZG52" s="29"/>
      <c r="BZH52" s="29"/>
      <c r="BZI52" s="29"/>
      <c r="BZJ52" s="29"/>
      <c r="BZK52" s="75"/>
      <c r="BZL52" s="29"/>
      <c r="BZM52" s="29"/>
      <c r="BZN52" s="29"/>
      <c r="BZO52" s="29"/>
      <c r="BZP52" s="29"/>
      <c r="BZQ52" s="30"/>
      <c r="BZR52" s="28"/>
      <c r="BZS52" s="67"/>
      <c r="BZT52" s="67"/>
      <c r="BZU52" s="67"/>
      <c r="BZV52" s="29"/>
      <c r="BZW52" s="131"/>
      <c r="BZX52" s="29"/>
      <c r="BZY52" s="29"/>
      <c r="BZZ52" s="29"/>
      <c r="CAA52" s="29"/>
      <c r="CAB52" s="29"/>
      <c r="CAC52" s="136"/>
      <c r="CAD52" s="29"/>
      <c r="CAE52" s="29"/>
      <c r="CAF52" s="29"/>
      <c r="CAG52" s="29"/>
      <c r="CAH52" s="29"/>
      <c r="CAI52" s="75"/>
      <c r="CAJ52" s="29"/>
      <c r="CAK52" s="29"/>
      <c r="CAL52" s="29"/>
      <c r="CAM52" s="29"/>
      <c r="CAN52" s="29"/>
      <c r="CAO52" s="136"/>
      <c r="CAP52" s="29"/>
      <c r="CAQ52" s="29"/>
      <c r="CAR52" s="29"/>
      <c r="CAS52" s="29"/>
      <c r="CAT52" s="29"/>
      <c r="CAU52" s="75"/>
      <c r="CAV52" s="67"/>
      <c r="CAW52" s="67"/>
      <c r="CAX52" s="67"/>
      <c r="CAY52" s="67"/>
      <c r="CAZ52" s="29"/>
      <c r="CBA52" s="136"/>
      <c r="CBB52" s="29"/>
      <c r="CBC52" s="29"/>
      <c r="CBD52" s="29"/>
      <c r="CBE52" s="29"/>
      <c r="CBF52" s="37"/>
      <c r="CBG52" s="75"/>
      <c r="CBH52" s="29"/>
      <c r="CBI52" s="29"/>
      <c r="CBJ52" s="29"/>
      <c r="CBK52" s="29"/>
      <c r="CBL52" s="29"/>
      <c r="CBM52" s="136"/>
      <c r="CBN52" s="29"/>
      <c r="CBO52" s="29"/>
      <c r="CBP52" s="29"/>
      <c r="CBQ52" s="29"/>
      <c r="CBR52" s="29"/>
      <c r="CBS52" s="75"/>
      <c r="CBT52" s="29"/>
      <c r="CBU52" s="29"/>
      <c r="CBV52" s="29"/>
      <c r="CBW52" s="29"/>
      <c r="CBX52" s="29"/>
      <c r="CBY52" s="30"/>
      <c r="CBZ52" s="28"/>
      <c r="CCA52" s="67"/>
      <c r="CCB52" s="67"/>
      <c r="CCC52" s="67"/>
      <c r="CCD52" s="29"/>
      <c r="CCE52" s="131"/>
      <c r="CCF52" s="29"/>
      <c r="CCG52" s="29"/>
      <c r="CCH52" s="29"/>
      <c r="CCI52" s="29"/>
      <c r="CCJ52" s="29"/>
      <c r="CCK52" s="136"/>
      <c r="CCL52" s="29"/>
      <c r="CCM52" s="29"/>
      <c r="CCN52" s="29"/>
      <c r="CCO52" s="29"/>
      <c r="CCP52" s="29"/>
      <c r="CCQ52" s="75"/>
      <c r="CCR52" s="29"/>
      <c r="CCS52" s="29"/>
      <c r="CCT52" s="29"/>
      <c r="CCU52" s="29"/>
      <c r="CCV52" s="29"/>
      <c r="CCW52" s="136"/>
      <c r="CCX52" s="29"/>
      <c r="CCY52" s="29"/>
      <c r="CCZ52" s="29"/>
      <c r="CDA52" s="29"/>
      <c r="CDB52" s="29"/>
      <c r="CDC52" s="75"/>
      <c r="CDD52" s="67"/>
      <c r="CDE52" s="67"/>
      <c r="CDF52" s="67"/>
      <c r="CDG52" s="67"/>
      <c r="CDH52" s="29"/>
      <c r="CDI52" s="136"/>
      <c r="CDJ52" s="29"/>
      <c r="CDK52" s="29"/>
      <c r="CDL52" s="29"/>
      <c r="CDM52" s="29"/>
      <c r="CDN52" s="37"/>
      <c r="CDO52" s="75"/>
      <c r="CDP52" s="29"/>
      <c r="CDQ52" s="29"/>
      <c r="CDR52" s="29"/>
      <c r="CDS52" s="29"/>
      <c r="CDT52" s="29"/>
      <c r="CDU52" s="136"/>
      <c r="CDV52" s="29"/>
      <c r="CDW52" s="29"/>
      <c r="CDX52" s="29"/>
      <c r="CDY52" s="29"/>
      <c r="CDZ52" s="29"/>
      <c r="CEA52" s="75"/>
      <c r="CEB52" s="29"/>
      <c r="CEC52" s="29"/>
      <c r="CED52" s="29"/>
      <c r="CEE52" s="29"/>
      <c r="CEF52" s="29"/>
      <c r="CEG52" s="30"/>
      <c r="CEH52" s="28"/>
      <c r="CEI52" s="67"/>
      <c r="CEJ52" s="67"/>
      <c r="CEK52" s="67"/>
      <c r="CEL52" s="29"/>
      <c r="CEM52" s="131"/>
      <c r="CEN52" s="29"/>
      <c r="CEO52" s="29"/>
      <c r="CEP52" s="29"/>
      <c r="CEQ52" s="29"/>
      <c r="CER52" s="29"/>
      <c r="CES52" s="136"/>
      <c r="CET52" s="29"/>
      <c r="CEU52" s="29"/>
      <c r="CEV52" s="29"/>
      <c r="CEW52" s="29"/>
      <c r="CEX52" s="29"/>
      <c r="CEY52" s="75"/>
      <c r="CEZ52" s="29"/>
      <c r="CFA52" s="29"/>
      <c r="CFB52" s="29"/>
      <c r="CFC52" s="29"/>
      <c r="CFD52" s="29"/>
      <c r="CFE52" s="136"/>
      <c r="CFF52" s="29"/>
      <c r="CFG52" s="29"/>
      <c r="CFH52" s="29"/>
      <c r="CFI52" s="29"/>
      <c r="CFJ52" s="29"/>
      <c r="CFK52" s="75"/>
      <c r="CFL52" s="67"/>
      <c r="CFM52" s="67"/>
      <c r="CFN52" s="67"/>
      <c r="CFO52" s="67"/>
      <c r="CFP52" s="29"/>
      <c r="CFQ52" s="136"/>
      <c r="CFR52" s="29"/>
      <c r="CFS52" s="29"/>
      <c r="CFT52" s="29"/>
      <c r="CFU52" s="29"/>
      <c r="CFV52" s="37"/>
      <c r="CFW52" s="75"/>
      <c r="CFX52" s="29"/>
      <c r="CFY52" s="29"/>
      <c r="CFZ52" s="29"/>
      <c r="CGA52" s="29"/>
      <c r="CGB52" s="29"/>
      <c r="CGC52" s="136"/>
      <c r="CGD52" s="29"/>
      <c r="CGE52" s="29"/>
      <c r="CGF52" s="29"/>
      <c r="CGG52" s="29"/>
      <c r="CGH52" s="29"/>
      <c r="CGI52" s="75"/>
      <c r="CGJ52" s="29"/>
      <c r="CGK52" s="29"/>
      <c r="CGL52" s="29"/>
      <c r="CGM52" s="29"/>
      <c r="CGN52" s="29"/>
      <c r="CGO52" s="30"/>
      <c r="CGP52" s="28"/>
      <c r="CGQ52" s="67"/>
      <c r="CGR52" s="67"/>
      <c r="CGS52" s="67"/>
      <c r="CGT52" s="29"/>
      <c r="CGU52" s="131"/>
      <c r="CGV52" s="29"/>
      <c r="CGW52" s="29"/>
      <c r="CGX52" s="29"/>
      <c r="CGY52" s="29"/>
      <c r="CGZ52" s="29"/>
      <c r="CHA52" s="136"/>
      <c r="CHB52" s="29"/>
      <c r="CHC52" s="29"/>
      <c r="CHD52" s="29"/>
      <c r="CHE52" s="29"/>
      <c r="CHF52" s="29"/>
      <c r="CHG52" s="75"/>
      <c r="CHH52" s="29"/>
      <c r="CHI52" s="29"/>
      <c r="CHJ52" s="29"/>
      <c r="CHK52" s="29"/>
      <c r="CHL52" s="29"/>
      <c r="CHM52" s="136"/>
      <c r="CHN52" s="29"/>
      <c r="CHO52" s="29"/>
      <c r="CHP52" s="29"/>
      <c r="CHQ52" s="29"/>
      <c r="CHR52" s="29"/>
      <c r="CHS52" s="75"/>
      <c r="CHT52" s="67"/>
      <c r="CHU52" s="67"/>
      <c r="CHV52" s="67"/>
      <c r="CHW52" s="67"/>
      <c r="CHX52" s="29"/>
      <c r="CHY52" s="136"/>
      <c r="CHZ52" s="29"/>
      <c r="CIA52" s="29"/>
      <c r="CIB52" s="29"/>
      <c r="CIC52" s="29"/>
      <c r="CID52" s="37"/>
      <c r="CIE52" s="75"/>
      <c r="CIF52" s="29"/>
      <c r="CIG52" s="29"/>
      <c r="CIH52" s="29"/>
      <c r="CII52" s="29"/>
      <c r="CIJ52" s="29"/>
      <c r="CIK52" s="136"/>
      <c r="CIL52" s="29"/>
      <c r="CIM52" s="29"/>
      <c r="CIN52" s="29"/>
      <c r="CIO52" s="29"/>
      <c r="CIP52" s="29"/>
      <c r="CIQ52" s="75"/>
      <c r="CIR52" s="29"/>
      <c r="CIS52" s="29"/>
      <c r="CIT52" s="29"/>
      <c r="CIU52" s="29"/>
      <c r="CIV52" s="29"/>
      <c r="CIW52" s="30"/>
      <c r="CIX52" s="28"/>
      <c r="CIY52" s="67"/>
      <c r="CIZ52" s="67"/>
      <c r="CJA52" s="67"/>
      <c r="CJB52" s="29"/>
      <c r="CJC52" s="131"/>
      <c r="CJD52" s="29"/>
      <c r="CJE52" s="29"/>
      <c r="CJF52" s="29"/>
      <c r="CJG52" s="29"/>
      <c r="CJH52" s="29"/>
      <c r="CJI52" s="136"/>
      <c r="CJJ52" s="29"/>
      <c r="CJK52" s="29"/>
      <c r="CJL52" s="29"/>
      <c r="CJM52" s="29"/>
      <c r="CJN52" s="29"/>
      <c r="CJO52" s="75"/>
      <c r="CJP52" s="29"/>
      <c r="CJQ52" s="29"/>
      <c r="CJR52" s="29"/>
      <c r="CJS52" s="29"/>
      <c r="CJT52" s="29"/>
      <c r="CJU52" s="136"/>
      <c r="CJV52" s="29"/>
      <c r="CJW52" s="29"/>
      <c r="CJX52" s="29"/>
      <c r="CJY52" s="29"/>
      <c r="CJZ52" s="29"/>
      <c r="CKA52" s="75"/>
      <c r="CKB52" s="67"/>
      <c r="CKC52" s="67"/>
      <c r="CKD52" s="67"/>
      <c r="CKE52" s="67"/>
      <c r="CKF52" s="29"/>
      <c r="CKG52" s="136"/>
      <c r="CKH52" s="29"/>
      <c r="CKI52" s="29"/>
      <c r="CKJ52" s="29"/>
      <c r="CKK52" s="29"/>
      <c r="CKL52" s="37"/>
      <c r="CKM52" s="75"/>
      <c r="CKN52" s="29"/>
      <c r="CKO52" s="29"/>
      <c r="CKP52" s="29"/>
      <c r="CKQ52" s="29"/>
      <c r="CKR52" s="29"/>
      <c r="CKS52" s="136"/>
      <c r="CKT52" s="29"/>
      <c r="CKU52" s="29"/>
      <c r="CKV52" s="29"/>
      <c r="CKW52" s="29"/>
      <c r="CKX52" s="29"/>
      <c r="CKY52" s="75"/>
      <c r="CKZ52" s="29"/>
      <c r="CLA52" s="29"/>
      <c r="CLB52" s="29"/>
      <c r="CLC52" s="29"/>
      <c r="CLD52" s="29"/>
      <c r="CLE52" s="30"/>
      <c r="CLF52" s="28"/>
      <c r="CLG52" s="67"/>
      <c r="CLH52" s="67"/>
      <c r="CLI52" s="67"/>
      <c r="CLJ52" s="29"/>
      <c r="CLK52" s="131"/>
      <c r="CLL52" s="29"/>
      <c r="CLM52" s="29"/>
      <c r="CLN52" s="29"/>
      <c r="CLO52" s="29"/>
      <c r="CLP52" s="29"/>
      <c r="CLQ52" s="136"/>
      <c r="CLR52" s="29"/>
      <c r="CLS52" s="29"/>
      <c r="CLT52" s="29"/>
      <c r="CLU52" s="29"/>
      <c r="CLV52" s="29"/>
      <c r="CLW52" s="75"/>
      <c r="CLX52" s="29"/>
      <c r="CLY52" s="29"/>
      <c r="CLZ52" s="29"/>
      <c r="CMA52" s="29"/>
      <c r="CMB52" s="29"/>
      <c r="CMC52" s="136"/>
      <c r="CMD52" s="29"/>
      <c r="CME52" s="29"/>
      <c r="CMF52" s="29"/>
      <c r="CMG52" s="29"/>
      <c r="CMH52" s="29"/>
      <c r="CMI52" s="75"/>
      <c r="CMJ52" s="67"/>
      <c r="CMK52" s="67"/>
      <c r="CML52" s="67"/>
      <c r="CMM52" s="67"/>
      <c r="CMN52" s="29"/>
      <c r="CMO52" s="136"/>
      <c r="CMP52" s="29"/>
      <c r="CMQ52" s="29"/>
      <c r="CMR52" s="29"/>
      <c r="CMS52" s="29"/>
      <c r="CMT52" s="37"/>
      <c r="CMU52" s="75"/>
      <c r="CMV52" s="29"/>
      <c r="CMW52" s="29"/>
      <c r="CMX52" s="29"/>
      <c r="CMY52" s="29"/>
      <c r="CMZ52" s="29"/>
      <c r="CNA52" s="136"/>
      <c r="CNB52" s="29"/>
      <c r="CNC52" s="29"/>
      <c r="CND52" s="29"/>
      <c r="CNE52" s="29"/>
      <c r="CNF52" s="29"/>
      <c r="CNG52" s="75"/>
      <c r="CNH52" s="29"/>
      <c r="CNI52" s="29"/>
      <c r="CNJ52" s="29"/>
      <c r="CNK52" s="29"/>
      <c r="CNL52" s="29"/>
      <c r="CNM52" s="30"/>
      <c r="CNN52" s="28"/>
      <c r="CNO52" s="67"/>
      <c r="CNP52" s="67"/>
      <c r="CNQ52" s="67"/>
      <c r="CNR52" s="29"/>
      <c r="CNS52" s="131"/>
      <c r="CNT52" s="29"/>
      <c r="CNU52" s="29"/>
      <c r="CNV52" s="29"/>
      <c r="CNW52" s="29"/>
      <c r="CNX52" s="29"/>
      <c r="CNY52" s="136"/>
      <c r="CNZ52" s="29"/>
      <c r="COA52" s="29"/>
      <c r="COB52" s="29"/>
      <c r="COC52" s="29"/>
      <c r="COD52" s="29"/>
      <c r="COE52" s="75"/>
      <c r="COF52" s="29"/>
      <c r="COG52" s="29"/>
      <c r="COH52" s="29"/>
      <c r="COI52" s="29"/>
      <c r="COJ52" s="29"/>
      <c r="COK52" s="136"/>
      <c r="COL52" s="29"/>
      <c r="COM52" s="29"/>
      <c r="CON52" s="29"/>
      <c r="COO52" s="29"/>
      <c r="COP52" s="29"/>
      <c r="COQ52" s="75"/>
      <c r="COR52" s="67"/>
      <c r="COS52" s="67"/>
      <c r="COT52" s="67"/>
      <c r="COU52" s="67"/>
      <c r="COV52" s="29"/>
      <c r="COW52" s="136"/>
      <c r="COX52" s="29"/>
      <c r="COY52" s="29"/>
      <c r="COZ52" s="29"/>
      <c r="CPA52" s="29"/>
      <c r="CPB52" s="37"/>
      <c r="CPC52" s="75"/>
      <c r="CPD52" s="29"/>
      <c r="CPE52" s="29"/>
      <c r="CPF52" s="29"/>
      <c r="CPG52" s="29"/>
      <c r="CPH52" s="29"/>
      <c r="CPI52" s="136"/>
      <c r="CPJ52" s="29"/>
      <c r="CPK52" s="29"/>
      <c r="CPL52" s="29"/>
      <c r="CPM52" s="29"/>
      <c r="CPN52" s="29"/>
      <c r="CPO52" s="75"/>
      <c r="CPP52" s="29"/>
      <c r="CPQ52" s="29"/>
      <c r="CPR52" s="29"/>
      <c r="CPS52" s="29"/>
      <c r="CPT52" s="29"/>
      <c r="CPU52" s="30"/>
      <c r="CPV52" s="28"/>
      <c r="CPW52" s="67"/>
      <c r="CPX52" s="67"/>
      <c r="CPY52" s="67"/>
      <c r="CPZ52" s="29"/>
      <c r="CQA52" s="131"/>
      <c r="CQB52" s="29"/>
      <c r="CQC52" s="29"/>
      <c r="CQD52" s="29"/>
      <c r="CQE52" s="29"/>
      <c r="CQF52" s="29"/>
      <c r="CQG52" s="136"/>
      <c r="CQH52" s="29"/>
      <c r="CQI52" s="29"/>
      <c r="CQJ52" s="29"/>
      <c r="CQK52" s="29"/>
      <c r="CQL52" s="29"/>
      <c r="CQM52" s="75"/>
      <c r="CQN52" s="29"/>
      <c r="CQO52" s="29"/>
      <c r="CQP52" s="29"/>
      <c r="CQQ52" s="29"/>
      <c r="CQR52" s="29"/>
      <c r="CQS52" s="136"/>
      <c r="CQT52" s="29"/>
      <c r="CQU52" s="29"/>
      <c r="CQV52" s="29"/>
      <c r="CQW52" s="29"/>
      <c r="CQX52" s="29"/>
      <c r="CQY52" s="75"/>
      <c r="CQZ52" s="67"/>
      <c r="CRA52" s="67"/>
      <c r="CRB52" s="67"/>
      <c r="CRC52" s="67"/>
      <c r="CRD52" s="29"/>
      <c r="CRE52" s="136"/>
      <c r="CRF52" s="29"/>
      <c r="CRG52" s="29"/>
      <c r="CRH52" s="29"/>
      <c r="CRI52" s="29"/>
      <c r="CRJ52" s="37"/>
      <c r="CRK52" s="75"/>
      <c r="CRL52" s="29"/>
      <c r="CRM52" s="29"/>
      <c r="CRN52" s="29"/>
      <c r="CRO52" s="29"/>
      <c r="CRP52" s="29"/>
      <c r="CRQ52" s="136"/>
      <c r="CRR52" s="29"/>
      <c r="CRS52" s="29"/>
      <c r="CRT52" s="29"/>
      <c r="CRU52" s="29"/>
      <c r="CRV52" s="29"/>
      <c r="CRW52" s="75"/>
      <c r="CRX52" s="29"/>
      <c r="CRY52" s="29"/>
      <c r="CRZ52" s="29"/>
      <c r="CSA52" s="29"/>
      <c r="CSB52" s="29"/>
      <c r="CSC52" s="30"/>
      <c r="CSD52" s="90"/>
    </row>
    <row r="53" spans="1:2526" ht="20.100000000000001" customHeight="1" x14ac:dyDescent="0.25">
      <c r="A53" s="100" t="s">
        <v>18</v>
      </c>
      <c r="B53" s="63" t="str">
        <f>IF(LEN(C91)=0,"",C91)</f>
        <v/>
      </c>
      <c r="C53" s="211" t="s">
        <v>57</v>
      </c>
      <c r="D53" s="146" t="str">
        <f t="shared" si="0"/>
        <v>3h45min</v>
      </c>
      <c r="E53" s="31">
        <v>45</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32"/>
      <c r="BLW53" s="64"/>
      <c r="BLX53" s="64"/>
      <c r="BLY53" s="64"/>
      <c r="BLZ53" s="33"/>
      <c r="BMA53" s="132"/>
      <c r="BMB53" s="33"/>
      <c r="BMC53" s="33"/>
      <c r="BMD53" s="33"/>
      <c r="BME53" s="33"/>
      <c r="BMF53" s="33"/>
      <c r="BMG53" s="137"/>
      <c r="BMH53" s="33"/>
      <c r="BMI53" s="33"/>
      <c r="BMJ53" s="33"/>
      <c r="BMK53" s="33"/>
      <c r="BML53" s="33"/>
      <c r="BMM53" s="74"/>
      <c r="BMN53" s="33"/>
      <c r="BMO53" s="33"/>
      <c r="BMP53" s="33"/>
      <c r="BMQ53" s="33"/>
      <c r="BMR53" s="33"/>
      <c r="BMS53" s="137"/>
      <c r="BMT53" s="33"/>
      <c r="BMU53" s="33"/>
      <c r="BMV53" s="33"/>
      <c r="BMW53" s="33"/>
      <c r="BMX53" s="33"/>
      <c r="BMY53" s="74"/>
      <c r="BMZ53" s="64"/>
      <c r="BNA53" s="64"/>
      <c r="BNB53" s="64"/>
      <c r="BNC53" s="64"/>
      <c r="BND53" s="33"/>
      <c r="BNE53" s="137"/>
      <c r="BNF53" s="33"/>
      <c r="BNG53" s="33"/>
      <c r="BNH53" s="33"/>
      <c r="BNI53" s="33"/>
      <c r="BNJ53" s="33"/>
      <c r="BNK53" s="74"/>
      <c r="BNL53" s="33"/>
      <c r="BNM53" s="33"/>
      <c r="BNN53" s="33"/>
      <c r="BNO53" s="33"/>
      <c r="BNP53" s="33"/>
      <c r="BNQ53" s="137"/>
      <c r="BNR53" s="33"/>
      <c r="BNS53" s="33"/>
      <c r="BNT53" s="33"/>
      <c r="BNU53" s="33"/>
      <c r="BNV53" s="33"/>
      <c r="BNW53" s="74"/>
      <c r="BNX53" s="33"/>
      <c r="BNY53" s="33"/>
      <c r="BNZ53" s="33"/>
      <c r="BOA53" s="33"/>
      <c r="BOB53" s="33"/>
      <c r="BOC53" s="34"/>
      <c r="BOD53" s="32"/>
      <c r="BOE53" s="64"/>
      <c r="BOF53" s="64"/>
      <c r="BOG53" s="64"/>
      <c r="BOH53" s="33"/>
      <c r="BOI53" s="132"/>
      <c r="BOJ53" s="33"/>
      <c r="BOK53" s="33"/>
      <c r="BOL53" s="33"/>
      <c r="BOM53" s="33"/>
      <c r="BON53" s="33"/>
      <c r="BOO53" s="137"/>
      <c r="BOP53" s="33"/>
      <c r="BOQ53" s="33"/>
      <c r="BOR53" s="33"/>
      <c r="BOS53" s="33"/>
      <c r="BOT53" s="33"/>
      <c r="BOU53" s="74"/>
      <c r="BOV53" s="33"/>
      <c r="BOW53" s="33"/>
      <c r="BOX53" s="33"/>
      <c r="BOY53" s="33"/>
      <c r="BOZ53" s="33"/>
      <c r="BPA53" s="137"/>
      <c r="BPB53" s="33"/>
      <c r="BPC53" s="33"/>
      <c r="BPD53" s="33"/>
      <c r="BPE53" s="33"/>
      <c r="BPF53" s="33"/>
      <c r="BPG53" s="74"/>
      <c r="BPH53" s="64"/>
      <c r="BPI53" s="64"/>
      <c r="BPJ53" s="64"/>
      <c r="BPK53" s="64"/>
      <c r="BPL53" s="33"/>
      <c r="BPM53" s="137"/>
      <c r="BPN53" s="33"/>
      <c r="BPO53" s="33"/>
      <c r="BPP53" s="33"/>
      <c r="BPQ53" s="33"/>
      <c r="BPR53" s="33"/>
      <c r="BPS53" s="74"/>
      <c r="BPT53" s="33"/>
      <c r="BPU53" s="33"/>
      <c r="BPV53" s="33"/>
      <c r="BPW53" s="33"/>
      <c r="BPX53" s="33"/>
      <c r="BPY53" s="137"/>
      <c r="BPZ53" s="33"/>
      <c r="BQA53" s="33"/>
      <c r="BQB53" s="33"/>
      <c r="BQC53" s="33"/>
      <c r="BQD53" s="33"/>
      <c r="BQE53" s="74"/>
      <c r="BQF53" s="33"/>
      <c r="BQG53" s="33"/>
      <c r="BQH53" s="33"/>
      <c r="BQI53" s="33"/>
      <c r="BQJ53" s="33"/>
      <c r="BQK53" s="34"/>
      <c r="BQL53" s="32"/>
      <c r="BQM53" s="64"/>
      <c r="BQN53" s="64"/>
      <c r="BQO53" s="64"/>
      <c r="BQP53" s="33"/>
      <c r="BQQ53" s="132"/>
      <c r="BQR53" s="33"/>
      <c r="BQS53" s="33"/>
      <c r="BQT53" s="33"/>
      <c r="BQU53" s="33"/>
      <c r="BQV53" s="33"/>
      <c r="BQW53" s="137"/>
      <c r="BQX53" s="33"/>
      <c r="BQY53" s="33"/>
      <c r="BQZ53" s="33"/>
      <c r="BRA53" s="33"/>
      <c r="BRB53" s="33"/>
      <c r="BRC53" s="74"/>
      <c r="BRD53" s="33"/>
      <c r="BRE53" s="33"/>
      <c r="BRF53" s="33"/>
      <c r="BRG53" s="33"/>
      <c r="BRH53" s="33"/>
      <c r="BRI53" s="137"/>
      <c r="BRJ53" s="33"/>
      <c r="BRK53" s="33"/>
      <c r="BRL53" s="33"/>
      <c r="BRM53" s="33"/>
      <c r="BRN53" s="33"/>
      <c r="BRO53" s="74"/>
      <c r="BRP53" s="64"/>
      <c r="BRQ53" s="64"/>
      <c r="BRR53" s="64"/>
      <c r="BRS53" s="64"/>
      <c r="BRT53" s="33"/>
      <c r="BRU53" s="137"/>
      <c r="BRV53" s="33"/>
      <c r="BRW53" s="33"/>
      <c r="BRX53" s="33"/>
      <c r="BRY53" s="33"/>
      <c r="BRZ53" s="33"/>
      <c r="BSA53" s="74"/>
      <c r="BSB53" s="33"/>
      <c r="BSC53" s="33"/>
      <c r="BSD53" s="33"/>
      <c r="BSE53" s="33"/>
      <c r="BSF53" s="33"/>
      <c r="BSG53" s="137"/>
      <c r="BSH53" s="33"/>
      <c r="BSI53" s="33"/>
      <c r="BSJ53" s="33"/>
      <c r="BSK53" s="33"/>
      <c r="BSL53" s="33"/>
      <c r="BSM53" s="74"/>
      <c r="BSN53" s="33"/>
      <c r="BSO53" s="33"/>
      <c r="BSP53" s="33"/>
      <c r="BSQ53" s="33"/>
      <c r="BSR53" s="33"/>
      <c r="BSS53" s="34"/>
      <c r="BST53" s="32"/>
      <c r="BSU53" s="64"/>
      <c r="BSV53" s="64"/>
      <c r="BSW53" s="64"/>
      <c r="BSX53" s="33"/>
      <c r="BSY53" s="132"/>
      <c r="BSZ53" s="33"/>
      <c r="BTA53" s="33"/>
      <c r="BTB53" s="33"/>
      <c r="BTC53" s="33"/>
      <c r="BTD53" s="33"/>
      <c r="BTE53" s="137"/>
      <c r="BTF53" s="33"/>
      <c r="BTG53" s="33"/>
      <c r="BTH53" s="33"/>
      <c r="BTI53" s="33"/>
      <c r="BTJ53" s="33"/>
      <c r="BTK53" s="74"/>
      <c r="BTL53" s="33"/>
      <c r="BTM53" s="33"/>
      <c r="BTN53" s="33"/>
      <c r="BTO53" s="33"/>
      <c r="BTP53" s="33"/>
      <c r="BTQ53" s="137"/>
      <c r="BTR53" s="33"/>
      <c r="BTS53" s="33"/>
      <c r="BTT53" s="33"/>
      <c r="BTU53" s="33"/>
      <c r="BTV53" s="33"/>
      <c r="BTW53" s="74"/>
      <c r="BTX53" s="64"/>
      <c r="BTY53" s="64"/>
      <c r="BTZ53" s="64"/>
      <c r="BUA53" s="64"/>
      <c r="BUB53" s="33"/>
      <c r="BUC53" s="137"/>
      <c r="BUD53" s="33"/>
      <c r="BUE53" s="33"/>
      <c r="BUF53" s="33"/>
      <c r="BUG53" s="33"/>
      <c r="BUH53" s="33"/>
      <c r="BUI53" s="74"/>
      <c r="BUJ53" s="33"/>
      <c r="BUK53" s="33"/>
      <c r="BUL53" s="33"/>
      <c r="BUM53" s="33"/>
      <c r="BUN53" s="33"/>
      <c r="BUO53" s="137"/>
      <c r="BUP53" s="33"/>
      <c r="BUQ53" s="33"/>
      <c r="BUR53" s="33"/>
      <c r="BUS53" s="33"/>
      <c r="BUT53" s="33"/>
      <c r="BUU53" s="74"/>
      <c r="BUV53" s="33"/>
      <c r="BUW53" s="33"/>
      <c r="BUX53" s="33"/>
      <c r="BUY53" s="33"/>
      <c r="BUZ53" s="33"/>
      <c r="BVA53" s="34"/>
      <c r="BVB53" s="32"/>
      <c r="BVC53" s="64"/>
      <c r="BVD53" s="64"/>
      <c r="BVE53" s="64"/>
      <c r="BVF53" s="33"/>
      <c r="BVG53" s="132"/>
      <c r="BVH53" s="33"/>
      <c r="BVI53" s="33"/>
      <c r="BVJ53" s="33"/>
      <c r="BVK53" s="33"/>
      <c r="BVL53" s="33"/>
      <c r="BVM53" s="137"/>
      <c r="BVN53" s="33"/>
      <c r="BVO53" s="33"/>
      <c r="BVP53" s="33"/>
      <c r="BVQ53" s="33"/>
      <c r="BVR53" s="33"/>
      <c r="BVS53" s="74"/>
      <c r="BVT53" s="33"/>
      <c r="BVU53" s="33"/>
      <c r="BVV53" s="33"/>
      <c r="BVW53" s="33"/>
      <c r="BVX53" s="33"/>
      <c r="BVY53" s="137"/>
      <c r="BVZ53" s="33"/>
      <c r="BWA53" s="33"/>
      <c r="BWB53" s="33"/>
      <c r="BWC53" s="33"/>
      <c r="BWD53" s="33"/>
      <c r="BWE53" s="74"/>
      <c r="BWF53" s="64"/>
      <c r="BWG53" s="64"/>
      <c r="BWH53" s="64"/>
      <c r="BWI53" s="64"/>
      <c r="BWJ53" s="33"/>
      <c r="BWK53" s="137"/>
      <c r="BWL53" s="33"/>
      <c r="BWM53" s="33"/>
      <c r="BWN53" s="33"/>
      <c r="BWO53" s="33"/>
      <c r="BWP53" s="33"/>
      <c r="BWQ53" s="74"/>
      <c r="BWR53" s="33"/>
      <c r="BWS53" s="33"/>
      <c r="BWT53" s="33"/>
      <c r="BWU53" s="33"/>
      <c r="BWV53" s="33"/>
      <c r="BWW53" s="137"/>
      <c r="BWX53" s="33"/>
      <c r="BWY53" s="33"/>
      <c r="BWZ53" s="33"/>
      <c r="BXA53" s="33"/>
      <c r="BXB53" s="33"/>
      <c r="BXC53" s="74"/>
      <c r="BXD53" s="33"/>
      <c r="BXE53" s="33"/>
      <c r="BXF53" s="33"/>
      <c r="BXG53" s="33"/>
      <c r="BXH53" s="33"/>
      <c r="BXI53" s="34"/>
      <c r="BXJ53" s="32"/>
      <c r="BXK53" s="64"/>
      <c r="BXL53" s="64"/>
      <c r="BXM53" s="64"/>
      <c r="BXN53" s="33"/>
      <c r="BXO53" s="132"/>
      <c r="BXP53" s="33"/>
      <c r="BXQ53" s="33"/>
      <c r="BXR53" s="33"/>
      <c r="BXS53" s="33"/>
      <c r="BXT53" s="33"/>
      <c r="BXU53" s="137"/>
      <c r="BXV53" s="33"/>
      <c r="BXW53" s="33"/>
      <c r="BXX53" s="33"/>
      <c r="BXY53" s="33"/>
      <c r="BXZ53" s="33"/>
      <c r="BYA53" s="74"/>
      <c r="BYB53" s="33"/>
      <c r="BYC53" s="33"/>
      <c r="BYD53" s="33"/>
      <c r="BYE53" s="33"/>
      <c r="BYF53" s="33"/>
      <c r="BYG53" s="137"/>
      <c r="BYH53" s="33"/>
      <c r="BYI53" s="33"/>
      <c r="BYJ53" s="33"/>
      <c r="BYK53" s="33"/>
      <c r="BYL53" s="33"/>
      <c r="BYM53" s="74"/>
      <c r="BYN53" s="64"/>
      <c r="BYO53" s="64"/>
      <c r="BYP53" s="64"/>
      <c r="BYQ53" s="64"/>
      <c r="BYR53" s="33"/>
      <c r="BYS53" s="137"/>
      <c r="BYT53" s="33"/>
      <c r="BYU53" s="33"/>
      <c r="BYV53" s="33"/>
      <c r="BYW53" s="33"/>
      <c r="BYX53" s="33"/>
      <c r="BYY53" s="74"/>
      <c r="BYZ53" s="33"/>
      <c r="BZA53" s="33"/>
      <c r="BZB53" s="33"/>
      <c r="BZC53" s="33"/>
      <c r="BZD53" s="33"/>
      <c r="BZE53" s="137"/>
      <c r="BZF53" s="33"/>
      <c r="BZG53" s="33"/>
      <c r="BZH53" s="33"/>
      <c r="BZI53" s="33"/>
      <c r="BZJ53" s="33"/>
      <c r="BZK53" s="74"/>
      <c r="BZL53" s="33"/>
      <c r="BZM53" s="33"/>
      <c r="BZN53" s="33"/>
      <c r="BZO53" s="33"/>
      <c r="BZP53" s="33"/>
      <c r="BZQ53" s="34"/>
      <c r="BZR53" s="32"/>
      <c r="BZS53" s="64"/>
      <c r="BZT53" s="64"/>
      <c r="BZU53" s="64"/>
      <c r="BZV53" s="33"/>
      <c r="BZW53" s="132"/>
      <c r="BZX53" s="33"/>
      <c r="BZY53" s="33"/>
      <c r="BZZ53" s="33"/>
      <c r="CAA53" s="33"/>
      <c r="CAB53" s="33"/>
      <c r="CAC53" s="137"/>
      <c r="CAD53" s="33"/>
      <c r="CAE53" s="33"/>
      <c r="CAF53" s="33"/>
      <c r="CAG53" s="33"/>
      <c r="CAH53" s="33"/>
      <c r="CAI53" s="74"/>
      <c r="CAJ53" s="33"/>
      <c r="CAK53" s="33"/>
      <c r="CAL53" s="33"/>
      <c r="CAM53" s="33"/>
      <c r="CAN53" s="33"/>
      <c r="CAO53" s="137"/>
      <c r="CAP53" s="33"/>
      <c r="CAQ53" s="33"/>
      <c r="CAR53" s="33"/>
      <c r="CAS53" s="33"/>
      <c r="CAT53" s="33"/>
      <c r="CAU53" s="74"/>
      <c r="CAV53" s="64"/>
      <c r="CAW53" s="64"/>
      <c r="CAX53" s="64"/>
      <c r="CAY53" s="64"/>
      <c r="CAZ53" s="33"/>
      <c r="CBA53" s="137"/>
      <c r="CBB53" s="33"/>
      <c r="CBC53" s="33"/>
      <c r="CBD53" s="33"/>
      <c r="CBE53" s="33"/>
      <c r="CBF53" s="33"/>
      <c r="CBG53" s="74"/>
      <c r="CBH53" s="33"/>
      <c r="CBI53" s="33"/>
      <c r="CBJ53" s="33"/>
      <c r="CBK53" s="33"/>
      <c r="CBL53" s="33"/>
      <c r="CBM53" s="137"/>
      <c r="CBN53" s="33"/>
      <c r="CBO53" s="33"/>
      <c r="CBP53" s="33"/>
      <c r="CBQ53" s="33"/>
      <c r="CBR53" s="33"/>
      <c r="CBS53" s="74"/>
      <c r="CBT53" s="33"/>
      <c r="CBU53" s="33"/>
      <c r="CBV53" s="33"/>
      <c r="CBW53" s="33"/>
      <c r="CBX53" s="33"/>
      <c r="CBY53" s="34"/>
      <c r="CBZ53" s="165"/>
      <c r="CCA53" s="166"/>
      <c r="CCB53" s="166"/>
      <c r="CCC53" s="166"/>
      <c r="CCD53" s="167"/>
      <c r="CCE53" s="168"/>
      <c r="CCF53" s="167"/>
      <c r="CCG53" s="167"/>
      <c r="CCH53" s="167"/>
      <c r="CCI53" s="167"/>
      <c r="CCJ53" s="167"/>
      <c r="CCK53" s="169"/>
      <c r="CCL53" s="167"/>
      <c r="CCM53" s="167"/>
      <c r="CCN53" s="167"/>
      <c r="CCO53" s="167"/>
      <c r="CCP53" s="167"/>
      <c r="CCQ53" s="170"/>
      <c r="CCR53" s="167"/>
      <c r="CCS53" s="167"/>
      <c r="CCT53" s="167"/>
      <c r="CCU53" s="167"/>
      <c r="CCV53" s="167"/>
      <c r="CCW53" s="169"/>
      <c r="CCX53" s="167"/>
      <c r="CCY53" s="167"/>
      <c r="CCZ53" s="167"/>
      <c r="CDA53" s="167"/>
      <c r="CDB53" s="167"/>
      <c r="CDC53" s="170"/>
      <c r="CDD53" s="166"/>
      <c r="CDE53" s="166"/>
      <c r="CDF53" s="166"/>
      <c r="CDG53" s="166"/>
      <c r="CDH53" s="167"/>
      <c r="CDI53" s="169"/>
      <c r="CDJ53" s="167"/>
      <c r="CDK53" s="167"/>
      <c r="CDL53" s="167"/>
      <c r="CDM53" s="167"/>
      <c r="CDN53" s="167"/>
      <c r="CDO53" s="170"/>
      <c r="CDP53" s="167"/>
      <c r="CDQ53" s="167"/>
      <c r="CDR53" s="167"/>
      <c r="CDS53" s="33"/>
      <c r="CDT53" s="33"/>
      <c r="CDU53" s="137"/>
      <c r="CDV53" s="33"/>
      <c r="CDW53" s="33"/>
      <c r="CDX53" s="33"/>
      <c r="CDY53" s="33"/>
      <c r="CDZ53" s="33"/>
      <c r="CEA53" s="74"/>
      <c r="CEB53" s="33"/>
      <c r="CEC53" s="33"/>
      <c r="CED53" s="33"/>
      <c r="CEE53" s="33"/>
      <c r="CEF53" s="33"/>
      <c r="CEG53" s="34"/>
      <c r="CEH53" s="32"/>
      <c r="CEI53" s="64"/>
      <c r="CEJ53" s="64"/>
      <c r="CEK53" s="64"/>
      <c r="CEL53" s="33"/>
      <c r="CEM53" s="132"/>
      <c r="CEN53" s="33"/>
      <c r="CEO53" s="33"/>
      <c r="CEP53" s="33"/>
      <c r="CEQ53" s="33"/>
      <c r="CER53" s="33"/>
      <c r="CES53" s="137"/>
      <c r="CET53" s="33"/>
      <c r="CEU53" s="33"/>
      <c r="CEV53" s="33"/>
      <c r="CEW53" s="33"/>
      <c r="CEX53" s="33"/>
      <c r="CEY53" s="74"/>
      <c r="CEZ53" s="33"/>
      <c r="CFA53" s="33"/>
      <c r="CFB53" s="33"/>
      <c r="CFC53" s="33"/>
      <c r="CFD53" s="33"/>
      <c r="CFE53" s="137"/>
      <c r="CFF53" s="33"/>
      <c r="CFG53" s="33"/>
      <c r="CFH53" s="33"/>
      <c r="CFI53" s="33"/>
      <c r="CFJ53" s="33"/>
      <c r="CFK53" s="74"/>
      <c r="CFL53" s="64"/>
      <c r="CFM53" s="64"/>
      <c r="CFN53" s="64"/>
      <c r="CFO53" s="64"/>
      <c r="CFP53" s="33"/>
      <c r="CFQ53" s="137"/>
      <c r="CFR53" s="33"/>
      <c r="CFS53" s="33"/>
      <c r="CFT53" s="33"/>
      <c r="CFU53" s="33"/>
      <c r="CFV53" s="33"/>
      <c r="CFW53" s="74"/>
      <c r="CFX53" s="33"/>
      <c r="CFY53" s="33"/>
      <c r="CFZ53" s="33"/>
      <c r="CGA53" s="33"/>
      <c r="CGB53" s="33"/>
      <c r="CGC53" s="137"/>
      <c r="CGD53" s="33"/>
      <c r="CGE53" s="33"/>
      <c r="CGF53" s="33"/>
      <c r="CGG53" s="33"/>
      <c r="CGH53" s="33"/>
      <c r="CGI53" s="74"/>
      <c r="CGJ53" s="33"/>
      <c r="CGK53" s="33"/>
      <c r="CGL53" s="33"/>
      <c r="CGM53" s="33"/>
      <c r="CGN53" s="33"/>
      <c r="CGO53" s="34"/>
      <c r="CGP53" s="32"/>
      <c r="CGQ53" s="64"/>
      <c r="CGR53" s="64"/>
      <c r="CGS53" s="64"/>
      <c r="CGT53" s="33"/>
      <c r="CGU53" s="132"/>
      <c r="CGV53" s="33"/>
      <c r="CGW53" s="33"/>
      <c r="CGX53" s="33"/>
      <c r="CGY53" s="33"/>
      <c r="CGZ53" s="33"/>
      <c r="CHA53" s="137"/>
      <c r="CHB53" s="33"/>
      <c r="CHC53" s="33"/>
      <c r="CHD53" s="33"/>
      <c r="CHE53" s="33"/>
      <c r="CHF53" s="33"/>
      <c r="CHG53" s="74"/>
      <c r="CHH53" s="33"/>
      <c r="CHI53" s="33"/>
      <c r="CHJ53" s="33"/>
      <c r="CHK53" s="33"/>
      <c r="CHL53" s="33"/>
      <c r="CHM53" s="137"/>
      <c r="CHN53" s="33"/>
      <c r="CHO53" s="33"/>
      <c r="CHP53" s="33"/>
      <c r="CHQ53" s="33"/>
      <c r="CHR53" s="33"/>
      <c r="CHS53" s="74"/>
      <c r="CHT53" s="64"/>
      <c r="CHU53" s="64"/>
      <c r="CHV53" s="64"/>
      <c r="CHW53" s="64"/>
      <c r="CHX53" s="33"/>
      <c r="CHY53" s="137"/>
      <c r="CHZ53" s="33"/>
      <c r="CIA53" s="33"/>
      <c r="CIB53" s="33"/>
      <c r="CIC53" s="33"/>
      <c r="CID53" s="33"/>
      <c r="CIE53" s="74"/>
      <c r="CIF53" s="33"/>
      <c r="CIG53" s="33"/>
      <c r="CIH53" s="33"/>
      <c r="CII53" s="33"/>
      <c r="CIJ53" s="33"/>
      <c r="CIK53" s="137"/>
      <c r="CIL53" s="33"/>
      <c r="CIM53" s="33"/>
      <c r="CIN53" s="33"/>
      <c r="CIO53" s="33"/>
      <c r="CIP53" s="33"/>
      <c r="CIQ53" s="74"/>
      <c r="CIR53" s="33"/>
      <c r="CIS53" s="33"/>
      <c r="CIT53" s="33"/>
      <c r="CIU53" s="33"/>
      <c r="CIV53" s="33"/>
      <c r="CIW53" s="34"/>
      <c r="CIX53" s="32"/>
      <c r="CIY53" s="64"/>
      <c r="CIZ53" s="64"/>
      <c r="CJA53" s="64"/>
      <c r="CJB53" s="33"/>
      <c r="CJC53" s="132"/>
      <c r="CJD53" s="33"/>
      <c r="CJE53" s="33"/>
      <c r="CJF53" s="33"/>
      <c r="CJG53" s="33"/>
      <c r="CJH53" s="33"/>
      <c r="CJI53" s="137"/>
      <c r="CJJ53" s="33"/>
      <c r="CJK53" s="33"/>
      <c r="CJL53" s="33"/>
      <c r="CJM53" s="33"/>
      <c r="CJN53" s="33"/>
      <c r="CJO53" s="74"/>
      <c r="CJP53" s="33"/>
      <c r="CJQ53" s="33"/>
      <c r="CJR53" s="33"/>
      <c r="CJS53" s="33"/>
      <c r="CJT53" s="33"/>
      <c r="CJU53" s="137"/>
      <c r="CJV53" s="33"/>
      <c r="CJW53" s="33"/>
      <c r="CJX53" s="33"/>
      <c r="CJY53" s="33"/>
      <c r="CJZ53" s="33"/>
      <c r="CKA53" s="74"/>
      <c r="CKB53" s="64"/>
      <c r="CKC53" s="64"/>
      <c r="CKD53" s="64"/>
      <c r="CKE53" s="64"/>
      <c r="CKF53" s="33"/>
      <c r="CKG53" s="137"/>
      <c r="CKH53" s="33"/>
      <c r="CKI53" s="33"/>
      <c r="CKJ53" s="33"/>
      <c r="CKK53" s="33"/>
      <c r="CKL53" s="33"/>
      <c r="CKM53" s="74"/>
      <c r="CKN53" s="33"/>
      <c r="CKO53" s="33"/>
      <c r="CKP53" s="33"/>
      <c r="CKQ53" s="33"/>
      <c r="CKR53" s="33"/>
      <c r="CKS53" s="137"/>
      <c r="CKT53" s="33"/>
      <c r="CKU53" s="33"/>
      <c r="CKV53" s="33"/>
      <c r="CKW53" s="33"/>
      <c r="CKX53" s="33"/>
      <c r="CKY53" s="74"/>
      <c r="CKZ53" s="33"/>
      <c r="CLA53" s="33"/>
      <c r="CLB53" s="33"/>
      <c r="CLC53" s="33"/>
      <c r="CLD53" s="33"/>
      <c r="CLE53" s="34"/>
      <c r="CLF53" s="32"/>
      <c r="CLG53" s="64"/>
      <c r="CLH53" s="64"/>
      <c r="CLI53" s="64"/>
      <c r="CLJ53" s="33"/>
      <c r="CLK53" s="132"/>
      <c r="CLL53" s="33"/>
      <c r="CLM53" s="33"/>
      <c r="CLN53" s="33"/>
      <c r="CLO53" s="33"/>
      <c r="CLP53" s="33"/>
      <c r="CLQ53" s="137"/>
      <c r="CLR53" s="33"/>
      <c r="CLS53" s="33"/>
      <c r="CLT53" s="33"/>
      <c r="CLU53" s="33"/>
      <c r="CLV53" s="33"/>
      <c r="CLW53" s="74"/>
      <c r="CLX53" s="33"/>
      <c r="CLY53" s="33"/>
      <c r="CLZ53" s="33"/>
      <c r="CMA53" s="33"/>
      <c r="CMB53" s="33"/>
      <c r="CMC53" s="137"/>
      <c r="CMD53" s="33"/>
      <c r="CME53" s="33"/>
      <c r="CMF53" s="33"/>
      <c r="CMG53" s="33"/>
      <c r="CMH53" s="33"/>
      <c r="CMI53" s="74"/>
      <c r="CMJ53" s="64"/>
      <c r="CMK53" s="64"/>
      <c r="CML53" s="64"/>
      <c r="CMM53" s="64"/>
      <c r="CMN53" s="33"/>
      <c r="CMO53" s="137"/>
      <c r="CMP53" s="33"/>
      <c r="CMQ53" s="33"/>
      <c r="CMR53" s="33"/>
      <c r="CMS53" s="33"/>
      <c r="CMT53" s="33"/>
      <c r="CMU53" s="74"/>
      <c r="CMV53" s="33"/>
      <c r="CMW53" s="33"/>
      <c r="CMX53" s="33"/>
      <c r="CMY53" s="33"/>
      <c r="CMZ53" s="33"/>
      <c r="CNA53" s="137"/>
      <c r="CNB53" s="33"/>
      <c r="CNC53" s="33"/>
      <c r="CND53" s="33"/>
      <c r="CNE53" s="33"/>
      <c r="CNF53" s="33"/>
      <c r="CNG53" s="74"/>
      <c r="CNH53" s="33"/>
      <c r="CNI53" s="33"/>
      <c r="CNJ53" s="33"/>
      <c r="CNK53" s="33"/>
      <c r="CNL53" s="33"/>
      <c r="CNM53" s="34"/>
      <c r="CNN53" s="32"/>
      <c r="CNO53" s="64"/>
      <c r="CNP53" s="64"/>
      <c r="CNQ53" s="64"/>
      <c r="CNR53" s="33"/>
      <c r="CNS53" s="132"/>
      <c r="CNT53" s="33"/>
      <c r="CNU53" s="33"/>
      <c r="CNV53" s="33"/>
      <c r="CNW53" s="33"/>
      <c r="CNX53" s="33"/>
      <c r="CNY53" s="137"/>
      <c r="CNZ53" s="33"/>
      <c r="COA53" s="33"/>
      <c r="COB53" s="33"/>
      <c r="COC53" s="33"/>
      <c r="COD53" s="33"/>
      <c r="COE53" s="74"/>
      <c r="COF53" s="33"/>
      <c r="COG53" s="33"/>
      <c r="COH53" s="33"/>
      <c r="COI53" s="33"/>
      <c r="COJ53" s="33"/>
      <c r="COK53" s="137"/>
      <c r="COL53" s="33"/>
      <c r="COM53" s="33"/>
      <c r="CON53" s="33"/>
      <c r="COO53" s="33"/>
      <c r="COP53" s="33"/>
      <c r="COQ53" s="74"/>
      <c r="COR53" s="64"/>
      <c r="COS53" s="64"/>
      <c r="COT53" s="64"/>
      <c r="COU53" s="64"/>
      <c r="COV53" s="33"/>
      <c r="COW53" s="137"/>
      <c r="COX53" s="33"/>
      <c r="COY53" s="33"/>
      <c r="COZ53" s="33"/>
      <c r="CPA53" s="33"/>
      <c r="CPB53" s="33"/>
      <c r="CPC53" s="74"/>
      <c r="CPD53" s="33"/>
      <c r="CPE53" s="33"/>
      <c r="CPF53" s="33"/>
      <c r="CPG53" s="33"/>
      <c r="CPH53" s="33"/>
      <c r="CPI53" s="137"/>
      <c r="CPJ53" s="33"/>
      <c r="CPK53" s="33"/>
      <c r="CPL53" s="33"/>
      <c r="CPM53" s="33"/>
      <c r="CPN53" s="33"/>
      <c r="CPO53" s="74"/>
      <c r="CPP53" s="33"/>
      <c r="CPQ53" s="33"/>
      <c r="CPR53" s="33"/>
      <c r="CPS53" s="33"/>
      <c r="CPT53" s="33"/>
      <c r="CPU53" s="34"/>
      <c r="CPV53" s="32"/>
      <c r="CPW53" s="64"/>
      <c r="CPX53" s="64"/>
      <c r="CPY53" s="64"/>
      <c r="CPZ53" s="33"/>
      <c r="CQA53" s="132"/>
      <c r="CQB53" s="33"/>
      <c r="CQC53" s="33"/>
      <c r="CQD53" s="33"/>
      <c r="CQE53" s="33"/>
      <c r="CQF53" s="33"/>
      <c r="CQG53" s="137"/>
      <c r="CQH53" s="33"/>
      <c r="CQI53" s="33"/>
      <c r="CQJ53" s="33"/>
      <c r="CQK53" s="33"/>
      <c r="CQL53" s="33"/>
      <c r="CQM53" s="74"/>
      <c r="CQN53" s="33"/>
      <c r="CQO53" s="33"/>
      <c r="CQP53" s="33"/>
      <c r="CQQ53" s="33"/>
      <c r="CQR53" s="33"/>
      <c r="CQS53" s="137"/>
      <c r="CQT53" s="33"/>
      <c r="CQU53" s="33"/>
      <c r="CQV53" s="33"/>
      <c r="CQW53" s="33"/>
      <c r="CQX53" s="33"/>
      <c r="CQY53" s="74"/>
      <c r="CQZ53" s="64"/>
      <c r="CRA53" s="64"/>
      <c r="CRB53" s="64"/>
      <c r="CRC53" s="64"/>
      <c r="CRD53" s="33"/>
      <c r="CRE53" s="137"/>
      <c r="CRF53" s="33"/>
      <c r="CRG53" s="33"/>
      <c r="CRH53" s="33"/>
      <c r="CRI53" s="33"/>
      <c r="CRJ53" s="33"/>
      <c r="CRK53" s="74"/>
      <c r="CRL53" s="33"/>
      <c r="CRM53" s="33"/>
      <c r="CRN53" s="33"/>
      <c r="CRO53" s="33"/>
      <c r="CRP53" s="33"/>
      <c r="CRQ53" s="137"/>
      <c r="CRR53" s="33"/>
      <c r="CRS53" s="33"/>
      <c r="CRT53" s="33"/>
      <c r="CRU53" s="33"/>
      <c r="CRV53" s="33"/>
      <c r="CRW53" s="74"/>
      <c r="CRX53" s="33"/>
      <c r="CRY53" s="33"/>
      <c r="CRZ53" s="33"/>
      <c r="CSA53" s="33"/>
      <c r="CSB53" s="33"/>
      <c r="CSC53" s="34"/>
      <c r="CSD53" s="90"/>
    </row>
    <row r="54" spans="1:2526" ht="20.100000000000001" customHeight="1" x14ac:dyDescent="0.3">
      <c r="A54" s="100" t="s">
        <v>19</v>
      </c>
      <c r="B54" s="63" t="str">
        <f>IF(LEN(C93)=0,"",C93)</f>
        <v/>
      </c>
      <c r="C54" s="218"/>
      <c r="D54" s="148" t="str">
        <f t="shared" si="0"/>
        <v>0h15min</v>
      </c>
      <c r="E54" s="35">
        <v>3</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184"/>
      <c r="WI54" s="185"/>
      <c r="WJ54" s="18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36"/>
      <c r="BLW54" s="65"/>
      <c r="BLX54" s="65"/>
      <c r="BLY54" s="65"/>
      <c r="BLZ54" s="37"/>
      <c r="BMA54" s="133"/>
      <c r="BMB54" s="37"/>
      <c r="BMC54" s="37"/>
      <c r="BMD54" s="37"/>
      <c r="BME54" s="37"/>
      <c r="BMF54" s="37"/>
      <c r="BMG54" s="138"/>
      <c r="BMH54" s="37"/>
      <c r="BMI54" s="37"/>
      <c r="BMJ54" s="37"/>
      <c r="BMK54" s="37"/>
      <c r="BML54" s="37"/>
      <c r="BMM54" s="75"/>
      <c r="BMN54" s="37"/>
      <c r="BMO54" s="37"/>
      <c r="BMP54" s="37"/>
      <c r="BMQ54" s="37"/>
      <c r="BMR54" s="37"/>
      <c r="BMS54" s="138"/>
      <c r="BMT54" s="37"/>
      <c r="BMU54" s="37"/>
      <c r="BMV54" s="37"/>
      <c r="BMW54" s="37"/>
      <c r="BMX54" s="37"/>
      <c r="BMY54" s="75"/>
      <c r="BMZ54" s="65"/>
      <c r="BNA54" s="65"/>
      <c r="BNB54" s="65"/>
      <c r="BNC54" s="65"/>
      <c r="BND54" s="37"/>
      <c r="BNE54" s="138"/>
      <c r="BNF54" s="37"/>
      <c r="BNG54" s="37"/>
      <c r="BNH54" s="37"/>
      <c r="BNI54" s="37"/>
      <c r="BNJ54" s="37"/>
      <c r="BNK54" s="75"/>
      <c r="BNL54" s="37"/>
      <c r="BNM54" s="37"/>
      <c r="BNN54" s="37"/>
      <c r="BNO54" s="37"/>
      <c r="BNP54" s="37"/>
      <c r="BNQ54" s="138"/>
      <c r="BNR54" s="37"/>
      <c r="BNS54" s="37"/>
      <c r="BNT54" s="37"/>
      <c r="BNU54" s="37"/>
      <c r="BNV54" s="37"/>
      <c r="BNW54" s="75"/>
      <c r="BNX54" s="37"/>
      <c r="BNY54" s="37"/>
      <c r="BNZ54" s="37"/>
      <c r="BOA54" s="37"/>
      <c r="BOB54" s="37"/>
      <c r="BOC54" s="38"/>
      <c r="BOD54" s="36"/>
      <c r="BOE54" s="65"/>
      <c r="BOF54" s="65"/>
      <c r="BOG54" s="65"/>
      <c r="BOH54" s="37"/>
      <c r="BOI54" s="133"/>
      <c r="BOJ54" s="37"/>
      <c r="BOK54" s="37"/>
      <c r="BOL54" s="37"/>
      <c r="BOM54" s="37"/>
      <c r="BON54" s="37"/>
      <c r="BOO54" s="138"/>
      <c r="BOP54" s="37"/>
      <c r="BOQ54" s="37"/>
      <c r="BOR54" s="37"/>
      <c r="BOS54" s="37"/>
      <c r="BOT54" s="37"/>
      <c r="BOU54" s="75"/>
      <c r="BOV54" s="37"/>
      <c r="BOW54" s="37"/>
      <c r="BOX54" s="37"/>
      <c r="BOY54" s="37"/>
      <c r="BOZ54" s="37"/>
      <c r="BPA54" s="138"/>
      <c r="BPB54" s="37"/>
      <c r="BPC54" s="37"/>
      <c r="BPD54" s="37"/>
      <c r="BPE54" s="37"/>
      <c r="BPF54" s="37"/>
      <c r="BPG54" s="75"/>
      <c r="BPH54" s="65"/>
      <c r="BPI54" s="65"/>
      <c r="BPJ54" s="65"/>
      <c r="BPK54" s="65"/>
      <c r="BPL54" s="37"/>
      <c r="BPM54" s="138"/>
      <c r="BPN54" s="37"/>
      <c r="BPO54" s="37"/>
      <c r="BPP54" s="37"/>
      <c r="BPQ54" s="37"/>
      <c r="BPR54" s="37"/>
      <c r="BPS54" s="75"/>
      <c r="BPT54" s="37"/>
      <c r="BPU54" s="37"/>
      <c r="BPV54" s="37"/>
      <c r="BPW54" s="37"/>
      <c r="BPX54" s="37"/>
      <c r="BPY54" s="138"/>
      <c r="BPZ54" s="37"/>
      <c r="BQA54" s="37"/>
      <c r="BQB54" s="37"/>
      <c r="BQC54" s="37"/>
      <c r="BQD54" s="37"/>
      <c r="BQE54" s="75"/>
      <c r="BQF54" s="37"/>
      <c r="BQG54" s="37"/>
      <c r="BQH54" s="37"/>
      <c r="BQI54" s="37"/>
      <c r="BQJ54" s="37"/>
      <c r="BQK54" s="38"/>
      <c r="BQL54" s="36"/>
      <c r="BQM54" s="65"/>
      <c r="BQN54" s="65"/>
      <c r="BQO54" s="65"/>
      <c r="BQP54" s="37"/>
      <c r="BQQ54" s="133"/>
      <c r="BQR54" s="37"/>
      <c r="BQS54" s="37"/>
      <c r="BQT54" s="37"/>
      <c r="BQU54" s="37"/>
      <c r="BQV54" s="37"/>
      <c r="BQW54" s="138"/>
      <c r="BQX54" s="37"/>
      <c r="BQY54" s="37"/>
      <c r="BQZ54" s="37"/>
      <c r="BRA54" s="37"/>
      <c r="BRB54" s="37"/>
      <c r="BRC54" s="75"/>
      <c r="BRD54" s="37"/>
      <c r="BRE54" s="37"/>
      <c r="BRF54" s="37"/>
      <c r="BRG54" s="37"/>
      <c r="BRH54" s="37"/>
      <c r="BRI54" s="138"/>
      <c r="BRJ54" s="37"/>
      <c r="BRK54" s="37"/>
      <c r="BRL54" s="37"/>
      <c r="BRM54" s="37"/>
      <c r="BRN54" s="37"/>
      <c r="BRO54" s="75"/>
      <c r="BRP54" s="65"/>
      <c r="BRQ54" s="65"/>
      <c r="BRR54" s="65"/>
      <c r="BRS54" s="65"/>
      <c r="BRT54" s="37"/>
      <c r="BRU54" s="138"/>
      <c r="BRV54" s="37"/>
      <c r="BRW54" s="37"/>
      <c r="BRX54" s="37"/>
      <c r="BRY54" s="37"/>
      <c r="BRZ54" s="37"/>
      <c r="BSA54" s="75"/>
      <c r="BSB54" s="37"/>
      <c r="BSC54" s="37"/>
      <c r="BSD54" s="37"/>
      <c r="BSE54" s="37"/>
      <c r="BSF54" s="37"/>
      <c r="BSG54" s="138"/>
      <c r="BSH54" s="37"/>
      <c r="BSI54" s="37"/>
      <c r="BSJ54" s="37"/>
      <c r="BSK54" s="37"/>
      <c r="BSL54" s="37"/>
      <c r="BSM54" s="75"/>
      <c r="BSN54" s="37"/>
      <c r="BSO54" s="37"/>
      <c r="BSP54" s="37"/>
      <c r="BSQ54" s="37"/>
      <c r="BSR54" s="37"/>
      <c r="BSS54" s="38"/>
      <c r="BST54" s="36"/>
      <c r="BSU54" s="65"/>
      <c r="BSV54" s="65"/>
      <c r="BSW54" s="65"/>
      <c r="BSX54" s="37"/>
      <c r="BSY54" s="133"/>
      <c r="BSZ54" s="37"/>
      <c r="BTA54" s="37"/>
      <c r="BTB54" s="37"/>
      <c r="BTC54" s="37"/>
      <c r="BTD54" s="37"/>
      <c r="BTE54" s="138"/>
      <c r="BTF54" s="37"/>
      <c r="BTG54" s="37"/>
      <c r="BTH54" s="37"/>
      <c r="BTI54" s="37"/>
      <c r="BTJ54" s="37"/>
      <c r="BTK54" s="75"/>
      <c r="BTL54" s="37"/>
      <c r="BTM54" s="37"/>
      <c r="BTN54" s="37"/>
      <c r="BTO54" s="37"/>
      <c r="BTP54" s="37"/>
      <c r="BTQ54" s="138"/>
      <c r="BTR54" s="37"/>
      <c r="BTS54" s="37"/>
      <c r="BTT54" s="37"/>
      <c r="BTU54" s="37"/>
      <c r="BTV54" s="37"/>
      <c r="BTW54" s="75"/>
      <c r="BTX54" s="65"/>
      <c r="BTY54" s="65"/>
      <c r="BTZ54" s="65"/>
      <c r="BUA54" s="65"/>
      <c r="BUB54" s="37"/>
      <c r="BUC54" s="138"/>
      <c r="BUD54" s="37"/>
      <c r="BUE54" s="37"/>
      <c r="BUF54" s="37"/>
      <c r="BUG54" s="37"/>
      <c r="BUH54" s="37"/>
      <c r="BUI54" s="75"/>
      <c r="BUJ54" s="37"/>
      <c r="BUK54" s="37"/>
      <c r="BUL54" s="37"/>
      <c r="BUM54" s="37"/>
      <c r="BUN54" s="37"/>
      <c r="BUO54" s="138"/>
      <c r="BUP54" s="37"/>
      <c r="BUQ54" s="37"/>
      <c r="BUR54" s="37"/>
      <c r="BUS54" s="37"/>
      <c r="BUT54" s="37"/>
      <c r="BUU54" s="75"/>
      <c r="BUV54" s="37"/>
      <c r="BUW54" s="37"/>
      <c r="BUX54" s="37"/>
      <c r="BUY54" s="37"/>
      <c r="BUZ54" s="37"/>
      <c r="BVA54" s="38"/>
      <c r="BVB54" s="36"/>
      <c r="BVC54" s="65"/>
      <c r="BVD54" s="65"/>
      <c r="BVE54" s="65"/>
      <c r="BVF54" s="37"/>
      <c r="BVG54" s="133"/>
      <c r="BVH54" s="37"/>
      <c r="BVI54" s="37"/>
      <c r="BVJ54" s="37"/>
      <c r="BVK54" s="37"/>
      <c r="BVL54" s="37"/>
      <c r="BVM54" s="138"/>
      <c r="BVN54" s="37"/>
      <c r="BVO54" s="37"/>
      <c r="BVP54" s="37"/>
      <c r="BVQ54" s="37"/>
      <c r="BVR54" s="37"/>
      <c r="BVS54" s="75"/>
      <c r="BVT54" s="37"/>
      <c r="BVU54" s="37"/>
      <c r="BVV54" s="37"/>
      <c r="BVW54" s="37"/>
      <c r="BVX54" s="37"/>
      <c r="BVY54" s="138"/>
      <c r="BVZ54" s="37"/>
      <c r="BWA54" s="37"/>
      <c r="BWB54" s="37"/>
      <c r="BWC54" s="37"/>
      <c r="BWD54" s="37"/>
      <c r="BWE54" s="75"/>
      <c r="BWF54" s="65"/>
      <c r="BWG54" s="65"/>
      <c r="BWH54" s="65"/>
      <c r="BWI54" s="65"/>
      <c r="BWJ54" s="37"/>
      <c r="BWK54" s="138"/>
      <c r="BWL54" s="37"/>
      <c r="BWM54" s="37"/>
      <c r="BWN54" s="37"/>
      <c r="BWO54" s="37"/>
      <c r="BWP54" s="37"/>
      <c r="BWQ54" s="75"/>
      <c r="BWR54" s="37"/>
      <c r="BWS54" s="37"/>
      <c r="BWT54" s="37"/>
      <c r="BWU54" s="37"/>
      <c r="BWV54" s="37"/>
      <c r="BWW54" s="138"/>
      <c r="BWX54" s="37"/>
      <c r="BWY54" s="37"/>
      <c r="BWZ54" s="37"/>
      <c r="BXA54" s="37"/>
      <c r="BXB54" s="37"/>
      <c r="BXC54" s="75"/>
      <c r="BXD54" s="37"/>
      <c r="BXE54" s="37"/>
      <c r="BXF54" s="37"/>
      <c r="BXG54" s="37"/>
      <c r="BXH54" s="37"/>
      <c r="BXI54" s="38"/>
      <c r="BXJ54" s="36"/>
      <c r="BXK54" s="65"/>
      <c r="BXL54" s="65"/>
      <c r="BXM54" s="65"/>
      <c r="BXN54" s="37"/>
      <c r="BXO54" s="133"/>
      <c r="BXP54" s="37"/>
      <c r="BXQ54" s="37"/>
      <c r="BXR54" s="37"/>
      <c r="BXS54" s="37"/>
      <c r="BXT54" s="37"/>
      <c r="BXU54" s="138"/>
      <c r="BXV54" s="37"/>
      <c r="BXW54" s="37"/>
      <c r="BXX54" s="37"/>
      <c r="BXY54" s="37"/>
      <c r="BXZ54" s="37"/>
      <c r="BYA54" s="75"/>
      <c r="BYB54" s="37"/>
      <c r="BYC54" s="37"/>
      <c r="BYD54" s="37"/>
      <c r="BYE54" s="37"/>
      <c r="BYF54" s="37"/>
      <c r="BYG54" s="138"/>
      <c r="BYH54" s="37"/>
      <c r="BYI54" s="37"/>
      <c r="BYJ54" s="37"/>
      <c r="BYK54" s="37"/>
      <c r="BYL54" s="37"/>
      <c r="BYM54" s="75"/>
      <c r="BYN54" s="65"/>
      <c r="BYO54" s="65"/>
      <c r="BYP54" s="65"/>
      <c r="BYQ54" s="65"/>
      <c r="BYR54" s="37"/>
      <c r="BYS54" s="138"/>
      <c r="BYT54" s="37"/>
      <c r="BYU54" s="37"/>
      <c r="BYV54" s="37"/>
      <c r="BYW54" s="37"/>
      <c r="BYX54" s="37"/>
      <c r="BYY54" s="75"/>
      <c r="BYZ54" s="37"/>
      <c r="BZA54" s="37"/>
      <c r="BZB54" s="37"/>
      <c r="BZC54" s="37"/>
      <c r="BZD54" s="37"/>
      <c r="BZE54" s="138"/>
      <c r="BZF54" s="37"/>
      <c r="BZG54" s="37"/>
      <c r="BZH54" s="37"/>
      <c r="BZI54" s="37"/>
      <c r="BZJ54" s="37"/>
      <c r="BZK54" s="75"/>
      <c r="BZL54" s="37"/>
      <c r="BZM54" s="37"/>
      <c r="BZN54" s="37"/>
      <c r="BZO54" s="37"/>
      <c r="BZP54" s="37"/>
      <c r="BZQ54" s="38"/>
      <c r="BZR54" s="36"/>
      <c r="BZS54" s="65"/>
      <c r="BZT54" s="65"/>
      <c r="BZU54" s="65"/>
      <c r="BZV54" s="37"/>
      <c r="BZW54" s="133"/>
      <c r="BZX54" s="37"/>
      <c r="BZY54" s="37"/>
      <c r="BZZ54" s="37"/>
      <c r="CAA54" s="37"/>
      <c r="CAB54" s="37"/>
      <c r="CAC54" s="138"/>
      <c r="CAD54" s="37"/>
      <c r="CAE54" s="37"/>
      <c r="CAF54" s="37"/>
      <c r="CAG54" s="37"/>
      <c r="CAH54" s="37"/>
      <c r="CAI54" s="75"/>
      <c r="CAJ54" s="37"/>
      <c r="CAK54" s="37"/>
      <c r="CAL54" s="37"/>
      <c r="CAM54" s="37"/>
      <c r="CAN54" s="37"/>
      <c r="CAO54" s="138"/>
      <c r="CAP54" s="37"/>
      <c r="CAQ54" s="37"/>
      <c r="CAR54" s="37"/>
      <c r="CAS54" s="37"/>
      <c r="CAT54" s="37"/>
      <c r="CAU54" s="75"/>
      <c r="CAV54" s="65"/>
      <c r="CAW54" s="65"/>
      <c r="CAX54" s="65"/>
      <c r="CAY54" s="65"/>
      <c r="CAZ54" s="37"/>
      <c r="CBA54" s="138"/>
      <c r="CBB54" s="37"/>
      <c r="CBC54" s="37"/>
      <c r="CBD54" s="37"/>
      <c r="CBE54" s="37"/>
      <c r="CBF54" s="37"/>
      <c r="CBG54" s="75"/>
      <c r="CBH54" s="37"/>
      <c r="CBI54" s="37"/>
      <c r="CBJ54" s="37"/>
      <c r="CBK54" s="37"/>
      <c r="CBL54" s="37"/>
      <c r="CBM54" s="138"/>
      <c r="CBN54" s="37"/>
      <c r="CBO54" s="37"/>
      <c r="CBP54" s="37"/>
      <c r="CBQ54" s="37"/>
      <c r="CBR54" s="37"/>
      <c r="CBS54" s="75"/>
      <c r="CBT54" s="37"/>
      <c r="CBU54" s="37"/>
      <c r="CBV54" s="37"/>
      <c r="CBW54" s="37"/>
      <c r="CBX54" s="37"/>
      <c r="CBY54" s="38"/>
      <c r="CBZ54" s="36"/>
      <c r="CCA54" s="65"/>
      <c r="CCB54" s="65"/>
      <c r="CCC54" s="65"/>
      <c r="CCD54" s="37"/>
      <c r="CCE54" s="133"/>
      <c r="CCF54" s="37"/>
      <c r="CCG54" s="37"/>
      <c r="CCH54" s="37"/>
      <c r="CCI54" s="37"/>
      <c r="CCJ54" s="37"/>
      <c r="CCK54" s="138"/>
      <c r="CCL54" s="37"/>
      <c r="CCM54" s="37"/>
      <c r="CCN54" s="37"/>
      <c r="CCO54" s="37"/>
      <c r="CCP54" s="37"/>
      <c r="CCQ54" s="75"/>
      <c r="CCR54" s="37"/>
      <c r="CCS54" s="37"/>
      <c r="CCT54" s="37"/>
      <c r="CCU54" s="37"/>
      <c r="CCV54" s="37"/>
      <c r="CCW54" s="138"/>
      <c r="CCX54" s="37"/>
      <c r="CCY54" s="37"/>
      <c r="CCZ54" s="37"/>
      <c r="CDA54" s="37"/>
      <c r="CDB54" s="37"/>
      <c r="CDC54" s="75"/>
      <c r="CDD54" s="65"/>
      <c r="CDE54" s="65"/>
      <c r="CDF54" s="65"/>
      <c r="CDG54" s="65"/>
      <c r="CDH54" s="37"/>
      <c r="CDI54" s="138"/>
      <c r="CDJ54" s="37"/>
      <c r="CDK54" s="37"/>
      <c r="CDL54" s="37"/>
      <c r="CDM54" s="37"/>
      <c r="CDN54" s="37"/>
      <c r="CDO54" s="75"/>
      <c r="CDP54" s="37"/>
      <c r="CDQ54" s="37"/>
      <c r="CDR54" s="37"/>
      <c r="CDS54" s="37"/>
      <c r="CDT54" s="37"/>
      <c r="CDU54" s="138"/>
      <c r="CDV54" s="37"/>
      <c r="CDW54" s="37"/>
      <c r="CDX54" s="37"/>
      <c r="CDY54" s="37"/>
      <c r="CDZ54" s="37"/>
      <c r="CEA54" s="75"/>
      <c r="CEB54" s="37"/>
      <c r="CEC54" s="37"/>
      <c r="CED54" s="37"/>
      <c r="CEE54" s="37"/>
      <c r="CEF54" s="37"/>
      <c r="CEG54" s="38"/>
      <c r="CEH54" s="36"/>
      <c r="CEI54" s="65"/>
      <c r="CEJ54" s="65"/>
      <c r="CEK54" s="65"/>
      <c r="CEL54" s="37"/>
      <c r="CEM54" s="133"/>
      <c r="CEN54" s="37"/>
      <c r="CEO54" s="37"/>
      <c r="CEP54" s="37"/>
      <c r="CEQ54" s="37"/>
      <c r="CER54" s="37"/>
      <c r="CES54" s="138"/>
      <c r="CET54" s="37"/>
      <c r="CEU54" s="37"/>
      <c r="CEV54" s="37"/>
      <c r="CEW54" s="37"/>
      <c r="CEX54" s="37"/>
      <c r="CEY54" s="75"/>
      <c r="CEZ54" s="37"/>
      <c r="CFA54" s="37"/>
      <c r="CFB54" s="37"/>
      <c r="CFC54" s="37"/>
      <c r="CFD54" s="37"/>
      <c r="CFE54" s="138"/>
      <c r="CFF54" s="37"/>
      <c r="CFG54" s="37"/>
      <c r="CFH54" s="37"/>
      <c r="CFI54" s="37"/>
      <c r="CFJ54" s="37"/>
      <c r="CFK54" s="75"/>
      <c r="CFL54" s="65"/>
      <c r="CFM54" s="65"/>
      <c r="CFN54" s="65"/>
      <c r="CFO54" s="65"/>
      <c r="CFP54" s="37"/>
      <c r="CFQ54" s="138"/>
      <c r="CFR54" s="37"/>
      <c r="CFS54" s="37"/>
      <c r="CFT54" s="37"/>
      <c r="CFU54" s="37"/>
      <c r="CFV54" s="37"/>
      <c r="CFW54" s="75"/>
      <c r="CFX54" s="37"/>
      <c r="CFY54" s="37"/>
      <c r="CFZ54" s="37"/>
      <c r="CGA54" s="37"/>
      <c r="CGB54" s="37"/>
      <c r="CGC54" s="138"/>
      <c r="CGD54" s="37"/>
      <c r="CGE54" s="37"/>
      <c r="CGF54" s="37"/>
      <c r="CGG54" s="37"/>
      <c r="CGH54" s="37"/>
      <c r="CGI54" s="75"/>
      <c r="CGJ54" s="37"/>
      <c r="CGK54" s="37"/>
      <c r="CGL54" s="37"/>
      <c r="CGM54" s="37"/>
      <c r="CGN54" s="37"/>
      <c r="CGO54" s="38"/>
      <c r="CGP54" s="36"/>
      <c r="CGQ54" s="65"/>
      <c r="CGR54" s="65"/>
      <c r="CGS54" s="65"/>
      <c r="CGT54" s="37"/>
      <c r="CGU54" s="133"/>
      <c r="CGV54" s="37"/>
      <c r="CGW54" s="37"/>
      <c r="CGX54" s="37"/>
      <c r="CGY54" s="37"/>
      <c r="CGZ54" s="37"/>
      <c r="CHA54" s="138"/>
      <c r="CHB54" s="37"/>
      <c r="CHC54" s="37"/>
      <c r="CHD54" s="37"/>
      <c r="CHE54" s="37"/>
      <c r="CHF54" s="37"/>
      <c r="CHG54" s="75"/>
      <c r="CHH54" s="37"/>
      <c r="CHI54" s="37"/>
      <c r="CHJ54" s="37"/>
      <c r="CHK54" s="37"/>
      <c r="CHL54" s="37"/>
      <c r="CHM54" s="138"/>
      <c r="CHN54" s="37"/>
      <c r="CHO54" s="37"/>
      <c r="CHP54" s="37"/>
      <c r="CHQ54" s="37"/>
      <c r="CHR54" s="37"/>
      <c r="CHS54" s="75"/>
      <c r="CHT54" s="65"/>
      <c r="CHU54" s="65"/>
      <c r="CHV54" s="65"/>
      <c r="CHW54" s="65"/>
      <c r="CHX54" s="37"/>
      <c r="CHY54" s="138"/>
      <c r="CHZ54" s="37"/>
      <c r="CIA54" s="37"/>
      <c r="CIB54" s="37"/>
      <c r="CIC54" s="37"/>
      <c r="CID54" s="37"/>
      <c r="CIE54" s="75"/>
      <c r="CIF54" s="37"/>
      <c r="CIG54" s="37"/>
      <c r="CIH54" s="37"/>
      <c r="CII54" s="37"/>
      <c r="CIJ54" s="37"/>
      <c r="CIK54" s="138"/>
      <c r="CIL54" s="37"/>
      <c r="CIM54" s="37"/>
      <c r="CIN54" s="37"/>
      <c r="CIO54" s="37"/>
      <c r="CIP54" s="37"/>
      <c r="CIQ54" s="75"/>
      <c r="CIR54" s="37"/>
      <c r="CIS54" s="37"/>
      <c r="CIT54" s="37"/>
      <c r="CIU54" s="37"/>
      <c r="CIV54" s="37"/>
      <c r="CIW54" s="38"/>
      <c r="CIX54" s="36"/>
      <c r="CIY54" s="65"/>
      <c r="CIZ54" s="65"/>
      <c r="CJA54" s="65"/>
      <c r="CJB54" s="37"/>
      <c r="CJC54" s="133"/>
      <c r="CJD54" s="37"/>
      <c r="CJE54" s="37"/>
      <c r="CJF54" s="37"/>
      <c r="CJG54" s="37"/>
      <c r="CJH54" s="37"/>
      <c r="CJI54" s="138"/>
      <c r="CJJ54" s="37"/>
      <c r="CJK54" s="37"/>
      <c r="CJL54" s="37"/>
      <c r="CJM54" s="37"/>
      <c r="CJN54" s="37"/>
      <c r="CJO54" s="75"/>
      <c r="CJP54" s="37"/>
      <c r="CJQ54" s="37"/>
      <c r="CJR54" s="37"/>
      <c r="CJS54" s="37"/>
      <c r="CJT54" s="37"/>
      <c r="CJU54" s="138"/>
      <c r="CJV54" s="37"/>
      <c r="CJW54" s="37"/>
      <c r="CJX54" s="37"/>
      <c r="CJY54" s="37"/>
      <c r="CJZ54" s="37"/>
      <c r="CKA54" s="75"/>
      <c r="CKB54" s="65"/>
      <c r="CKC54" s="65"/>
      <c r="CKD54" s="65"/>
      <c r="CKE54" s="65"/>
      <c r="CKF54" s="37"/>
      <c r="CKG54" s="138"/>
      <c r="CKH54" s="37"/>
      <c r="CKI54" s="37"/>
      <c r="CKJ54" s="37"/>
      <c r="CKK54" s="37"/>
      <c r="CKL54" s="37"/>
      <c r="CKM54" s="75"/>
      <c r="CKN54" s="37"/>
      <c r="CKO54" s="37"/>
      <c r="CKP54" s="37"/>
      <c r="CKQ54" s="37"/>
      <c r="CKR54" s="37"/>
      <c r="CKS54" s="138"/>
      <c r="CKT54" s="37"/>
      <c r="CKU54" s="37"/>
      <c r="CKV54" s="37"/>
      <c r="CKW54" s="37"/>
      <c r="CKX54" s="37"/>
      <c r="CKY54" s="75"/>
      <c r="CKZ54" s="37"/>
      <c r="CLA54" s="37"/>
      <c r="CLB54" s="37"/>
      <c r="CLC54" s="37"/>
      <c r="CLD54" s="37"/>
      <c r="CLE54" s="38"/>
      <c r="CLF54" s="36"/>
      <c r="CLG54" s="65"/>
      <c r="CLH54" s="65"/>
      <c r="CLI54" s="65"/>
      <c r="CLJ54" s="37"/>
      <c r="CLK54" s="133"/>
      <c r="CLL54" s="37"/>
      <c r="CLM54" s="37"/>
      <c r="CLN54" s="37"/>
      <c r="CLO54" s="37"/>
      <c r="CLP54" s="37"/>
      <c r="CLQ54" s="138"/>
      <c r="CLR54" s="37"/>
      <c r="CLS54" s="37"/>
      <c r="CLT54" s="37"/>
      <c r="CLU54" s="37"/>
      <c r="CLV54" s="37"/>
      <c r="CLW54" s="75"/>
      <c r="CLX54" s="37"/>
      <c r="CLY54" s="37"/>
      <c r="CLZ54" s="37"/>
      <c r="CMA54" s="37"/>
      <c r="CMB54" s="37"/>
      <c r="CMC54" s="138"/>
      <c r="CMD54" s="37"/>
      <c r="CME54" s="37"/>
      <c r="CMF54" s="37"/>
      <c r="CMG54" s="37"/>
      <c r="CMH54" s="37"/>
      <c r="CMI54" s="75"/>
      <c r="CMJ54" s="65"/>
      <c r="CMK54" s="65"/>
      <c r="CML54" s="65"/>
      <c r="CMM54" s="65"/>
      <c r="CMN54" s="37"/>
      <c r="CMO54" s="138"/>
      <c r="CMP54" s="37"/>
      <c r="CMQ54" s="37"/>
      <c r="CMR54" s="37"/>
      <c r="CMS54" s="37"/>
      <c r="CMT54" s="37"/>
      <c r="CMU54" s="75"/>
      <c r="CMV54" s="37"/>
      <c r="CMW54" s="37"/>
      <c r="CMX54" s="37"/>
      <c r="CMY54" s="37"/>
      <c r="CMZ54" s="37"/>
      <c r="CNA54" s="138"/>
      <c r="CNB54" s="37"/>
      <c r="CNC54" s="37"/>
      <c r="CND54" s="37"/>
      <c r="CNE54" s="37"/>
      <c r="CNF54" s="37"/>
      <c r="CNG54" s="75"/>
      <c r="CNH54" s="37"/>
      <c r="CNI54" s="37"/>
      <c r="CNJ54" s="37"/>
      <c r="CNK54" s="37"/>
      <c r="CNL54" s="37"/>
      <c r="CNM54" s="38"/>
      <c r="CNN54" s="36"/>
      <c r="CNO54" s="65"/>
      <c r="CNP54" s="65"/>
      <c r="CNQ54" s="65"/>
      <c r="CNR54" s="37"/>
      <c r="CNS54" s="133"/>
      <c r="CNT54" s="37"/>
      <c r="CNU54" s="37"/>
      <c r="CNV54" s="37"/>
      <c r="CNW54" s="37"/>
      <c r="CNX54" s="37"/>
      <c r="CNY54" s="138"/>
      <c r="CNZ54" s="37"/>
      <c r="COA54" s="37"/>
      <c r="COB54" s="37"/>
      <c r="COC54" s="37"/>
      <c r="COD54" s="37"/>
      <c r="COE54" s="75"/>
      <c r="COF54" s="37"/>
      <c r="COG54" s="37"/>
      <c r="COH54" s="37"/>
      <c r="COI54" s="37"/>
      <c r="COJ54" s="37"/>
      <c r="COK54" s="138"/>
      <c r="COL54" s="37"/>
      <c r="COM54" s="37"/>
      <c r="CON54" s="37"/>
      <c r="COO54" s="37"/>
      <c r="COP54" s="37"/>
      <c r="COQ54" s="75"/>
      <c r="COR54" s="65"/>
      <c r="COS54" s="65"/>
      <c r="COT54" s="65"/>
      <c r="COU54" s="65"/>
      <c r="COV54" s="37"/>
      <c r="COW54" s="138"/>
      <c r="COX54" s="37"/>
      <c r="COY54" s="37"/>
      <c r="COZ54" s="37"/>
      <c r="CPA54" s="37"/>
      <c r="CPB54" s="37"/>
      <c r="CPC54" s="75"/>
      <c r="CPD54" s="37"/>
      <c r="CPE54" s="37"/>
      <c r="CPF54" s="37"/>
      <c r="CPG54" s="37"/>
      <c r="CPH54" s="37"/>
      <c r="CPI54" s="138"/>
      <c r="CPJ54" s="37"/>
      <c r="CPK54" s="37"/>
      <c r="CPL54" s="37"/>
      <c r="CPM54" s="37"/>
      <c r="CPN54" s="37"/>
      <c r="CPO54" s="75"/>
      <c r="CPP54" s="37"/>
      <c r="CPQ54" s="37"/>
      <c r="CPR54" s="37"/>
      <c r="CPS54" s="37"/>
      <c r="CPT54" s="37"/>
      <c r="CPU54" s="38"/>
      <c r="CPV54" s="36"/>
      <c r="CPW54" s="65"/>
      <c r="CPX54" s="65"/>
      <c r="CPY54" s="65"/>
      <c r="CPZ54" s="37"/>
      <c r="CQA54" s="133"/>
      <c r="CQB54" s="37"/>
      <c r="CQC54" s="37"/>
      <c r="CQD54" s="37"/>
      <c r="CQE54" s="37"/>
      <c r="CQF54" s="37"/>
      <c r="CQG54" s="138"/>
      <c r="CQH54" s="37"/>
      <c r="CQI54" s="37"/>
      <c r="CQJ54" s="37"/>
      <c r="CQK54" s="37"/>
      <c r="CQL54" s="37"/>
      <c r="CQM54" s="75"/>
      <c r="CQN54" s="37"/>
      <c r="CQO54" s="37"/>
      <c r="CQP54" s="37"/>
      <c r="CQQ54" s="37"/>
      <c r="CQR54" s="37"/>
      <c r="CQS54" s="138"/>
      <c r="CQT54" s="37"/>
      <c r="CQU54" s="37"/>
      <c r="CQV54" s="37"/>
      <c r="CQW54" s="37"/>
      <c r="CQX54" s="37"/>
      <c r="CQY54" s="75"/>
      <c r="CQZ54" s="65"/>
      <c r="CRA54" s="65"/>
      <c r="CRB54" s="65"/>
      <c r="CRC54" s="65"/>
      <c r="CRD54" s="37"/>
      <c r="CRE54" s="138"/>
      <c r="CRF54" s="37"/>
      <c r="CRG54" s="37"/>
      <c r="CRH54" s="37"/>
      <c r="CRI54" s="37"/>
      <c r="CRJ54" s="37"/>
      <c r="CRK54" s="75"/>
      <c r="CRL54" s="37"/>
      <c r="CRM54" s="37"/>
      <c r="CRN54" s="37"/>
      <c r="CRO54" s="37"/>
      <c r="CRP54" s="37"/>
      <c r="CRQ54" s="138"/>
      <c r="CRR54" s="37"/>
      <c r="CRS54" s="37"/>
      <c r="CRT54" s="37"/>
      <c r="CRU54" s="37"/>
      <c r="CRV54" s="37"/>
      <c r="CRW54" s="75"/>
      <c r="CRX54" s="37"/>
      <c r="CRY54" s="37"/>
      <c r="CRZ54" s="37"/>
      <c r="CSA54" s="37"/>
      <c r="CSB54" s="37"/>
      <c r="CSC54" s="38"/>
      <c r="CSD54" s="90"/>
    </row>
    <row r="55" spans="1:2526" ht="20.100000000000001" customHeight="1" x14ac:dyDescent="0.25">
      <c r="A55" s="100" t="s">
        <v>18</v>
      </c>
      <c r="B55" s="63"/>
      <c r="C55" s="211" t="s">
        <v>58</v>
      </c>
      <c r="D55" s="146" t="str">
        <f t="shared" si="0"/>
        <v>14h15min</v>
      </c>
      <c r="E55" s="39">
        <v>171</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40"/>
      <c r="BLW55" s="66"/>
      <c r="BLX55" s="66"/>
      <c r="BLY55" s="66"/>
      <c r="BLZ55" s="41"/>
      <c r="BMA55" s="134"/>
      <c r="BMB55" s="41"/>
      <c r="BMC55" s="41"/>
      <c r="BMD55" s="41"/>
      <c r="BME55" s="41"/>
      <c r="BMF55" s="41"/>
      <c r="BMG55" s="139"/>
      <c r="BMH55" s="41"/>
      <c r="BMI55" s="41"/>
      <c r="BMJ55" s="41"/>
      <c r="BMK55" s="41"/>
      <c r="BML55" s="41"/>
      <c r="BMM55" s="76"/>
      <c r="BMN55" s="41"/>
      <c r="BMO55" s="41"/>
      <c r="BMP55" s="41"/>
      <c r="BMQ55" s="41"/>
      <c r="BMR55" s="41"/>
      <c r="BMS55" s="139"/>
      <c r="BMT55" s="41"/>
      <c r="BMU55" s="41"/>
      <c r="BMV55" s="41"/>
      <c r="BMW55" s="41"/>
      <c r="BMX55" s="41"/>
      <c r="BMY55" s="76"/>
      <c r="BMZ55" s="66"/>
      <c r="BNA55" s="66"/>
      <c r="BNB55" s="66"/>
      <c r="BNC55" s="66"/>
      <c r="BND55" s="41"/>
      <c r="BNE55" s="139"/>
      <c r="BNF55" s="41"/>
      <c r="BNG55" s="41"/>
      <c r="BNH55" s="41"/>
      <c r="BNI55" s="41"/>
      <c r="BNJ55" s="41"/>
      <c r="BNK55" s="76"/>
      <c r="BNL55" s="41"/>
      <c r="BNM55" s="41"/>
      <c r="BNN55" s="41"/>
      <c r="BNO55" s="41"/>
      <c r="BNP55" s="41"/>
      <c r="BNQ55" s="139"/>
      <c r="BNR55" s="41"/>
      <c r="BNS55" s="41"/>
      <c r="BNT55" s="41"/>
      <c r="BNU55" s="41"/>
      <c r="BNV55" s="41"/>
      <c r="BNW55" s="76"/>
      <c r="BNX55" s="41"/>
      <c r="BNY55" s="41"/>
      <c r="BNZ55" s="41"/>
      <c r="BOA55" s="41"/>
      <c r="BOB55" s="41"/>
      <c r="BOC55" s="42"/>
      <c r="BOD55" s="40"/>
      <c r="BOE55" s="66"/>
      <c r="BOF55" s="66"/>
      <c r="BOG55" s="66"/>
      <c r="BOH55" s="41"/>
      <c r="BOI55" s="134"/>
      <c r="BOJ55" s="41"/>
      <c r="BOK55" s="41"/>
      <c r="BOL55" s="41"/>
      <c r="BOM55" s="41"/>
      <c r="BON55" s="41"/>
      <c r="BOO55" s="139"/>
      <c r="BOP55" s="41"/>
      <c r="BOQ55" s="41"/>
      <c r="BOR55" s="41"/>
      <c r="BOS55" s="41"/>
      <c r="BOT55" s="41"/>
      <c r="BOU55" s="76"/>
      <c r="BOV55" s="41"/>
      <c r="BOW55" s="41"/>
      <c r="BOX55" s="41"/>
      <c r="BOY55" s="41"/>
      <c r="BOZ55" s="41"/>
      <c r="BPA55" s="139"/>
      <c r="BPB55" s="41"/>
      <c r="BPC55" s="41"/>
      <c r="BPD55" s="41"/>
      <c r="BPE55" s="41"/>
      <c r="BPF55" s="41"/>
      <c r="BPG55" s="76"/>
      <c r="BPH55" s="66"/>
      <c r="BPI55" s="66"/>
      <c r="BPJ55" s="66"/>
      <c r="BPK55" s="66"/>
      <c r="BPL55" s="41"/>
      <c r="BPM55" s="139"/>
      <c r="BPN55" s="41"/>
      <c r="BPO55" s="41"/>
      <c r="BPP55" s="41"/>
      <c r="BPQ55" s="41"/>
      <c r="BPR55" s="41"/>
      <c r="BPS55" s="76"/>
      <c r="BPT55" s="41"/>
      <c r="BPU55" s="41"/>
      <c r="BPV55" s="41"/>
      <c r="BPW55" s="41"/>
      <c r="BPX55" s="41"/>
      <c r="BPY55" s="139"/>
      <c r="BPZ55" s="41"/>
      <c r="BQA55" s="41"/>
      <c r="BQB55" s="41"/>
      <c r="BQC55" s="41"/>
      <c r="BQD55" s="41"/>
      <c r="BQE55" s="76"/>
      <c r="BQF55" s="41"/>
      <c r="BQG55" s="41"/>
      <c r="BQH55" s="41"/>
      <c r="BQI55" s="41"/>
      <c r="BQJ55" s="41"/>
      <c r="BQK55" s="42"/>
      <c r="BQL55" s="40"/>
      <c r="BQM55" s="66"/>
      <c r="BQN55" s="66"/>
      <c r="BQO55" s="66"/>
      <c r="BQP55" s="41"/>
      <c r="BQQ55" s="134"/>
      <c r="BQR55" s="41"/>
      <c r="BQS55" s="41"/>
      <c r="BQT55" s="41"/>
      <c r="BQU55" s="41"/>
      <c r="BQV55" s="41"/>
      <c r="BQW55" s="139"/>
      <c r="BQX55" s="41"/>
      <c r="BQY55" s="41"/>
      <c r="BQZ55" s="41"/>
      <c r="BRA55" s="41"/>
      <c r="BRB55" s="41"/>
      <c r="BRC55" s="76"/>
      <c r="BRD55" s="41"/>
      <c r="BRE55" s="41"/>
      <c r="BRF55" s="41"/>
      <c r="BRG55" s="41"/>
      <c r="BRH55" s="41"/>
      <c r="BRI55" s="139"/>
      <c r="BRJ55" s="41"/>
      <c r="BRK55" s="41"/>
      <c r="BRL55" s="41"/>
      <c r="BRM55" s="41"/>
      <c r="BRN55" s="41"/>
      <c r="BRO55" s="76"/>
      <c r="BRP55" s="66"/>
      <c r="BRQ55" s="66"/>
      <c r="BRR55" s="66"/>
      <c r="BRS55" s="66"/>
      <c r="BRT55" s="41"/>
      <c r="BRU55" s="139"/>
      <c r="BRV55" s="41"/>
      <c r="BRW55" s="41"/>
      <c r="BRX55" s="41"/>
      <c r="BRY55" s="41"/>
      <c r="BRZ55" s="41"/>
      <c r="BSA55" s="76"/>
      <c r="BSB55" s="41"/>
      <c r="BSC55" s="41"/>
      <c r="BSD55" s="41"/>
      <c r="BSE55" s="41"/>
      <c r="BSF55" s="41"/>
      <c r="BSG55" s="139"/>
      <c r="BSH55" s="41"/>
      <c r="BSI55" s="41"/>
      <c r="BSJ55" s="41"/>
      <c r="BSK55" s="41"/>
      <c r="BSL55" s="41"/>
      <c r="BSM55" s="76"/>
      <c r="BSN55" s="41"/>
      <c r="BSO55" s="41"/>
      <c r="BSP55" s="41"/>
      <c r="BSQ55" s="41"/>
      <c r="BSR55" s="41"/>
      <c r="BSS55" s="42"/>
      <c r="BST55" s="40"/>
      <c r="BSU55" s="66"/>
      <c r="BSV55" s="66"/>
      <c r="BSW55" s="66"/>
      <c r="BSX55" s="41"/>
      <c r="BSY55" s="134"/>
      <c r="BSZ55" s="41"/>
      <c r="BTA55" s="41"/>
      <c r="BTB55" s="41"/>
      <c r="BTC55" s="41"/>
      <c r="BTD55" s="41"/>
      <c r="BTE55" s="139"/>
      <c r="BTF55" s="41"/>
      <c r="BTG55" s="41"/>
      <c r="BTH55" s="41"/>
      <c r="BTI55" s="41"/>
      <c r="BTJ55" s="41"/>
      <c r="BTK55" s="76"/>
      <c r="BTL55" s="41"/>
      <c r="BTM55" s="41"/>
      <c r="BTN55" s="41"/>
      <c r="BTO55" s="41"/>
      <c r="BTP55" s="41"/>
      <c r="BTQ55" s="139"/>
      <c r="BTR55" s="41"/>
      <c r="BTS55" s="41"/>
      <c r="BTT55" s="41"/>
      <c r="BTU55" s="41"/>
      <c r="BTV55" s="41"/>
      <c r="BTW55" s="76"/>
      <c r="BTX55" s="66"/>
      <c r="BTY55" s="66"/>
      <c r="BTZ55" s="66"/>
      <c r="BUA55" s="66"/>
      <c r="BUB55" s="41"/>
      <c r="BUC55" s="139"/>
      <c r="BUD55" s="41"/>
      <c r="BUE55" s="41"/>
      <c r="BUF55" s="41"/>
      <c r="BUG55" s="41"/>
      <c r="BUH55" s="41"/>
      <c r="BUI55" s="76"/>
      <c r="BUJ55" s="41"/>
      <c r="BUK55" s="41"/>
      <c r="BUL55" s="41"/>
      <c r="BUM55" s="41"/>
      <c r="BUN55" s="41"/>
      <c r="BUO55" s="139"/>
      <c r="BUP55" s="41"/>
      <c r="BUQ55" s="41"/>
      <c r="BUR55" s="41"/>
      <c r="BUS55" s="41"/>
      <c r="BUT55" s="41"/>
      <c r="BUU55" s="76"/>
      <c r="BUV55" s="41"/>
      <c r="BUW55" s="41"/>
      <c r="BUX55" s="41"/>
      <c r="BUY55" s="41"/>
      <c r="BUZ55" s="41"/>
      <c r="BVA55" s="42"/>
      <c r="BVB55" s="40"/>
      <c r="BVC55" s="66"/>
      <c r="BVD55" s="66"/>
      <c r="BVE55" s="66"/>
      <c r="BVF55" s="41"/>
      <c r="BVG55" s="134"/>
      <c r="BVH55" s="41"/>
      <c r="BVI55" s="41"/>
      <c r="BVJ55" s="41"/>
      <c r="BVK55" s="41"/>
      <c r="BVL55" s="41"/>
      <c r="BVM55" s="139"/>
      <c r="BVN55" s="41"/>
      <c r="BVO55" s="41"/>
      <c r="BVP55" s="41"/>
      <c r="BVQ55" s="41"/>
      <c r="BVR55" s="41"/>
      <c r="BVS55" s="76"/>
      <c r="BVT55" s="41"/>
      <c r="BVU55" s="41"/>
      <c r="BVV55" s="41"/>
      <c r="BVW55" s="41"/>
      <c r="BVX55" s="41"/>
      <c r="BVY55" s="139"/>
      <c r="BVZ55" s="41"/>
      <c r="BWA55" s="41"/>
      <c r="BWB55" s="41"/>
      <c r="BWC55" s="41"/>
      <c r="BWD55" s="41"/>
      <c r="BWE55" s="76"/>
      <c r="BWF55" s="66"/>
      <c r="BWG55" s="66"/>
      <c r="BWH55" s="66"/>
      <c r="BWI55" s="66"/>
      <c r="BWJ55" s="41"/>
      <c r="BWK55" s="139"/>
      <c r="BWL55" s="41"/>
      <c r="BWM55" s="41"/>
      <c r="BWN55" s="41"/>
      <c r="BWO55" s="41"/>
      <c r="BWP55" s="41"/>
      <c r="BWQ55" s="76"/>
      <c r="BWR55" s="41"/>
      <c r="BWS55" s="41"/>
      <c r="BWT55" s="41"/>
      <c r="BWU55" s="41"/>
      <c r="BWV55" s="41"/>
      <c r="BWW55" s="139"/>
      <c r="BWX55" s="41"/>
      <c r="BWY55" s="41"/>
      <c r="BWZ55" s="41"/>
      <c r="BXA55" s="41"/>
      <c r="BXB55" s="41"/>
      <c r="BXC55" s="76"/>
      <c r="BXD55" s="41"/>
      <c r="BXE55" s="41"/>
      <c r="BXF55" s="41"/>
      <c r="BXG55" s="41"/>
      <c r="BXH55" s="41"/>
      <c r="BXI55" s="42"/>
      <c r="BXJ55" s="40"/>
      <c r="BXK55" s="66"/>
      <c r="BXL55" s="66"/>
      <c r="BXM55" s="66"/>
      <c r="BXN55" s="41"/>
      <c r="BXO55" s="134"/>
      <c r="BXP55" s="41"/>
      <c r="BXQ55" s="41"/>
      <c r="BXR55" s="41"/>
      <c r="BXS55" s="41"/>
      <c r="BXT55" s="41"/>
      <c r="BXU55" s="139"/>
      <c r="BXV55" s="41"/>
      <c r="BXW55" s="41"/>
      <c r="BXX55" s="41"/>
      <c r="BXY55" s="41"/>
      <c r="BXZ55" s="41"/>
      <c r="BYA55" s="76"/>
      <c r="BYB55" s="41"/>
      <c r="BYC55" s="41"/>
      <c r="BYD55" s="41"/>
      <c r="BYE55" s="41"/>
      <c r="BYF55" s="41"/>
      <c r="BYG55" s="139"/>
      <c r="BYH55" s="41"/>
      <c r="BYI55" s="41"/>
      <c r="BYJ55" s="41"/>
      <c r="BYK55" s="41"/>
      <c r="BYL55" s="41"/>
      <c r="BYM55" s="76"/>
      <c r="BYN55" s="66"/>
      <c r="BYO55" s="66"/>
      <c r="BYP55" s="66"/>
      <c r="BYQ55" s="66"/>
      <c r="BYR55" s="41"/>
      <c r="BYS55" s="139"/>
      <c r="BYT55" s="41"/>
      <c r="BYU55" s="41"/>
      <c r="BYV55" s="41"/>
      <c r="BYW55" s="41"/>
      <c r="BYX55" s="41"/>
      <c r="BYY55" s="76"/>
      <c r="BYZ55" s="41"/>
      <c r="BZA55" s="41"/>
      <c r="BZB55" s="41"/>
      <c r="BZC55" s="41"/>
      <c r="BZD55" s="41"/>
      <c r="BZE55" s="139"/>
      <c r="BZF55" s="41"/>
      <c r="BZG55" s="41"/>
      <c r="BZH55" s="41"/>
      <c r="BZI55" s="41"/>
      <c r="BZJ55" s="41"/>
      <c r="BZK55" s="76"/>
      <c r="BZL55" s="41"/>
      <c r="BZM55" s="41"/>
      <c r="BZN55" s="41"/>
      <c r="BZO55" s="41"/>
      <c r="BZP55" s="41"/>
      <c r="BZQ55" s="42"/>
      <c r="BZR55" s="176"/>
      <c r="BZS55" s="175"/>
      <c r="BZT55" s="175"/>
      <c r="BZU55" s="175"/>
      <c r="BZV55" s="171"/>
      <c r="BZW55" s="177"/>
      <c r="BZX55" s="171"/>
      <c r="BZY55" s="171"/>
      <c r="BZZ55" s="171"/>
      <c r="CAA55" s="171"/>
      <c r="CAB55" s="171"/>
      <c r="CAC55" s="172"/>
      <c r="CAD55" s="171"/>
      <c r="CAE55" s="171"/>
      <c r="CAF55" s="171"/>
      <c r="CAG55" s="171"/>
      <c r="CAH55" s="171"/>
      <c r="CAI55" s="173"/>
      <c r="CAJ55" s="171"/>
      <c r="CAK55" s="171"/>
      <c r="CAL55" s="171"/>
      <c r="CAM55" s="171"/>
      <c r="CAN55" s="171"/>
      <c r="CAO55" s="172"/>
      <c r="CAP55" s="171"/>
      <c r="CAQ55" s="171"/>
      <c r="CAR55" s="171"/>
      <c r="CAS55" s="171"/>
      <c r="CAT55" s="171"/>
      <c r="CAU55" s="173"/>
      <c r="CAV55" s="175"/>
      <c r="CAW55" s="175"/>
      <c r="CAX55" s="175"/>
      <c r="CAY55" s="175"/>
      <c r="CAZ55" s="171"/>
      <c r="CBA55" s="172"/>
      <c r="CBB55" s="41"/>
      <c r="CBC55" s="41"/>
      <c r="CBD55" s="41"/>
      <c r="CBE55" s="41"/>
      <c r="CBF55" s="41"/>
      <c r="CBG55" s="76"/>
      <c r="CBH55" s="41"/>
      <c r="CBI55" s="41"/>
      <c r="CBJ55" s="41"/>
      <c r="CBK55" s="41"/>
      <c r="CBL55" s="41"/>
      <c r="CBM55" s="139"/>
      <c r="CBN55" s="41"/>
      <c r="CBO55" s="41"/>
      <c r="CBP55" s="41"/>
      <c r="CBQ55" s="41"/>
      <c r="CBR55" s="41"/>
      <c r="CBS55" s="76"/>
      <c r="CBT55" s="41"/>
      <c r="CBU55" s="41"/>
      <c r="CBV55" s="41"/>
      <c r="CBW55" s="41"/>
      <c r="CBX55" s="41"/>
      <c r="CBY55" s="42"/>
      <c r="CBZ55" s="40"/>
      <c r="CCA55" s="66"/>
      <c r="CCB55" s="66"/>
      <c r="CCC55" s="66"/>
      <c r="CCD55" s="41"/>
      <c r="CCE55" s="134"/>
      <c r="CCF55" s="41"/>
      <c r="CCG55" s="41"/>
      <c r="CCH55" s="41"/>
      <c r="CCI55" s="41"/>
      <c r="CCJ55" s="41"/>
      <c r="CCK55" s="139"/>
      <c r="CCL55" s="41"/>
      <c r="CCM55" s="41"/>
      <c r="CCN55" s="41"/>
      <c r="CCO55" s="41"/>
      <c r="CCP55" s="41"/>
      <c r="CCQ55" s="76"/>
      <c r="CCR55" s="41"/>
      <c r="CCS55" s="41"/>
      <c r="CCT55" s="41"/>
      <c r="CCU55" s="41"/>
      <c r="CCV55" s="41"/>
      <c r="CCW55" s="139"/>
      <c r="CCX55" s="41"/>
      <c r="CCY55" s="41"/>
      <c r="CCZ55" s="41"/>
      <c r="CDA55" s="41"/>
      <c r="CDB55" s="41"/>
      <c r="CDC55" s="76"/>
      <c r="CDD55" s="66"/>
      <c r="CDE55" s="66"/>
      <c r="CDF55" s="66"/>
      <c r="CDG55" s="66"/>
      <c r="CDH55" s="41"/>
      <c r="CDI55" s="139"/>
      <c r="CDJ55" s="41"/>
      <c r="CDK55" s="41"/>
      <c r="CDL55" s="41"/>
      <c r="CDM55" s="41"/>
      <c r="CDN55" s="41"/>
      <c r="CDO55" s="76"/>
      <c r="CDP55" s="41"/>
      <c r="CDQ55" s="41"/>
      <c r="CDR55" s="41"/>
      <c r="CDS55" s="41"/>
      <c r="CDT55" s="41"/>
      <c r="CDU55" s="139"/>
      <c r="CDV55" s="41"/>
      <c r="CDW55" s="41"/>
      <c r="CDX55" s="41"/>
      <c r="CDY55" s="41"/>
      <c r="CDZ55" s="41"/>
      <c r="CEA55" s="76"/>
      <c r="CEB55" s="41"/>
      <c r="CEC55" s="41"/>
      <c r="CED55" s="41"/>
      <c r="CEE55" s="41"/>
      <c r="CEF55" s="41"/>
      <c r="CEG55" s="42"/>
      <c r="CEH55" s="176"/>
      <c r="CEI55" s="175"/>
      <c r="CEJ55" s="175"/>
      <c r="CEK55" s="175"/>
      <c r="CEL55" s="171"/>
      <c r="CEM55" s="177"/>
      <c r="CEN55" s="171"/>
      <c r="CEO55" s="171"/>
      <c r="CEP55" s="171"/>
      <c r="CEQ55" s="171"/>
      <c r="CER55" s="171"/>
      <c r="CES55" s="172"/>
      <c r="CET55" s="171"/>
      <c r="CEU55" s="171"/>
      <c r="CEV55" s="171"/>
      <c r="CEW55" s="171"/>
      <c r="CEX55" s="171"/>
      <c r="CEY55" s="173"/>
      <c r="CEZ55" s="171"/>
      <c r="CFA55" s="171"/>
      <c r="CFB55" s="171"/>
      <c r="CFC55" s="171"/>
      <c r="CFD55" s="171"/>
      <c r="CFE55" s="172"/>
      <c r="CFF55" s="171"/>
      <c r="CFG55" s="171"/>
      <c r="CFH55" s="171"/>
      <c r="CFI55" s="41"/>
      <c r="CFJ55" s="41"/>
      <c r="CFK55" s="76"/>
      <c r="CFL55" s="66"/>
      <c r="CFM55" s="66"/>
      <c r="CFN55" s="66"/>
      <c r="CFO55" s="66"/>
      <c r="CFP55" s="41"/>
      <c r="CFQ55" s="139"/>
      <c r="CFR55" s="41"/>
      <c r="CFS55" s="41"/>
      <c r="CFT55" s="41"/>
      <c r="CFU55" s="41"/>
      <c r="CFV55" s="41"/>
      <c r="CFW55" s="76"/>
      <c r="CFX55" s="41"/>
      <c r="CFY55" s="41"/>
      <c r="CFZ55" s="41"/>
      <c r="CGA55" s="41"/>
      <c r="CGB55" s="41"/>
      <c r="CGC55" s="139"/>
      <c r="CGD55" s="41"/>
      <c r="CGE55" s="41"/>
      <c r="CGF55" s="41"/>
      <c r="CGG55" s="41"/>
      <c r="CGH55" s="41"/>
      <c r="CGI55" s="76"/>
      <c r="CGJ55" s="41"/>
      <c r="CGK55" s="41"/>
      <c r="CGL55" s="41"/>
      <c r="CGM55" s="41"/>
      <c r="CGN55" s="41"/>
      <c r="CGO55" s="42"/>
      <c r="CGP55" s="176"/>
      <c r="CGQ55" s="175"/>
      <c r="CGR55" s="175"/>
      <c r="CGS55" s="175"/>
      <c r="CGT55" s="171"/>
      <c r="CGU55" s="177"/>
      <c r="CGV55" s="171"/>
      <c r="CGW55" s="171"/>
      <c r="CGX55" s="171"/>
      <c r="CGY55" s="171"/>
      <c r="CGZ55" s="171"/>
      <c r="CHA55" s="172"/>
      <c r="CHB55" s="171"/>
      <c r="CHC55" s="171"/>
      <c r="CHD55" s="171"/>
      <c r="CHE55" s="171"/>
      <c r="CHF55" s="171"/>
      <c r="CHG55" s="173"/>
      <c r="CHH55" s="171"/>
      <c r="CHI55" s="171"/>
      <c r="CHJ55" s="171"/>
      <c r="CHK55" s="171"/>
      <c r="CHL55" s="171"/>
      <c r="CHM55" s="172"/>
      <c r="CHN55" s="171"/>
      <c r="CHO55" s="171"/>
      <c r="CHP55" s="171"/>
      <c r="CHQ55" s="171"/>
      <c r="CHR55" s="171"/>
      <c r="CHS55" s="173"/>
      <c r="CHT55" s="175"/>
      <c r="CHU55" s="175"/>
      <c r="CHV55" s="175"/>
      <c r="CHW55" s="175"/>
      <c r="CHX55" s="171"/>
      <c r="CHY55" s="172"/>
      <c r="CHZ55" s="41"/>
      <c r="CIA55" s="41"/>
      <c r="CIB55" s="41"/>
      <c r="CIC55" s="41"/>
      <c r="CID55" s="41"/>
      <c r="CIE55" s="76"/>
      <c r="CIF55" s="41"/>
      <c r="CIG55" s="41"/>
      <c r="CIH55" s="41"/>
      <c r="CII55" s="41"/>
      <c r="CIJ55" s="41"/>
      <c r="CIK55" s="139"/>
      <c r="CIL55" s="41"/>
      <c r="CIM55" s="41"/>
      <c r="CIN55" s="41"/>
      <c r="CIO55" s="41"/>
      <c r="CIP55" s="41"/>
      <c r="CIQ55" s="76"/>
      <c r="CIR55" s="41"/>
      <c r="CIS55" s="41"/>
      <c r="CIT55" s="41"/>
      <c r="CIU55" s="41"/>
      <c r="CIV55" s="41"/>
      <c r="CIW55" s="42"/>
      <c r="CIX55" s="176"/>
      <c r="CIY55" s="175"/>
      <c r="CIZ55" s="175"/>
      <c r="CJA55" s="175"/>
      <c r="CJB55" s="171"/>
      <c r="CJC55" s="177"/>
      <c r="CJD55" s="171"/>
      <c r="CJE55" s="171"/>
      <c r="CJF55" s="171"/>
      <c r="CJG55" s="171"/>
      <c r="CJH55" s="171"/>
      <c r="CJI55" s="172"/>
      <c r="CJJ55" s="171"/>
      <c r="CJK55" s="171"/>
      <c r="CJL55" s="171"/>
      <c r="CJM55" s="171"/>
      <c r="CJN55" s="171"/>
      <c r="CJO55" s="173"/>
      <c r="CJP55" s="171"/>
      <c r="CJQ55" s="171"/>
      <c r="CJR55" s="171"/>
      <c r="CJS55" s="171"/>
      <c r="CJT55" s="171"/>
      <c r="CJU55" s="172"/>
      <c r="CJV55" s="171"/>
      <c r="CJW55" s="171"/>
      <c r="CJX55" s="171"/>
      <c r="CJY55" s="171"/>
      <c r="CJZ55" s="171"/>
      <c r="CKA55" s="173"/>
      <c r="CKB55" s="175"/>
      <c r="CKC55" s="175"/>
      <c r="CKD55" s="175"/>
      <c r="CKE55" s="175"/>
      <c r="CKF55" s="171"/>
      <c r="CKG55" s="172"/>
      <c r="CKH55" s="41"/>
      <c r="CKI55" s="41"/>
      <c r="CKJ55" s="41"/>
      <c r="CKK55" s="41"/>
      <c r="CKL55" s="41"/>
      <c r="CKM55" s="76"/>
      <c r="CKN55" s="41"/>
      <c r="CKO55" s="41"/>
      <c r="CKP55" s="41"/>
      <c r="CKQ55" s="41"/>
      <c r="CKR55" s="41"/>
      <c r="CKS55" s="139"/>
      <c r="CKT55" s="41"/>
      <c r="CKU55" s="41"/>
      <c r="CKV55" s="41"/>
      <c r="CKW55" s="41"/>
      <c r="CKX55" s="41"/>
      <c r="CKY55" s="76"/>
      <c r="CKZ55" s="41"/>
      <c r="CLA55" s="41"/>
      <c r="CLB55" s="41"/>
      <c r="CLC55" s="41"/>
      <c r="CLD55" s="41"/>
      <c r="CLE55" s="42"/>
      <c r="CLF55" s="176"/>
      <c r="CLG55" s="175"/>
      <c r="CLH55" s="175"/>
      <c r="CLI55" s="175"/>
      <c r="CLJ55" s="171"/>
      <c r="CLK55" s="177"/>
      <c r="CLL55" s="171"/>
      <c r="CLM55" s="171"/>
      <c r="CLN55" s="171"/>
      <c r="CLO55" s="171"/>
      <c r="CLP55" s="171"/>
      <c r="CLQ55" s="172"/>
      <c r="CLR55" s="171"/>
      <c r="CLS55" s="171"/>
      <c r="CLT55" s="171"/>
      <c r="CLU55" s="171"/>
      <c r="CLV55" s="171"/>
      <c r="CLW55" s="173"/>
      <c r="CLX55" s="171"/>
      <c r="CLY55" s="171"/>
      <c r="CLZ55" s="171"/>
      <c r="CMA55" s="171"/>
      <c r="CMB55" s="171"/>
      <c r="CMC55" s="172"/>
      <c r="CMD55" s="171"/>
      <c r="CME55" s="171"/>
      <c r="CMF55" s="171"/>
      <c r="CMG55" s="171"/>
      <c r="CMH55" s="171"/>
      <c r="CMI55" s="173"/>
      <c r="CMJ55" s="175"/>
      <c r="CMK55" s="175"/>
      <c r="CML55" s="175"/>
      <c r="CMM55" s="175"/>
      <c r="CMN55" s="171"/>
      <c r="CMO55" s="172"/>
      <c r="CMP55" s="41"/>
      <c r="CMQ55" s="41"/>
      <c r="CMR55" s="41"/>
      <c r="CMS55" s="41"/>
      <c r="CMT55" s="41"/>
      <c r="CMU55" s="76"/>
      <c r="CMV55" s="41"/>
      <c r="CMW55" s="41"/>
      <c r="CMX55" s="41"/>
      <c r="CMY55" s="41"/>
      <c r="CMZ55" s="41"/>
      <c r="CNA55" s="139"/>
      <c r="CNB55" s="41"/>
      <c r="CNC55" s="41"/>
      <c r="CND55" s="41"/>
      <c r="CNE55" s="41"/>
      <c r="CNF55" s="41"/>
      <c r="CNG55" s="76"/>
      <c r="CNH55" s="41"/>
      <c r="CNI55" s="41"/>
      <c r="CNJ55" s="41"/>
      <c r="CNK55" s="41"/>
      <c r="CNL55" s="41"/>
      <c r="CNM55" s="42"/>
      <c r="CNN55" s="40"/>
      <c r="CNO55" s="66"/>
      <c r="CNP55" s="66"/>
      <c r="CNQ55" s="66"/>
      <c r="CNR55" s="41"/>
      <c r="CNS55" s="134"/>
      <c r="CNT55" s="41"/>
      <c r="CNU55" s="41"/>
      <c r="CNV55" s="41"/>
      <c r="CNW55" s="41"/>
      <c r="CNX55" s="41"/>
      <c r="CNY55" s="139"/>
      <c r="CNZ55" s="41"/>
      <c r="COA55" s="41"/>
      <c r="COB55" s="41"/>
      <c r="COC55" s="41"/>
      <c r="COD55" s="41"/>
      <c r="COE55" s="76"/>
      <c r="COF55" s="41"/>
      <c r="COG55" s="41"/>
      <c r="COH55" s="41"/>
      <c r="COI55" s="41"/>
      <c r="COJ55" s="41"/>
      <c r="COK55" s="139"/>
      <c r="COL55" s="41"/>
      <c r="COM55" s="41"/>
      <c r="CON55" s="41"/>
      <c r="COO55" s="41"/>
      <c r="COP55" s="41"/>
      <c r="COQ55" s="76"/>
      <c r="COR55" s="66"/>
      <c r="COS55" s="66"/>
      <c r="COT55" s="66"/>
      <c r="COU55" s="66"/>
      <c r="COV55" s="41"/>
      <c r="COW55" s="139"/>
      <c r="COX55" s="41"/>
      <c r="COY55" s="41"/>
      <c r="COZ55" s="41"/>
      <c r="CPA55" s="41"/>
      <c r="CPB55" s="41"/>
      <c r="CPC55" s="76"/>
      <c r="CPD55" s="41"/>
      <c r="CPE55" s="41"/>
      <c r="CPF55" s="41"/>
      <c r="CPG55" s="41"/>
      <c r="CPH55" s="41"/>
      <c r="CPI55" s="139"/>
      <c r="CPJ55" s="41"/>
      <c r="CPK55" s="41"/>
      <c r="CPL55" s="41"/>
      <c r="CPM55" s="41"/>
      <c r="CPN55" s="41"/>
      <c r="CPO55" s="76"/>
      <c r="CPP55" s="41"/>
      <c r="CPQ55" s="41"/>
      <c r="CPR55" s="41"/>
      <c r="CPS55" s="41"/>
      <c r="CPT55" s="41"/>
      <c r="CPU55" s="42"/>
      <c r="CPV55" s="40"/>
      <c r="CPW55" s="66"/>
      <c r="CPX55" s="66"/>
      <c r="CPY55" s="66"/>
      <c r="CPZ55" s="41"/>
      <c r="CQA55" s="134"/>
      <c r="CQB55" s="41"/>
      <c r="CQC55" s="41"/>
      <c r="CQD55" s="41"/>
      <c r="CQE55" s="41"/>
      <c r="CQF55" s="41"/>
      <c r="CQG55" s="139"/>
      <c r="CQH55" s="41"/>
      <c r="CQI55" s="41"/>
      <c r="CQJ55" s="41"/>
      <c r="CQK55" s="41"/>
      <c r="CQL55" s="41"/>
      <c r="CQM55" s="76"/>
      <c r="CQN55" s="41"/>
      <c r="CQO55" s="41"/>
      <c r="CQP55" s="41"/>
      <c r="CQQ55" s="41"/>
      <c r="CQR55" s="41"/>
      <c r="CQS55" s="139"/>
      <c r="CQT55" s="41"/>
      <c r="CQU55" s="41"/>
      <c r="CQV55" s="41"/>
      <c r="CQW55" s="41"/>
      <c r="CQX55" s="41"/>
      <c r="CQY55" s="76"/>
      <c r="CQZ55" s="66"/>
      <c r="CRA55" s="66"/>
      <c r="CRB55" s="66"/>
      <c r="CRC55" s="66"/>
      <c r="CRD55" s="41"/>
      <c r="CRE55" s="139"/>
      <c r="CRF55" s="41"/>
      <c r="CRG55" s="41"/>
      <c r="CRH55" s="41"/>
      <c r="CRI55" s="41"/>
      <c r="CRJ55" s="41"/>
      <c r="CRK55" s="76"/>
      <c r="CRL55" s="41"/>
      <c r="CRM55" s="41"/>
      <c r="CRN55" s="41"/>
      <c r="CRO55" s="41"/>
      <c r="CRP55" s="41"/>
      <c r="CRQ55" s="139"/>
      <c r="CRR55" s="41"/>
      <c r="CRS55" s="41"/>
      <c r="CRT55" s="41"/>
      <c r="CRU55" s="41"/>
      <c r="CRV55" s="41"/>
      <c r="CRW55" s="76"/>
      <c r="CRX55" s="41"/>
      <c r="CRY55" s="41"/>
      <c r="CRZ55" s="41"/>
      <c r="CSA55" s="41"/>
      <c r="CSB55" s="41"/>
      <c r="CSC55" s="42"/>
      <c r="CSD55" s="90"/>
    </row>
    <row r="56" spans="1:2526" ht="20.100000000000001" customHeight="1" x14ac:dyDescent="0.25">
      <c r="A56" s="100" t="s">
        <v>19</v>
      </c>
      <c r="B56" s="63"/>
      <c r="C56" s="212"/>
      <c r="D56" s="147" t="str">
        <f t="shared" si="0"/>
        <v>1h30min</v>
      </c>
      <c r="E56" s="27">
        <v>18</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194"/>
      <c r="AAY56" s="193"/>
      <c r="AAZ56" s="193"/>
      <c r="ABA56" s="193"/>
      <c r="ABB56" s="190"/>
      <c r="ABC56" s="195"/>
      <c r="ABD56" s="190"/>
      <c r="ABE56" s="190"/>
      <c r="ABF56" s="190"/>
      <c r="ABG56" s="190"/>
      <c r="ABH56" s="190"/>
      <c r="ABI56" s="191"/>
      <c r="ABJ56" s="190"/>
      <c r="ABK56" s="190"/>
      <c r="ABL56" s="190"/>
      <c r="ABM56" s="190"/>
      <c r="ABN56" s="190"/>
      <c r="ABO56" s="192"/>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28"/>
      <c r="BLW56" s="67"/>
      <c r="BLX56" s="67"/>
      <c r="BLY56" s="67"/>
      <c r="BLZ56" s="29"/>
      <c r="BMA56" s="131"/>
      <c r="BMB56" s="29"/>
      <c r="BMC56" s="29"/>
      <c r="BMD56" s="29"/>
      <c r="BME56" s="29"/>
      <c r="BMF56" s="29"/>
      <c r="BMG56" s="136"/>
      <c r="BMH56" s="29"/>
      <c r="BMI56" s="29"/>
      <c r="BMJ56" s="29"/>
      <c r="BMK56" s="29"/>
      <c r="BML56" s="29"/>
      <c r="BMM56" s="73"/>
      <c r="BMN56" s="29"/>
      <c r="BMO56" s="29"/>
      <c r="BMP56" s="29"/>
      <c r="BMQ56" s="29"/>
      <c r="BMR56" s="29"/>
      <c r="BMS56" s="136"/>
      <c r="BMT56" s="29"/>
      <c r="BMU56" s="29"/>
      <c r="BMV56" s="29"/>
      <c r="BMW56" s="29"/>
      <c r="BMX56" s="29"/>
      <c r="BMY56" s="73"/>
      <c r="BMZ56" s="67"/>
      <c r="BNA56" s="67"/>
      <c r="BNB56" s="67"/>
      <c r="BNC56" s="67"/>
      <c r="BND56" s="29"/>
      <c r="BNE56" s="136"/>
      <c r="BNF56" s="29"/>
      <c r="BNG56" s="29"/>
      <c r="BNH56" s="29"/>
      <c r="BNI56" s="29"/>
      <c r="BNJ56" s="29"/>
      <c r="BNK56" s="73"/>
      <c r="BNL56" s="29"/>
      <c r="BNM56" s="29"/>
      <c r="BNN56" s="29"/>
      <c r="BNO56" s="29"/>
      <c r="BNP56" s="29"/>
      <c r="BNQ56" s="136"/>
      <c r="BNR56" s="29"/>
      <c r="BNS56" s="29"/>
      <c r="BNT56" s="29"/>
      <c r="BNU56" s="29"/>
      <c r="BNV56" s="29"/>
      <c r="BNW56" s="73"/>
      <c r="BNX56" s="29"/>
      <c r="BNY56" s="29"/>
      <c r="BNZ56" s="29"/>
      <c r="BOA56" s="29"/>
      <c r="BOB56" s="29"/>
      <c r="BOC56" s="30"/>
      <c r="BOD56" s="28"/>
      <c r="BOE56" s="67"/>
      <c r="BOF56" s="67"/>
      <c r="BOG56" s="67"/>
      <c r="BOH56" s="29"/>
      <c r="BOI56" s="131"/>
      <c r="BOJ56" s="29"/>
      <c r="BOK56" s="29"/>
      <c r="BOL56" s="29"/>
      <c r="BOM56" s="29"/>
      <c r="BON56" s="29"/>
      <c r="BOO56" s="136"/>
      <c r="BOP56" s="29"/>
      <c r="BOQ56" s="29"/>
      <c r="BOR56" s="29"/>
      <c r="BOS56" s="29"/>
      <c r="BOT56" s="29"/>
      <c r="BOU56" s="73"/>
      <c r="BOV56" s="29"/>
      <c r="BOW56" s="29"/>
      <c r="BOX56" s="29"/>
      <c r="BOY56" s="29"/>
      <c r="BOZ56" s="29"/>
      <c r="BPA56" s="136"/>
      <c r="BPB56" s="29"/>
      <c r="BPC56" s="29"/>
      <c r="BPD56" s="29"/>
      <c r="BPE56" s="29"/>
      <c r="BPF56" s="29"/>
      <c r="BPG56" s="73"/>
      <c r="BPH56" s="67"/>
      <c r="BPI56" s="67"/>
      <c r="BPJ56" s="67"/>
      <c r="BPK56" s="67"/>
      <c r="BPL56" s="29"/>
      <c r="BPM56" s="136"/>
      <c r="BPN56" s="29"/>
      <c r="BPO56" s="29"/>
      <c r="BPP56" s="29"/>
      <c r="BPQ56" s="29"/>
      <c r="BPR56" s="29"/>
      <c r="BPS56" s="73"/>
      <c r="BPT56" s="29"/>
      <c r="BPU56" s="29"/>
      <c r="BPV56" s="29"/>
      <c r="BPW56" s="29"/>
      <c r="BPX56" s="29"/>
      <c r="BPY56" s="136"/>
      <c r="BPZ56" s="29"/>
      <c r="BQA56" s="29"/>
      <c r="BQB56" s="29"/>
      <c r="BQC56" s="29"/>
      <c r="BQD56" s="29"/>
      <c r="BQE56" s="73"/>
      <c r="BQF56" s="29"/>
      <c r="BQG56" s="29"/>
      <c r="BQH56" s="29"/>
      <c r="BQI56" s="29"/>
      <c r="BQJ56" s="29"/>
      <c r="BQK56" s="30"/>
      <c r="BQL56" s="28"/>
      <c r="BQM56" s="67"/>
      <c r="BQN56" s="67"/>
      <c r="BQO56" s="67"/>
      <c r="BQP56" s="29"/>
      <c r="BQQ56" s="131"/>
      <c r="BQR56" s="29"/>
      <c r="BQS56" s="29"/>
      <c r="BQT56" s="29"/>
      <c r="BQU56" s="29"/>
      <c r="BQV56" s="29"/>
      <c r="BQW56" s="136"/>
      <c r="BQX56" s="29"/>
      <c r="BQY56" s="29"/>
      <c r="BQZ56" s="29"/>
      <c r="BRA56" s="29"/>
      <c r="BRB56" s="29"/>
      <c r="BRC56" s="73"/>
      <c r="BRD56" s="29"/>
      <c r="BRE56" s="29"/>
      <c r="BRF56" s="29"/>
      <c r="BRG56" s="29"/>
      <c r="BRH56" s="29"/>
      <c r="BRI56" s="136"/>
      <c r="BRJ56" s="29"/>
      <c r="BRK56" s="29"/>
      <c r="BRL56" s="29"/>
      <c r="BRM56" s="29"/>
      <c r="BRN56" s="29"/>
      <c r="BRO56" s="73"/>
      <c r="BRP56" s="67"/>
      <c r="BRQ56" s="67"/>
      <c r="BRR56" s="67"/>
      <c r="BRS56" s="67"/>
      <c r="BRT56" s="29"/>
      <c r="BRU56" s="136"/>
      <c r="BRV56" s="29"/>
      <c r="BRW56" s="29"/>
      <c r="BRX56" s="29"/>
      <c r="BRY56" s="29"/>
      <c r="BRZ56" s="29"/>
      <c r="BSA56" s="73"/>
      <c r="BSB56" s="29"/>
      <c r="BSC56" s="29"/>
      <c r="BSD56" s="29"/>
      <c r="BSE56" s="29"/>
      <c r="BSF56" s="29"/>
      <c r="BSG56" s="136"/>
      <c r="BSH56" s="29"/>
      <c r="BSI56" s="29"/>
      <c r="BSJ56" s="29"/>
      <c r="BSK56" s="29"/>
      <c r="BSL56" s="29"/>
      <c r="BSM56" s="73"/>
      <c r="BSN56" s="29"/>
      <c r="BSO56" s="29"/>
      <c r="BSP56" s="29"/>
      <c r="BSQ56" s="29"/>
      <c r="BSR56" s="29"/>
      <c r="BSS56" s="30"/>
      <c r="BST56" s="28"/>
      <c r="BSU56" s="67"/>
      <c r="BSV56" s="67"/>
      <c r="BSW56" s="67"/>
      <c r="BSX56" s="29"/>
      <c r="BSY56" s="131"/>
      <c r="BSZ56" s="29"/>
      <c r="BTA56" s="29"/>
      <c r="BTB56" s="29"/>
      <c r="BTC56" s="29"/>
      <c r="BTD56" s="29"/>
      <c r="BTE56" s="136"/>
      <c r="BTF56" s="29"/>
      <c r="BTG56" s="29"/>
      <c r="BTH56" s="29"/>
      <c r="BTI56" s="29"/>
      <c r="BTJ56" s="29"/>
      <c r="BTK56" s="73"/>
      <c r="BTL56" s="29"/>
      <c r="BTM56" s="29"/>
      <c r="BTN56" s="29"/>
      <c r="BTO56" s="29"/>
      <c r="BTP56" s="29"/>
      <c r="BTQ56" s="136"/>
      <c r="BTR56" s="29"/>
      <c r="BTS56" s="29"/>
      <c r="BTT56" s="29"/>
      <c r="BTU56" s="29"/>
      <c r="BTV56" s="29"/>
      <c r="BTW56" s="73"/>
      <c r="BTX56" s="67"/>
      <c r="BTY56" s="67"/>
      <c r="BTZ56" s="67"/>
      <c r="BUA56" s="67"/>
      <c r="BUB56" s="29"/>
      <c r="BUC56" s="136"/>
      <c r="BUD56" s="29"/>
      <c r="BUE56" s="29"/>
      <c r="BUF56" s="29"/>
      <c r="BUG56" s="29"/>
      <c r="BUH56" s="29"/>
      <c r="BUI56" s="73"/>
      <c r="BUJ56" s="29"/>
      <c r="BUK56" s="29"/>
      <c r="BUL56" s="29"/>
      <c r="BUM56" s="29"/>
      <c r="BUN56" s="29"/>
      <c r="BUO56" s="136"/>
      <c r="BUP56" s="29"/>
      <c r="BUQ56" s="29"/>
      <c r="BUR56" s="29"/>
      <c r="BUS56" s="29"/>
      <c r="BUT56" s="29"/>
      <c r="BUU56" s="73"/>
      <c r="BUV56" s="29"/>
      <c r="BUW56" s="29"/>
      <c r="BUX56" s="29"/>
      <c r="BUY56" s="29"/>
      <c r="BUZ56" s="29"/>
      <c r="BVA56" s="30"/>
      <c r="BVB56" s="28"/>
      <c r="BVC56" s="67"/>
      <c r="BVD56" s="67"/>
      <c r="BVE56" s="67"/>
      <c r="BVF56" s="29"/>
      <c r="BVG56" s="131"/>
      <c r="BVH56" s="29"/>
      <c r="BVI56" s="29"/>
      <c r="BVJ56" s="29"/>
      <c r="BVK56" s="29"/>
      <c r="BVL56" s="29"/>
      <c r="BVM56" s="136"/>
      <c r="BVN56" s="29"/>
      <c r="BVO56" s="29"/>
      <c r="BVP56" s="29"/>
      <c r="BVQ56" s="29"/>
      <c r="BVR56" s="29"/>
      <c r="BVS56" s="73"/>
      <c r="BVT56" s="29"/>
      <c r="BVU56" s="29"/>
      <c r="BVV56" s="29"/>
      <c r="BVW56" s="29"/>
      <c r="BVX56" s="29"/>
      <c r="BVY56" s="136"/>
      <c r="BVZ56" s="29"/>
      <c r="BWA56" s="29"/>
      <c r="BWB56" s="29"/>
      <c r="BWC56" s="29"/>
      <c r="BWD56" s="29"/>
      <c r="BWE56" s="73"/>
      <c r="BWF56" s="67"/>
      <c r="BWG56" s="67"/>
      <c r="BWH56" s="67"/>
      <c r="BWI56" s="67"/>
      <c r="BWJ56" s="29"/>
      <c r="BWK56" s="136"/>
      <c r="BWL56" s="29"/>
      <c r="BWM56" s="29"/>
      <c r="BWN56" s="29"/>
      <c r="BWO56" s="29"/>
      <c r="BWP56" s="29"/>
      <c r="BWQ56" s="73"/>
      <c r="BWR56" s="29"/>
      <c r="BWS56" s="29"/>
      <c r="BWT56" s="29"/>
      <c r="BWU56" s="29"/>
      <c r="BWV56" s="29"/>
      <c r="BWW56" s="136"/>
      <c r="BWX56" s="29"/>
      <c r="BWY56" s="29"/>
      <c r="BWZ56" s="29"/>
      <c r="BXA56" s="29"/>
      <c r="BXB56" s="29"/>
      <c r="BXC56" s="73"/>
      <c r="BXD56" s="29"/>
      <c r="BXE56" s="29"/>
      <c r="BXF56" s="29"/>
      <c r="BXG56" s="29"/>
      <c r="BXH56" s="29"/>
      <c r="BXI56" s="30"/>
      <c r="BXJ56" s="28"/>
      <c r="BXK56" s="67"/>
      <c r="BXL56" s="67"/>
      <c r="BXM56" s="67"/>
      <c r="BXN56" s="29"/>
      <c r="BXO56" s="131"/>
      <c r="BXP56" s="29"/>
      <c r="BXQ56" s="29"/>
      <c r="BXR56" s="29"/>
      <c r="BXS56" s="29"/>
      <c r="BXT56" s="29"/>
      <c r="BXU56" s="136"/>
      <c r="BXV56" s="29"/>
      <c r="BXW56" s="29"/>
      <c r="BXX56" s="29"/>
      <c r="BXY56" s="29"/>
      <c r="BXZ56" s="29"/>
      <c r="BYA56" s="73"/>
      <c r="BYB56" s="29"/>
      <c r="BYC56" s="29"/>
      <c r="BYD56" s="29"/>
      <c r="BYE56" s="29"/>
      <c r="BYF56" s="29"/>
      <c r="BYG56" s="136"/>
      <c r="BYH56" s="29"/>
      <c r="BYI56" s="29"/>
      <c r="BYJ56" s="29"/>
      <c r="BYK56" s="29"/>
      <c r="BYL56" s="29"/>
      <c r="BYM56" s="73"/>
      <c r="BYN56" s="67"/>
      <c r="BYO56" s="67"/>
      <c r="BYP56" s="67"/>
      <c r="BYQ56" s="67"/>
      <c r="BYR56" s="29"/>
      <c r="BYS56" s="136"/>
      <c r="BYT56" s="29"/>
      <c r="BYU56" s="29"/>
      <c r="BYV56" s="29"/>
      <c r="BYW56" s="29"/>
      <c r="BYX56" s="29"/>
      <c r="BYY56" s="73"/>
      <c r="BYZ56" s="29"/>
      <c r="BZA56" s="29"/>
      <c r="BZB56" s="29"/>
      <c r="BZC56" s="29"/>
      <c r="BZD56" s="29"/>
      <c r="BZE56" s="136"/>
      <c r="BZF56" s="29"/>
      <c r="BZG56" s="29"/>
      <c r="BZH56" s="29"/>
      <c r="BZI56" s="29"/>
      <c r="BZJ56" s="29"/>
      <c r="BZK56" s="73"/>
      <c r="BZL56" s="29"/>
      <c r="BZM56" s="29"/>
      <c r="BZN56" s="29"/>
      <c r="BZO56" s="29"/>
      <c r="BZP56" s="29"/>
      <c r="BZQ56" s="30"/>
      <c r="BZR56" s="28"/>
      <c r="BZS56" s="67"/>
      <c r="BZT56" s="67"/>
      <c r="BZU56" s="67"/>
      <c r="BZV56" s="29"/>
      <c r="BZW56" s="131"/>
      <c r="BZX56" s="29"/>
      <c r="BZY56" s="29"/>
      <c r="BZZ56" s="29"/>
      <c r="CAA56" s="29"/>
      <c r="CAB56" s="29"/>
      <c r="CAC56" s="136"/>
      <c r="CAD56" s="29"/>
      <c r="CAE56" s="29"/>
      <c r="CAF56" s="29"/>
      <c r="CAG56" s="29"/>
      <c r="CAH56" s="29"/>
      <c r="CAI56" s="73"/>
      <c r="CAJ56" s="29"/>
      <c r="CAK56" s="29"/>
      <c r="CAL56" s="29"/>
      <c r="CAM56" s="29"/>
      <c r="CAN56" s="29"/>
      <c r="CAO56" s="136"/>
      <c r="CAP56" s="29"/>
      <c r="CAQ56" s="29"/>
      <c r="CAR56" s="29"/>
      <c r="CAS56" s="29"/>
      <c r="CAT56" s="29"/>
      <c r="CAU56" s="73"/>
      <c r="CAV56" s="67"/>
      <c r="CAW56" s="67"/>
      <c r="CAX56" s="67"/>
      <c r="CAY56" s="67"/>
      <c r="CAZ56" s="29"/>
      <c r="CBA56" s="136"/>
      <c r="CBB56" s="29"/>
      <c r="CBC56" s="29"/>
      <c r="CBD56" s="29"/>
      <c r="CBE56" s="29"/>
      <c r="CBF56" s="29"/>
      <c r="CBG56" s="73"/>
      <c r="CBH56" s="29"/>
      <c r="CBI56" s="29"/>
      <c r="CBJ56" s="29"/>
      <c r="CBK56" s="29"/>
      <c r="CBL56" s="29"/>
      <c r="CBM56" s="136"/>
      <c r="CBN56" s="29"/>
      <c r="CBO56" s="29"/>
      <c r="CBP56" s="29"/>
      <c r="CBQ56" s="29"/>
      <c r="CBR56" s="29"/>
      <c r="CBS56" s="73"/>
      <c r="CBT56" s="29"/>
      <c r="CBU56" s="29"/>
      <c r="CBV56" s="29"/>
      <c r="CBW56" s="29"/>
      <c r="CBX56" s="29"/>
      <c r="CBY56" s="30"/>
      <c r="CBZ56" s="28"/>
      <c r="CCA56" s="67"/>
      <c r="CCB56" s="67"/>
      <c r="CCC56" s="67"/>
      <c r="CCD56" s="29"/>
      <c r="CCE56" s="131"/>
      <c r="CCF56" s="29"/>
      <c r="CCG56" s="29"/>
      <c r="CCH56" s="29"/>
      <c r="CCI56" s="29"/>
      <c r="CCJ56" s="29"/>
      <c r="CCK56" s="136"/>
      <c r="CCL56" s="29"/>
      <c r="CCM56" s="29"/>
      <c r="CCN56" s="29"/>
      <c r="CCO56" s="29"/>
      <c r="CCP56" s="29"/>
      <c r="CCQ56" s="73"/>
      <c r="CCR56" s="29"/>
      <c r="CCS56" s="29"/>
      <c r="CCT56" s="29"/>
      <c r="CCU56" s="29"/>
      <c r="CCV56" s="29"/>
      <c r="CCW56" s="136"/>
      <c r="CCX56" s="29"/>
      <c r="CCY56" s="29"/>
      <c r="CCZ56" s="29"/>
      <c r="CDA56" s="29"/>
      <c r="CDB56" s="29"/>
      <c r="CDC56" s="73"/>
      <c r="CDD56" s="67"/>
      <c r="CDE56" s="67"/>
      <c r="CDF56" s="67"/>
      <c r="CDG56" s="67"/>
      <c r="CDH56" s="29"/>
      <c r="CDI56" s="136"/>
      <c r="CDJ56" s="29"/>
      <c r="CDK56" s="29"/>
      <c r="CDL56" s="29"/>
      <c r="CDM56" s="29"/>
      <c r="CDN56" s="29"/>
      <c r="CDO56" s="73"/>
      <c r="CDP56" s="29"/>
      <c r="CDQ56" s="29"/>
      <c r="CDR56" s="29"/>
      <c r="CDS56" s="29"/>
      <c r="CDT56" s="29"/>
      <c r="CDU56" s="136"/>
      <c r="CDV56" s="29"/>
      <c r="CDW56" s="29"/>
      <c r="CDX56" s="29"/>
      <c r="CDY56" s="29"/>
      <c r="CDZ56" s="29"/>
      <c r="CEA56" s="73"/>
      <c r="CEB56" s="29"/>
      <c r="CEC56" s="29"/>
      <c r="CED56" s="29"/>
      <c r="CEE56" s="29"/>
      <c r="CEF56" s="29"/>
      <c r="CEG56" s="30"/>
      <c r="CEH56" s="28"/>
      <c r="CEI56" s="67"/>
      <c r="CEJ56" s="67"/>
      <c r="CEK56" s="67"/>
      <c r="CEL56" s="29"/>
      <c r="CEM56" s="131"/>
      <c r="CEN56" s="29"/>
      <c r="CEO56" s="29"/>
      <c r="CEP56" s="29"/>
      <c r="CEQ56" s="29"/>
      <c r="CER56" s="29"/>
      <c r="CES56" s="136"/>
      <c r="CET56" s="29"/>
      <c r="CEU56" s="29"/>
      <c r="CEV56" s="29"/>
      <c r="CEW56" s="29"/>
      <c r="CEX56" s="29"/>
      <c r="CEY56" s="73"/>
      <c r="CEZ56" s="29"/>
      <c r="CFA56" s="29"/>
      <c r="CFB56" s="29"/>
      <c r="CFC56" s="29"/>
      <c r="CFD56" s="29"/>
      <c r="CFE56" s="136"/>
      <c r="CFF56" s="29"/>
      <c r="CFG56" s="29"/>
      <c r="CFH56" s="29"/>
      <c r="CFI56" s="29"/>
      <c r="CFJ56" s="29"/>
      <c r="CFK56" s="73"/>
      <c r="CFL56" s="67"/>
      <c r="CFM56" s="67"/>
      <c r="CFN56" s="67"/>
      <c r="CFO56" s="67"/>
      <c r="CFP56" s="29"/>
      <c r="CFQ56" s="136"/>
      <c r="CFR56" s="29"/>
      <c r="CFS56" s="29"/>
      <c r="CFT56" s="29"/>
      <c r="CFU56" s="29"/>
      <c r="CFV56" s="29"/>
      <c r="CFW56" s="73"/>
      <c r="CFX56" s="29"/>
      <c r="CFY56" s="29"/>
      <c r="CFZ56" s="29"/>
      <c r="CGA56" s="29"/>
      <c r="CGB56" s="29"/>
      <c r="CGC56" s="136"/>
      <c r="CGD56" s="29"/>
      <c r="CGE56" s="29"/>
      <c r="CGF56" s="29"/>
      <c r="CGG56" s="29"/>
      <c r="CGH56" s="29"/>
      <c r="CGI56" s="73"/>
      <c r="CGJ56" s="29"/>
      <c r="CGK56" s="29"/>
      <c r="CGL56" s="29"/>
      <c r="CGM56" s="29"/>
      <c r="CGN56" s="29"/>
      <c r="CGO56" s="30"/>
      <c r="CGP56" s="28"/>
      <c r="CGQ56" s="67"/>
      <c r="CGR56" s="67"/>
      <c r="CGS56" s="67"/>
      <c r="CGT56" s="29"/>
      <c r="CGU56" s="131"/>
      <c r="CGV56" s="29"/>
      <c r="CGW56" s="29"/>
      <c r="CGX56" s="29"/>
      <c r="CGY56" s="29"/>
      <c r="CGZ56" s="29"/>
      <c r="CHA56" s="136"/>
      <c r="CHB56" s="29"/>
      <c r="CHC56" s="29"/>
      <c r="CHD56" s="29"/>
      <c r="CHE56" s="29"/>
      <c r="CHF56" s="29"/>
      <c r="CHG56" s="73"/>
      <c r="CHH56" s="29"/>
      <c r="CHI56" s="29"/>
      <c r="CHJ56" s="29"/>
      <c r="CHK56" s="29"/>
      <c r="CHL56" s="29"/>
      <c r="CHM56" s="136"/>
      <c r="CHN56" s="29"/>
      <c r="CHO56" s="29"/>
      <c r="CHP56" s="29"/>
      <c r="CHQ56" s="29"/>
      <c r="CHR56" s="29"/>
      <c r="CHS56" s="73"/>
      <c r="CHT56" s="67"/>
      <c r="CHU56" s="67"/>
      <c r="CHV56" s="67"/>
      <c r="CHW56" s="67"/>
      <c r="CHX56" s="29"/>
      <c r="CHY56" s="136"/>
      <c r="CHZ56" s="29"/>
      <c r="CIA56" s="29"/>
      <c r="CIB56" s="29"/>
      <c r="CIC56" s="29"/>
      <c r="CID56" s="29"/>
      <c r="CIE56" s="73"/>
      <c r="CIF56" s="29"/>
      <c r="CIG56" s="29"/>
      <c r="CIH56" s="29"/>
      <c r="CII56" s="29"/>
      <c r="CIJ56" s="29"/>
      <c r="CIK56" s="136"/>
      <c r="CIL56" s="29"/>
      <c r="CIM56" s="29"/>
      <c r="CIN56" s="29"/>
      <c r="CIO56" s="29"/>
      <c r="CIP56" s="29"/>
      <c r="CIQ56" s="73"/>
      <c r="CIR56" s="29"/>
      <c r="CIS56" s="29"/>
      <c r="CIT56" s="29"/>
      <c r="CIU56" s="29"/>
      <c r="CIV56" s="29"/>
      <c r="CIW56" s="30"/>
      <c r="CIX56" s="28"/>
      <c r="CIY56" s="67"/>
      <c r="CIZ56" s="67"/>
      <c r="CJA56" s="67"/>
      <c r="CJB56" s="29"/>
      <c r="CJC56" s="131"/>
      <c r="CJD56" s="29"/>
      <c r="CJE56" s="29"/>
      <c r="CJF56" s="29"/>
      <c r="CJG56" s="29"/>
      <c r="CJH56" s="29"/>
      <c r="CJI56" s="136"/>
      <c r="CJJ56" s="29"/>
      <c r="CJK56" s="29"/>
      <c r="CJL56" s="29"/>
      <c r="CJM56" s="29"/>
      <c r="CJN56" s="29"/>
      <c r="CJO56" s="73"/>
      <c r="CJP56" s="29"/>
      <c r="CJQ56" s="29"/>
      <c r="CJR56" s="29"/>
      <c r="CJS56" s="29"/>
      <c r="CJT56" s="29"/>
      <c r="CJU56" s="136"/>
      <c r="CJV56" s="29"/>
      <c r="CJW56" s="29"/>
      <c r="CJX56" s="29"/>
      <c r="CJY56" s="29"/>
      <c r="CJZ56" s="29"/>
      <c r="CKA56" s="73"/>
      <c r="CKB56" s="67"/>
      <c r="CKC56" s="67"/>
      <c r="CKD56" s="67"/>
      <c r="CKE56" s="67"/>
      <c r="CKF56" s="29"/>
      <c r="CKG56" s="136"/>
      <c r="CKH56" s="29"/>
      <c r="CKI56" s="29"/>
      <c r="CKJ56" s="29"/>
      <c r="CKK56" s="29"/>
      <c r="CKL56" s="29"/>
      <c r="CKM56" s="73"/>
      <c r="CKN56" s="29"/>
      <c r="CKO56" s="29"/>
      <c r="CKP56" s="29"/>
      <c r="CKQ56" s="29"/>
      <c r="CKR56" s="29"/>
      <c r="CKS56" s="136"/>
      <c r="CKT56" s="29"/>
      <c r="CKU56" s="29"/>
      <c r="CKV56" s="29"/>
      <c r="CKW56" s="29"/>
      <c r="CKX56" s="29"/>
      <c r="CKY56" s="73"/>
      <c r="CKZ56" s="29"/>
      <c r="CLA56" s="29"/>
      <c r="CLB56" s="29"/>
      <c r="CLC56" s="29"/>
      <c r="CLD56" s="29"/>
      <c r="CLE56" s="30"/>
      <c r="CLF56" s="28"/>
      <c r="CLG56" s="67"/>
      <c r="CLH56" s="67"/>
      <c r="CLI56" s="67"/>
      <c r="CLJ56" s="29"/>
      <c r="CLK56" s="131"/>
      <c r="CLL56" s="29"/>
      <c r="CLM56" s="29"/>
      <c r="CLN56" s="29"/>
      <c r="CLO56" s="29"/>
      <c r="CLP56" s="29"/>
      <c r="CLQ56" s="136"/>
      <c r="CLR56" s="29"/>
      <c r="CLS56" s="29"/>
      <c r="CLT56" s="29"/>
      <c r="CLU56" s="29"/>
      <c r="CLV56" s="29"/>
      <c r="CLW56" s="73"/>
      <c r="CLX56" s="29"/>
      <c r="CLY56" s="29"/>
      <c r="CLZ56" s="29"/>
      <c r="CMA56" s="29"/>
      <c r="CMB56" s="29"/>
      <c r="CMC56" s="136"/>
      <c r="CMD56" s="29"/>
      <c r="CME56" s="29"/>
      <c r="CMF56" s="29"/>
      <c r="CMG56" s="29"/>
      <c r="CMH56" s="29"/>
      <c r="CMI56" s="73"/>
      <c r="CMJ56" s="67"/>
      <c r="CMK56" s="67"/>
      <c r="CML56" s="67"/>
      <c r="CMM56" s="67"/>
      <c r="CMN56" s="29"/>
      <c r="CMO56" s="136"/>
      <c r="CMP56" s="29"/>
      <c r="CMQ56" s="29"/>
      <c r="CMR56" s="29"/>
      <c r="CMS56" s="29"/>
      <c r="CMT56" s="29"/>
      <c r="CMU56" s="73"/>
      <c r="CMV56" s="29"/>
      <c r="CMW56" s="29"/>
      <c r="CMX56" s="29"/>
      <c r="CMY56" s="29"/>
      <c r="CMZ56" s="29"/>
      <c r="CNA56" s="136"/>
      <c r="CNB56" s="29"/>
      <c r="CNC56" s="29"/>
      <c r="CND56" s="29"/>
      <c r="CNE56" s="29"/>
      <c r="CNF56" s="29"/>
      <c r="CNG56" s="73"/>
      <c r="CNH56" s="29"/>
      <c r="CNI56" s="29"/>
      <c r="CNJ56" s="29"/>
      <c r="CNK56" s="29"/>
      <c r="CNL56" s="29"/>
      <c r="CNM56" s="30"/>
      <c r="CNN56" s="28"/>
      <c r="CNO56" s="67"/>
      <c r="CNP56" s="67"/>
      <c r="CNQ56" s="67"/>
      <c r="CNR56" s="29"/>
      <c r="CNS56" s="131"/>
      <c r="CNT56" s="29"/>
      <c r="CNU56" s="29"/>
      <c r="CNV56" s="29"/>
      <c r="CNW56" s="29"/>
      <c r="CNX56" s="29"/>
      <c r="CNY56" s="136"/>
      <c r="CNZ56" s="29"/>
      <c r="COA56" s="29"/>
      <c r="COB56" s="29"/>
      <c r="COC56" s="29"/>
      <c r="COD56" s="29"/>
      <c r="COE56" s="73"/>
      <c r="COF56" s="29"/>
      <c r="COG56" s="29"/>
      <c r="COH56" s="29"/>
      <c r="COI56" s="29"/>
      <c r="COJ56" s="29"/>
      <c r="COK56" s="136"/>
      <c r="COL56" s="29"/>
      <c r="COM56" s="29"/>
      <c r="CON56" s="29"/>
      <c r="COO56" s="29"/>
      <c r="COP56" s="29"/>
      <c r="COQ56" s="73"/>
      <c r="COR56" s="67"/>
      <c r="COS56" s="67"/>
      <c r="COT56" s="67"/>
      <c r="COU56" s="67"/>
      <c r="COV56" s="29"/>
      <c r="COW56" s="136"/>
      <c r="COX56" s="29"/>
      <c r="COY56" s="29"/>
      <c r="COZ56" s="29"/>
      <c r="CPA56" s="29"/>
      <c r="CPB56" s="29"/>
      <c r="CPC56" s="73"/>
      <c r="CPD56" s="29"/>
      <c r="CPE56" s="29"/>
      <c r="CPF56" s="29"/>
      <c r="CPG56" s="29"/>
      <c r="CPH56" s="29"/>
      <c r="CPI56" s="136"/>
      <c r="CPJ56" s="29"/>
      <c r="CPK56" s="29"/>
      <c r="CPL56" s="29"/>
      <c r="CPM56" s="29"/>
      <c r="CPN56" s="29"/>
      <c r="CPO56" s="73"/>
      <c r="CPP56" s="29"/>
      <c r="CPQ56" s="29"/>
      <c r="CPR56" s="29"/>
      <c r="CPS56" s="29"/>
      <c r="CPT56" s="29"/>
      <c r="CPU56" s="30"/>
      <c r="CPV56" s="28"/>
      <c r="CPW56" s="67"/>
      <c r="CPX56" s="67"/>
      <c r="CPY56" s="67"/>
      <c r="CPZ56" s="29"/>
      <c r="CQA56" s="131"/>
      <c r="CQB56" s="29"/>
      <c r="CQC56" s="29"/>
      <c r="CQD56" s="29"/>
      <c r="CQE56" s="29"/>
      <c r="CQF56" s="29"/>
      <c r="CQG56" s="136"/>
      <c r="CQH56" s="29"/>
      <c r="CQI56" s="29"/>
      <c r="CQJ56" s="29"/>
      <c r="CQK56" s="29"/>
      <c r="CQL56" s="29"/>
      <c r="CQM56" s="73"/>
      <c r="CQN56" s="29"/>
      <c r="CQO56" s="29"/>
      <c r="CQP56" s="29"/>
      <c r="CQQ56" s="29"/>
      <c r="CQR56" s="29"/>
      <c r="CQS56" s="136"/>
      <c r="CQT56" s="29"/>
      <c r="CQU56" s="29"/>
      <c r="CQV56" s="29"/>
      <c r="CQW56" s="29"/>
      <c r="CQX56" s="29"/>
      <c r="CQY56" s="73"/>
      <c r="CQZ56" s="67"/>
      <c r="CRA56" s="67"/>
      <c r="CRB56" s="67"/>
      <c r="CRC56" s="67"/>
      <c r="CRD56" s="29"/>
      <c r="CRE56" s="136"/>
      <c r="CRF56" s="29"/>
      <c r="CRG56" s="29"/>
      <c r="CRH56" s="29"/>
      <c r="CRI56" s="29"/>
      <c r="CRJ56" s="29"/>
      <c r="CRK56" s="73"/>
      <c r="CRL56" s="29"/>
      <c r="CRM56" s="29"/>
      <c r="CRN56" s="29"/>
      <c r="CRO56" s="29"/>
      <c r="CRP56" s="29"/>
      <c r="CRQ56" s="136"/>
      <c r="CRR56" s="29"/>
      <c r="CRS56" s="29"/>
      <c r="CRT56" s="29"/>
      <c r="CRU56" s="29"/>
      <c r="CRV56" s="29"/>
      <c r="CRW56" s="73"/>
      <c r="CRX56" s="29"/>
      <c r="CRY56" s="29"/>
      <c r="CRZ56" s="29"/>
      <c r="CSA56" s="29"/>
      <c r="CSB56" s="29"/>
      <c r="CSC56" s="30"/>
      <c r="CSD56" s="90"/>
    </row>
    <row r="57" spans="1:2526" ht="20.100000000000001" customHeight="1" x14ac:dyDescent="0.25">
      <c r="A57" s="100" t="s">
        <v>18</v>
      </c>
      <c r="B57" s="63"/>
      <c r="C57" s="211" t="s">
        <v>100</v>
      </c>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32"/>
      <c r="BLW57" s="64"/>
      <c r="BLX57" s="64"/>
      <c r="BLY57" s="64"/>
      <c r="BLZ57" s="33"/>
      <c r="BMA57" s="132"/>
      <c r="BMB57" s="33"/>
      <c r="BMC57" s="33"/>
      <c r="BMD57" s="33"/>
      <c r="BME57" s="33"/>
      <c r="BMF57" s="33"/>
      <c r="BMG57" s="137"/>
      <c r="BMH57" s="33"/>
      <c r="BMI57" s="33"/>
      <c r="BMJ57" s="33"/>
      <c r="BMK57" s="33"/>
      <c r="BML57" s="33"/>
      <c r="BMM57" s="74"/>
      <c r="BMN57" s="33"/>
      <c r="BMO57" s="33"/>
      <c r="BMP57" s="33"/>
      <c r="BMQ57" s="33"/>
      <c r="BMR57" s="33"/>
      <c r="BMS57" s="137"/>
      <c r="BMT57" s="33"/>
      <c r="BMU57" s="33"/>
      <c r="BMV57" s="33"/>
      <c r="BMW57" s="33"/>
      <c r="BMX57" s="33"/>
      <c r="BMY57" s="74"/>
      <c r="BMZ57" s="64"/>
      <c r="BNA57" s="64"/>
      <c r="BNB57" s="64"/>
      <c r="BNC57" s="64"/>
      <c r="BND57" s="33"/>
      <c r="BNE57" s="137"/>
      <c r="BNF57" s="33"/>
      <c r="BNG57" s="33"/>
      <c r="BNH57" s="33"/>
      <c r="BNI57" s="33"/>
      <c r="BNJ57" s="33"/>
      <c r="BNK57" s="74"/>
      <c r="BNL57" s="33"/>
      <c r="BNM57" s="33"/>
      <c r="BNN57" s="33"/>
      <c r="BNO57" s="33"/>
      <c r="BNP57" s="33"/>
      <c r="BNQ57" s="137"/>
      <c r="BNR57" s="33"/>
      <c r="BNS57" s="33"/>
      <c r="BNT57" s="33"/>
      <c r="BNU57" s="33"/>
      <c r="BNV57" s="33"/>
      <c r="BNW57" s="74"/>
      <c r="BNX57" s="33"/>
      <c r="BNY57" s="33"/>
      <c r="BNZ57" s="33"/>
      <c r="BOA57" s="33"/>
      <c r="BOB57" s="33"/>
      <c r="BOC57" s="34"/>
      <c r="BOD57" s="32"/>
      <c r="BOE57" s="64"/>
      <c r="BOF57" s="64"/>
      <c r="BOG57" s="64"/>
      <c r="BOH57" s="33"/>
      <c r="BOI57" s="132"/>
      <c r="BOJ57" s="33"/>
      <c r="BOK57" s="33"/>
      <c r="BOL57" s="33"/>
      <c r="BOM57" s="33"/>
      <c r="BON57" s="33"/>
      <c r="BOO57" s="137"/>
      <c r="BOP57" s="33"/>
      <c r="BOQ57" s="33"/>
      <c r="BOR57" s="33"/>
      <c r="BOS57" s="33"/>
      <c r="BOT57" s="33"/>
      <c r="BOU57" s="74"/>
      <c r="BOV57" s="33"/>
      <c r="BOW57" s="33"/>
      <c r="BOX57" s="33"/>
      <c r="BOY57" s="33"/>
      <c r="BOZ57" s="33"/>
      <c r="BPA57" s="137"/>
      <c r="BPB57" s="33"/>
      <c r="BPC57" s="33"/>
      <c r="BPD57" s="33"/>
      <c r="BPE57" s="33"/>
      <c r="BPF57" s="33"/>
      <c r="BPG57" s="74"/>
      <c r="BPH57" s="64"/>
      <c r="BPI57" s="64"/>
      <c r="BPJ57" s="64"/>
      <c r="BPK57" s="64"/>
      <c r="BPL57" s="33"/>
      <c r="BPM57" s="137"/>
      <c r="BPN57" s="33"/>
      <c r="BPO57" s="33"/>
      <c r="BPP57" s="33"/>
      <c r="BPQ57" s="33"/>
      <c r="BPR57" s="33"/>
      <c r="BPS57" s="74"/>
      <c r="BPT57" s="33"/>
      <c r="BPU57" s="33"/>
      <c r="BPV57" s="33"/>
      <c r="BPW57" s="33"/>
      <c r="BPX57" s="33"/>
      <c r="BPY57" s="137"/>
      <c r="BPZ57" s="33"/>
      <c r="BQA57" s="33"/>
      <c r="BQB57" s="33"/>
      <c r="BQC57" s="33"/>
      <c r="BQD57" s="33"/>
      <c r="BQE57" s="74"/>
      <c r="BQF57" s="33"/>
      <c r="BQG57" s="33"/>
      <c r="BQH57" s="33"/>
      <c r="BQI57" s="33"/>
      <c r="BQJ57" s="33"/>
      <c r="BQK57" s="34"/>
      <c r="BQL57" s="32"/>
      <c r="BQM57" s="64"/>
      <c r="BQN57" s="64"/>
      <c r="BQO57" s="64"/>
      <c r="BQP57" s="33"/>
      <c r="BQQ57" s="132"/>
      <c r="BQR57" s="33"/>
      <c r="BQS57" s="33"/>
      <c r="BQT57" s="33"/>
      <c r="BQU57" s="33"/>
      <c r="BQV57" s="33"/>
      <c r="BQW57" s="137"/>
      <c r="BQX57" s="33"/>
      <c r="BQY57" s="33"/>
      <c r="BQZ57" s="33"/>
      <c r="BRA57" s="33"/>
      <c r="BRB57" s="33"/>
      <c r="BRC57" s="74"/>
      <c r="BRD57" s="33"/>
      <c r="BRE57" s="33"/>
      <c r="BRF57" s="33"/>
      <c r="BRG57" s="33"/>
      <c r="BRH57" s="33"/>
      <c r="BRI57" s="137"/>
      <c r="BRJ57" s="33"/>
      <c r="BRK57" s="33"/>
      <c r="BRL57" s="33"/>
      <c r="BRM57" s="33"/>
      <c r="BRN57" s="33"/>
      <c r="BRO57" s="74"/>
      <c r="BRP57" s="64"/>
      <c r="BRQ57" s="64"/>
      <c r="BRR57" s="64"/>
      <c r="BRS57" s="64"/>
      <c r="BRT57" s="33"/>
      <c r="BRU57" s="137"/>
      <c r="BRV57" s="33"/>
      <c r="BRW57" s="33"/>
      <c r="BRX57" s="33"/>
      <c r="BRY57" s="33"/>
      <c r="BRZ57" s="33"/>
      <c r="BSA57" s="74"/>
      <c r="BSB57" s="33"/>
      <c r="BSC57" s="33"/>
      <c r="BSD57" s="33"/>
      <c r="BSE57" s="33"/>
      <c r="BSF57" s="33"/>
      <c r="BSG57" s="137"/>
      <c r="BSH57" s="33"/>
      <c r="BSI57" s="33"/>
      <c r="BSJ57" s="33"/>
      <c r="BSK57" s="33"/>
      <c r="BSL57" s="33"/>
      <c r="BSM57" s="74"/>
      <c r="BSN57" s="33"/>
      <c r="BSO57" s="33"/>
      <c r="BSP57" s="33"/>
      <c r="BSQ57" s="33"/>
      <c r="BSR57" s="33"/>
      <c r="BSS57" s="34"/>
      <c r="BST57" s="32"/>
      <c r="BSU57" s="64"/>
      <c r="BSV57" s="64"/>
      <c r="BSW57" s="64"/>
      <c r="BSX57" s="33"/>
      <c r="BSY57" s="132"/>
      <c r="BSZ57" s="33"/>
      <c r="BTA57" s="33"/>
      <c r="BTB57" s="33"/>
      <c r="BTC57" s="33"/>
      <c r="BTD57" s="33"/>
      <c r="BTE57" s="137"/>
      <c r="BTF57" s="33"/>
      <c r="BTG57" s="33"/>
      <c r="BTH57" s="33"/>
      <c r="BTI57" s="33"/>
      <c r="BTJ57" s="33"/>
      <c r="BTK57" s="74"/>
      <c r="BTL57" s="33"/>
      <c r="BTM57" s="33"/>
      <c r="BTN57" s="33"/>
      <c r="BTO57" s="33"/>
      <c r="BTP57" s="33"/>
      <c r="BTQ57" s="137"/>
      <c r="BTR57" s="33"/>
      <c r="BTS57" s="33"/>
      <c r="BTT57" s="33"/>
      <c r="BTU57" s="33"/>
      <c r="BTV57" s="33"/>
      <c r="BTW57" s="74"/>
      <c r="BTX57" s="64"/>
      <c r="BTY57" s="64"/>
      <c r="BTZ57" s="64"/>
      <c r="BUA57" s="64"/>
      <c r="BUB57" s="33"/>
      <c r="BUC57" s="137"/>
      <c r="BUD57" s="33"/>
      <c r="BUE57" s="33"/>
      <c r="BUF57" s="33"/>
      <c r="BUG57" s="33"/>
      <c r="BUH57" s="33"/>
      <c r="BUI57" s="74"/>
      <c r="BUJ57" s="33"/>
      <c r="BUK57" s="33"/>
      <c r="BUL57" s="33"/>
      <c r="BUM57" s="33"/>
      <c r="BUN57" s="33"/>
      <c r="BUO57" s="137"/>
      <c r="BUP57" s="33"/>
      <c r="BUQ57" s="33"/>
      <c r="BUR57" s="33"/>
      <c r="BUS57" s="33"/>
      <c r="BUT57" s="33"/>
      <c r="BUU57" s="74"/>
      <c r="BUV57" s="33"/>
      <c r="BUW57" s="33"/>
      <c r="BUX57" s="33"/>
      <c r="BUY57" s="33"/>
      <c r="BUZ57" s="33"/>
      <c r="BVA57" s="34"/>
      <c r="BVB57" s="32"/>
      <c r="BVC57" s="64"/>
      <c r="BVD57" s="64"/>
      <c r="BVE57" s="64"/>
      <c r="BVF57" s="33"/>
      <c r="BVG57" s="132"/>
      <c r="BVH57" s="33"/>
      <c r="BVI57" s="33"/>
      <c r="BVJ57" s="33"/>
      <c r="BVK57" s="33"/>
      <c r="BVL57" s="33"/>
      <c r="BVM57" s="137"/>
      <c r="BVN57" s="33"/>
      <c r="BVO57" s="33"/>
      <c r="BVP57" s="33"/>
      <c r="BVQ57" s="33"/>
      <c r="BVR57" s="33"/>
      <c r="BVS57" s="74"/>
      <c r="BVT57" s="33"/>
      <c r="BVU57" s="33"/>
      <c r="BVV57" s="33"/>
      <c r="BVW57" s="33"/>
      <c r="BVX57" s="33"/>
      <c r="BVY57" s="137"/>
      <c r="BVZ57" s="33"/>
      <c r="BWA57" s="33"/>
      <c r="BWB57" s="33"/>
      <c r="BWC57" s="33"/>
      <c r="BWD57" s="33"/>
      <c r="BWE57" s="74"/>
      <c r="BWF57" s="64"/>
      <c r="BWG57" s="64"/>
      <c r="BWH57" s="64"/>
      <c r="BWI57" s="64"/>
      <c r="BWJ57" s="33"/>
      <c r="BWK57" s="137"/>
      <c r="BWL57" s="33"/>
      <c r="BWM57" s="33"/>
      <c r="BWN57" s="33"/>
      <c r="BWO57" s="33"/>
      <c r="BWP57" s="33"/>
      <c r="BWQ57" s="74"/>
      <c r="BWR57" s="33"/>
      <c r="BWS57" s="33"/>
      <c r="BWT57" s="33"/>
      <c r="BWU57" s="33"/>
      <c r="BWV57" s="33"/>
      <c r="BWW57" s="137"/>
      <c r="BWX57" s="33"/>
      <c r="BWY57" s="33"/>
      <c r="BWZ57" s="33"/>
      <c r="BXA57" s="33"/>
      <c r="BXB57" s="33"/>
      <c r="BXC57" s="74"/>
      <c r="BXD57" s="33"/>
      <c r="BXE57" s="33"/>
      <c r="BXF57" s="33"/>
      <c r="BXG57" s="33"/>
      <c r="BXH57" s="33"/>
      <c r="BXI57" s="34"/>
      <c r="BXJ57" s="32"/>
      <c r="BXK57" s="64"/>
      <c r="BXL57" s="64"/>
      <c r="BXM57" s="64"/>
      <c r="BXN57" s="33"/>
      <c r="BXO57" s="132"/>
      <c r="BXP57" s="33"/>
      <c r="BXQ57" s="33"/>
      <c r="BXR57" s="33"/>
      <c r="BXS57" s="33"/>
      <c r="BXT57" s="33"/>
      <c r="BXU57" s="137"/>
      <c r="BXV57" s="33"/>
      <c r="BXW57" s="33"/>
      <c r="BXX57" s="33"/>
      <c r="BXY57" s="33"/>
      <c r="BXZ57" s="33"/>
      <c r="BYA57" s="74"/>
      <c r="BYB57" s="33"/>
      <c r="BYC57" s="33"/>
      <c r="BYD57" s="33"/>
      <c r="BYE57" s="33"/>
      <c r="BYF57" s="33"/>
      <c r="BYG57" s="137"/>
      <c r="BYH57" s="33"/>
      <c r="BYI57" s="33"/>
      <c r="BYJ57" s="33"/>
      <c r="BYK57" s="33"/>
      <c r="BYL57" s="33"/>
      <c r="BYM57" s="74"/>
      <c r="BYN57" s="64"/>
      <c r="BYO57" s="64"/>
      <c r="BYP57" s="64"/>
      <c r="BYQ57" s="64"/>
      <c r="BYR57" s="33"/>
      <c r="BYS57" s="137"/>
      <c r="BYT57" s="33"/>
      <c r="BYU57" s="33"/>
      <c r="BYV57" s="33"/>
      <c r="BYW57" s="33"/>
      <c r="BYX57" s="33"/>
      <c r="BYY57" s="74"/>
      <c r="BYZ57" s="33"/>
      <c r="BZA57" s="33"/>
      <c r="BZB57" s="33"/>
      <c r="BZC57" s="33"/>
      <c r="BZD57" s="33"/>
      <c r="BZE57" s="137"/>
      <c r="BZF57" s="33"/>
      <c r="BZG57" s="33"/>
      <c r="BZH57" s="33"/>
      <c r="BZI57" s="33"/>
      <c r="BZJ57" s="33"/>
      <c r="BZK57" s="74"/>
      <c r="BZL57" s="33"/>
      <c r="BZM57" s="33"/>
      <c r="BZN57" s="33"/>
      <c r="BZO57" s="33"/>
      <c r="BZP57" s="33"/>
      <c r="BZQ57" s="34"/>
      <c r="BZR57" s="32"/>
      <c r="BZS57" s="64"/>
      <c r="BZT57" s="64"/>
      <c r="BZU57" s="64"/>
      <c r="BZV57" s="33"/>
      <c r="BZW57" s="132"/>
      <c r="BZX57" s="33"/>
      <c r="BZY57" s="33"/>
      <c r="BZZ57" s="33"/>
      <c r="CAA57" s="33"/>
      <c r="CAB57" s="33"/>
      <c r="CAC57" s="137"/>
      <c r="CAD57" s="33"/>
      <c r="CAE57" s="33"/>
      <c r="CAF57" s="33"/>
      <c r="CAG57" s="33"/>
      <c r="CAH57" s="33"/>
      <c r="CAI57" s="74"/>
      <c r="CAJ57" s="33"/>
      <c r="CAK57" s="33"/>
      <c r="CAL57" s="33"/>
      <c r="CAM57" s="33"/>
      <c r="CAN57" s="33"/>
      <c r="CAO57" s="137"/>
      <c r="CAP57" s="33"/>
      <c r="CAQ57" s="33"/>
      <c r="CAR57" s="33"/>
      <c r="CAS57" s="33"/>
      <c r="CAT57" s="33"/>
      <c r="CAU57" s="74"/>
      <c r="CAV57" s="64"/>
      <c r="CAW57" s="64"/>
      <c r="CAX57" s="64"/>
      <c r="CAY57" s="64"/>
      <c r="CAZ57" s="33"/>
      <c r="CBA57" s="137"/>
      <c r="CBB57" s="33"/>
      <c r="CBC57" s="33"/>
      <c r="CBD57" s="33"/>
      <c r="CBE57" s="33"/>
      <c r="CBF57" s="33"/>
      <c r="CBG57" s="74"/>
      <c r="CBH57" s="33"/>
      <c r="CBI57" s="33"/>
      <c r="CBJ57" s="33"/>
      <c r="CBK57" s="33"/>
      <c r="CBL57" s="33"/>
      <c r="CBM57" s="137"/>
      <c r="CBN57" s="33"/>
      <c r="CBO57" s="33"/>
      <c r="CBP57" s="33"/>
      <c r="CBQ57" s="33"/>
      <c r="CBR57" s="33"/>
      <c r="CBS57" s="74"/>
      <c r="CBT57" s="33"/>
      <c r="CBU57" s="33"/>
      <c r="CBV57" s="33"/>
      <c r="CBW57" s="33"/>
      <c r="CBX57" s="33"/>
      <c r="CBY57" s="34"/>
      <c r="CBZ57" s="32"/>
      <c r="CCA57" s="64"/>
      <c r="CCB57" s="64"/>
      <c r="CCC57" s="64"/>
      <c r="CCD57" s="33"/>
      <c r="CCE57" s="132"/>
      <c r="CCF57" s="33"/>
      <c r="CCG57" s="33"/>
      <c r="CCH57" s="33"/>
      <c r="CCI57" s="33"/>
      <c r="CCJ57" s="33"/>
      <c r="CCK57" s="137"/>
      <c r="CCL57" s="33"/>
      <c r="CCM57" s="33"/>
      <c r="CCN57" s="33"/>
      <c r="CCO57" s="33"/>
      <c r="CCP57" s="33"/>
      <c r="CCQ57" s="74"/>
      <c r="CCR57" s="33"/>
      <c r="CCS57" s="33"/>
      <c r="CCT57" s="33"/>
      <c r="CCU57" s="33"/>
      <c r="CCV57" s="33"/>
      <c r="CCW57" s="137"/>
      <c r="CCX57" s="33"/>
      <c r="CCY57" s="33"/>
      <c r="CCZ57" s="33"/>
      <c r="CDA57" s="33"/>
      <c r="CDB57" s="33"/>
      <c r="CDC57" s="74"/>
      <c r="CDD57" s="64"/>
      <c r="CDE57" s="64"/>
      <c r="CDF57" s="64"/>
      <c r="CDG57" s="64"/>
      <c r="CDH57" s="33"/>
      <c r="CDI57" s="137"/>
      <c r="CDJ57" s="33"/>
      <c r="CDK57" s="33"/>
      <c r="CDL57" s="33"/>
      <c r="CDM57" s="33"/>
      <c r="CDN57" s="33"/>
      <c r="CDO57" s="74"/>
      <c r="CDP57" s="33"/>
      <c r="CDQ57" s="33"/>
      <c r="CDR57" s="33"/>
      <c r="CDS57" s="33"/>
      <c r="CDT57" s="33"/>
      <c r="CDU57" s="137"/>
      <c r="CDV57" s="33"/>
      <c r="CDW57" s="33"/>
      <c r="CDX57" s="33"/>
      <c r="CDY57" s="33"/>
      <c r="CDZ57" s="33"/>
      <c r="CEA57" s="74"/>
      <c r="CEB57" s="33"/>
      <c r="CEC57" s="33"/>
      <c r="CED57" s="33"/>
      <c r="CEE57" s="33"/>
      <c r="CEF57" s="33"/>
      <c r="CEG57" s="34"/>
      <c r="CEH57" s="32"/>
      <c r="CEI57" s="64"/>
      <c r="CEJ57" s="64"/>
      <c r="CEK57" s="64"/>
      <c r="CEL57" s="33"/>
      <c r="CEM57" s="132"/>
      <c r="CEN57" s="33"/>
      <c r="CEO57" s="33"/>
      <c r="CEP57" s="33"/>
      <c r="CEQ57" s="33"/>
      <c r="CER57" s="33"/>
      <c r="CES57" s="137"/>
      <c r="CET57" s="33"/>
      <c r="CEU57" s="33"/>
      <c r="CEV57" s="33"/>
      <c r="CEW57" s="33"/>
      <c r="CEX57" s="33"/>
      <c r="CEY57" s="74"/>
      <c r="CEZ57" s="33"/>
      <c r="CFA57" s="33"/>
      <c r="CFB57" s="33"/>
      <c r="CFC57" s="33"/>
      <c r="CFD57" s="33"/>
      <c r="CFE57" s="137"/>
      <c r="CFF57" s="33"/>
      <c r="CFG57" s="33"/>
      <c r="CFH57" s="33"/>
      <c r="CFI57" s="33"/>
      <c r="CFJ57" s="33"/>
      <c r="CFK57" s="74"/>
      <c r="CFL57" s="64"/>
      <c r="CFM57" s="64"/>
      <c r="CFN57" s="64"/>
      <c r="CFO57" s="64"/>
      <c r="CFP57" s="33"/>
      <c r="CFQ57" s="137"/>
      <c r="CFR57" s="33"/>
      <c r="CFS57" s="33"/>
      <c r="CFT57" s="33"/>
      <c r="CFU57" s="33"/>
      <c r="CFV57" s="33"/>
      <c r="CFW57" s="74"/>
      <c r="CFX57" s="33"/>
      <c r="CFY57" s="33"/>
      <c r="CFZ57" s="33"/>
      <c r="CGA57" s="33"/>
      <c r="CGB57" s="33"/>
      <c r="CGC57" s="137"/>
      <c r="CGD57" s="33"/>
      <c r="CGE57" s="33"/>
      <c r="CGF57" s="33"/>
      <c r="CGG57" s="33"/>
      <c r="CGH57" s="33"/>
      <c r="CGI57" s="74"/>
      <c r="CGJ57" s="33"/>
      <c r="CGK57" s="33"/>
      <c r="CGL57" s="33"/>
      <c r="CGM57" s="33"/>
      <c r="CGN57" s="33"/>
      <c r="CGO57" s="34"/>
      <c r="CGP57" s="32"/>
      <c r="CGQ57" s="64"/>
      <c r="CGR57" s="64"/>
      <c r="CGS57" s="64"/>
      <c r="CGT57" s="33"/>
      <c r="CGU57" s="132"/>
      <c r="CGV57" s="33"/>
      <c r="CGW57" s="33"/>
      <c r="CGX57" s="33"/>
      <c r="CGY57" s="33"/>
      <c r="CGZ57" s="33"/>
      <c r="CHA57" s="137"/>
      <c r="CHB57" s="33"/>
      <c r="CHC57" s="33"/>
      <c r="CHD57" s="33"/>
      <c r="CHE57" s="33"/>
      <c r="CHF57" s="33"/>
      <c r="CHG57" s="74"/>
      <c r="CHH57" s="33"/>
      <c r="CHI57" s="33"/>
      <c r="CHJ57" s="33"/>
      <c r="CHK57" s="33"/>
      <c r="CHL57" s="33"/>
      <c r="CHM57" s="137"/>
      <c r="CHN57" s="33"/>
      <c r="CHO57" s="33"/>
      <c r="CHP57" s="33"/>
      <c r="CHQ57" s="33"/>
      <c r="CHR57" s="33"/>
      <c r="CHS57" s="74"/>
      <c r="CHT57" s="64"/>
      <c r="CHU57" s="64"/>
      <c r="CHV57" s="64"/>
      <c r="CHW57" s="64"/>
      <c r="CHX57" s="33"/>
      <c r="CHY57" s="137"/>
      <c r="CHZ57" s="33"/>
      <c r="CIA57" s="33"/>
      <c r="CIB57" s="33"/>
      <c r="CIC57" s="33"/>
      <c r="CID57" s="33"/>
      <c r="CIE57" s="74"/>
      <c r="CIF57" s="33"/>
      <c r="CIG57" s="33"/>
      <c r="CIH57" s="33"/>
      <c r="CII57" s="33"/>
      <c r="CIJ57" s="33"/>
      <c r="CIK57" s="137"/>
      <c r="CIL57" s="33"/>
      <c r="CIM57" s="33"/>
      <c r="CIN57" s="33"/>
      <c r="CIO57" s="33"/>
      <c r="CIP57" s="33"/>
      <c r="CIQ57" s="74"/>
      <c r="CIR57" s="33"/>
      <c r="CIS57" s="33"/>
      <c r="CIT57" s="33"/>
      <c r="CIU57" s="33"/>
      <c r="CIV57" s="33"/>
      <c r="CIW57" s="34"/>
      <c r="CIX57" s="32"/>
      <c r="CIY57" s="64"/>
      <c r="CIZ57" s="64"/>
      <c r="CJA57" s="64"/>
      <c r="CJB57" s="33"/>
      <c r="CJC57" s="132"/>
      <c r="CJD57" s="33"/>
      <c r="CJE57" s="33"/>
      <c r="CJF57" s="33"/>
      <c r="CJG57" s="33"/>
      <c r="CJH57" s="33"/>
      <c r="CJI57" s="137"/>
      <c r="CJJ57" s="33"/>
      <c r="CJK57" s="33"/>
      <c r="CJL57" s="33"/>
      <c r="CJM57" s="33"/>
      <c r="CJN57" s="33"/>
      <c r="CJO57" s="74"/>
      <c r="CJP57" s="33"/>
      <c r="CJQ57" s="33"/>
      <c r="CJR57" s="33"/>
      <c r="CJS57" s="33"/>
      <c r="CJT57" s="33"/>
      <c r="CJU57" s="137"/>
      <c r="CJV57" s="33"/>
      <c r="CJW57" s="33"/>
      <c r="CJX57" s="33"/>
      <c r="CJY57" s="33"/>
      <c r="CJZ57" s="33"/>
      <c r="CKA57" s="74"/>
      <c r="CKB57" s="64"/>
      <c r="CKC57" s="64"/>
      <c r="CKD57" s="64"/>
      <c r="CKE57" s="64"/>
      <c r="CKF57" s="33"/>
      <c r="CKG57" s="137"/>
      <c r="CKH57" s="33"/>
      <c r="CKI57" s="33"/>
      <c r="CKJ57" s="33"/>
      <c r="CKK57" s="33"/>
      <c r="CKL57" s="33"/>
      <c r="CKM57" s="74"/>
      <c r="CKN57" s="33"/>
      <c r="CKO57" s="33"/>
      <c r="CKP57" s="33"/>
      <c r="CKQ57" s="33"/>
      <c r="CKR57" s="33"/>
      <c r="CKS57" s="137"/>
      <c r="CKT57" s="33"/>
      <c r="CKU57" s="33"/>
      <c r="CKV57" s="33"/>
      <c r="CKW57" s="33"/>
      <c r="CKX57" s="33"/>
      <c r="CKY57" s="74"/>
      <c r="CKZ57" s="33"/>
      <c r="CLA57" s="33"/>
      <c r="CLB57" s="33"/>
      <c r="CLC57" s="33"/>
      <c r="CLD57" s="33"/>
      <c r="CLE57" s="34"/>
      <c r="CLF57" s="32"/>
      <c r="CLG57" s="64"/>
      <c r="CLH57" s="64"/>
      <c r="CLI57" s="64"/>
      <c r="CLJ57" s="33"/>
      <c r="CLK57" s="132"/>
      <c r="CLL57" s="33"/>
      <c r="CLM57" s="33"/>
      <c r="CLN57" s="33"/>
      <c r="CLO57" s="33"/>
      <c r="CLP57" s="33"/>
      <c r="CLQ57" s="137"/>
      <c r="CLR57" s="33"/>
      <c r="CLS57" s="33"/>
      <c r="CLT57" s="33"/>
      <c r="CLU57" s="33"/>
      <c r="CLV57" s="33"/>
      <c r="CLW57" s="74"/>
      <c r="CLX57" s="33"/>
      <c r="CLY57" s="33"/>
      <c r="CLZ57" s="33"/>
      <c r="CMA57" s="33"/>
      <c r="CMB57" s="33"/>
      <c r="CMC57" s="137"/>
      <c r="CMD57" s="33"/>
      <c r="CME57" s="33"/>
      <c r="CMF57" s="33"/>
      <c r="CMG57" s="33"/>
      <c r="CMH57" s="33"/>
      <c r="CMI57" s="74"/>
      <c r="CMJ57" s="64"/>
      <c r="CMK57" s="64"/>
      <c r="CML57" s="64"/>
      <c r="CMM57" s="64"/>
      <c r="CMN57" s="33"/>
      <c r="CMO57" s="137"/>
      <c r="CMP57" s="33"/>
      <c r="CMQ57" s="33"/>
      <c r="CMR57" s="33"/>
      <c r="CMS57" s="33"/>
      <c r="CMT57" s="33"/>
      <c r="CMU57" s="74"/>
      <c r="CMV57" s="33"/>
      <c r="CMW57" s="33"/>
      <c r="CMX57" s="33"/>
      <c r="CMY57" s="33"/>
      <c r="CMZ57" s="33"/>
      <c r="CNA57" s="137"/>
      <c r="CNB57" s="33"/>
      <c r="CNC57" s="33"/>
      <c r="CND57" s="33"/>
      <c r="CNE57" s="33"/>
      <c r="CNF57" s="33"/>
      <c r="CNG57" s="74"/>
      <c r="CNH57" s="33"/>
      <c r="CNI57" s="33"/>
      <c r="CNJ57" s="33"/>
      <c r="CNK57" s="33"/>
      <c r="CNL57" s="33"/>
      <c r="CNM57" s="34"/>
      <c r="CNN57" s="32"/>
      <c r="CNO57" s="64"/>
      <c r="CNP57" s="64"/>
      <c r="CNQ57" s="64"/>
      <c r="CNR57" s="33"/>
      <c r="CNS57" s="132"/>
      <c r="CNT57" s="33"/>
      <c r="CNU57" s="33"/>
      <c r="CNV57" s="33"/>
      <c r="CNW57" s="33"/>
      <c r="CNX57" s="33"/>
      <c r="CNY57" s="137"/>
      <c r="CNZ57" s="33"/>
      <c r="COA57" s="33"/>
      <c r="COB57" s="33"/>
      <c r="COC57" s="33"/>
      <c r="COD57" s="33"/>
      <c r="COE57" s="74"/>
      <c r="COF57" s="33"/>
      <c r="COG57" s="33"/>
      <c r="COH57" s="33"/>
      <c r="COI57" s="33"/>
      <c r="COJ57" s="33"/>
      <c r="COK57" s="137"/>
      <c r="COL57" s="33"/>
      <c r="COM57" s="33"/>
      <c r="CON57" s="33"/>
      <c r="COO57" s="33"/>
      <c r="COP57" s="33"/>
      <c r="COQ57" s="74"/>
      <c r="COR57" s="64"/>
      <c r="COS57" s="64"/>
      <c r="COT57" s="64"/>
      <c r="COU57" s="64"/>
      <c r="COV57" s="33"/>
      <c r="COW57" s="137"/>
      <c r="COX57" s="33"/>
      <c r="COY57" s="33"/>
      <c r="COZ57" s="33"/>
      <c r="CPA57" s="33"/>
      <c r="CPB57" s="33"/>
      <c r="CPC57" s="74"/>
      <c r="CPD57" s="33"/>
      <c r="CPE57" s="33"/>
      <c r="CPF57" s="33"/>
      <c r="CPG57" s="33"/>
      <c r="CPH57" s="33"/>
      <c r="CPI57" s="137"/>
      <c r="CPJ57" s="33"/>
      <c r="CPK57" s="33"/>
      <c r="CPL57" s="33"/>
      <c r="CPM57" s="33"/>
      <c r="CPN57" s="33"/>
      <c r="CPO57" s="74"/>
      <c r="CPP57" s="33"/>
      <c r="CPQ57" s="33"/>
      <c r="CPR57" s="33"/>
      <c r="CPS57" s="33"/>
      <c r="CPT57" s="33"/>
      <c r="CPU57" s="34"/>
      <c r="CPV57" s="32"/>
      <c r="CPW57" s="64"/>
      <c r="CPX57" s="64"/>
      <c r="CPY57" s="64"/>
      <c r="CPZ57" s="33"/>
      <c r="CQA57" s="132"/>
      <c r="CQB57" s="33"/>
      <c r="CQC57" s="33"/>
      <c r="CQD57" s="33"/>
      <c r="CQE57" s="33"/>
      <c r="CQF57" s="33"/>
      <c r="CQG57" s="137"/>
      <c r="CQH57" s="33"/>
      <c r="CQI57" s="33"/>
      <c r="CQJ57" s="33"/>
      <c r="CQK57" s="33"/>
      <c r="CQL57" s="33"/>
      <c r="CQM57" s="74"/>
      <c r="CQN57" s="33"/>
      <c r="CQO57" s="33"/>
      <c r="CQP57" s="33"/>
      <c r="CQQ57" s="33"/>
      <c r="CQR57" s="33"/>
      <c r="CQS57" s="137"/>
      <c r="CQT57" s="33"/>
      <c r="CQU57" s="33"/>
      <c r="CQV57" s="33"/>
      <c r="CQW57" s="33"/>
      <c r="CQX57" s="33"/>
      <c r="CQY57" s="74"/>
      <c r="CQZ57" s="64"/>
      <c r="CRA57" s="64"/>
      <c r="CRB57" s="64"/>
      <c r="CRC57" s="64"/>
      <c r="CRD57" s="33"/>
      <c r="CRE57" s="137"/>
      <c r="CRF57" s="33"/>
      <c r="CRG57" s="33"/>
      <c r="CRH57" s="33"/>
      <c r="CRI57" s="33"/>
      <c r="CRJ57" s="33"/>
      <c r="CRK57" s="74"/>
      <c r="CRL57" s="33"/>
      <c r="CRM57" s="33"/>
      <c r="CRN57" s="33"/>
      <c r="CRO57" s="33"/>
      <c r="CRP57" s="33"/>
      <c r="CRQ57" s="137"/>
      <c r="CRR57" s="33"/>
      <c r="CRS57" s="33"/>
      <c r="CRT57" s="33"/>
      <c r="CRU57" s="33"/>
      <c r="CRV57" s="33"/>
      <c r="CRW57" s="74"/>
      <c r="CRX57" s="33"/>
      <c r="CRY57" s="33"/>
      <c r="CRZ57" s="33"/>
      <c r="CSA57" s="33"/>
      <c r="CSB57" s="33"/>
      <c r="CSC57" s="34"/>
      <c r="CSD57" s="90"/>
    </row>
    <row r="58" spans="1:2526" ht="20.100000000000001" customHeight="1" x14ac:dyDescent="0.3">
      <c r="A58" s="100" t="s">
        <v>19</v>
      </c>
      <c r="B58" s="63"/>
      <c r="C58" s="212"/>
      <c r="D58" s="148" t="str">
        <f t="shared" si="0"/>
        <v>0h45min</v>
      </c>
      <c r="E58" s="35">
        <v>9</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186"/>
      <c r="JN58" s="186"/>
      <c r="JO58" s="189"/>
      <c r="JP58" s="185"/>
      <c r="JQ58" s="185"/>
      <c r="JR58" s="185"/>
      <c r="JS58" s="185"/>
      <c r="JT58" s="186"/>
      <c r="JU58" s="18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36"/>
      <c r="BLW58" s="65"/>
      <c r="BLX58" s="65"/>
      <c r="BLY58" s="65"/>
      <c r="BLZ58" s="37"/>
      <c r="BMA58" s="133"/>
      <c r="BMB58" s="37"/>
      <c r="BMC58" s="37"/>
      <c r="BMD58" s="37"/>
      <c r="BME58" s="37"/>
      <c r="BMF58" s="37"/>
      <c r="BMG58" s="138"/>
      <c r="BMH58" s="37"/>
      <c r="BMI58" s="37"/>
      <c r="BMJ58" s="37"/>
      <c r="BMK58" s="37"/>
      <c r="BML58" s="37"/>
      <c r="BMM58" s="75"/>
      <c r="BMN58" s="37"/>
      <c r="BMO58" s="37"/>
      <c r="BMP58" s="37"/>
      <c r="BMQ58" s="37"/>
      <c r="BMR58" s="37"/>
      <c r="BMS58" s="138"/>
      <c r="BMT58" s="37"/>
      <c r="BMU58" s="37"/>
      <c r="BMV58" s="37"/>
      <c r="BMW58" s="37"/>
      <c r="BMX58" s="37"/>
      <c r="BMY58" s="75"/>
      <c r="BMZ58" s="65"/>
      <c r="BNA58" s="65"/>
      <c r="BNB58" s="65"/>
      <c r="BNC58" s="65"/>
      <c r="BND58" s="37"/>
      <c r="BNE58" s="138"/>
      <c r="BNF58" s="37"/>
      <c r="BNG58" s="37"/>
      <c r="BNH58" s="37"/>
      <c r="BNI58" s="37"/>
      <c r="BNJ58" s="37"/>
      <c r="BNK58" s="75"/>
      <c r="BNL58" s="37"/>
      <c r="BNM58" s="37"/>
      <c r="BNN58" s="37"/>
      <c r="BNO58" s="37"/>
      <c r="BNP58" s="37"/>
      <c r="BNQ58" s="138"/>
      <c r="BNR58" s="37"/>
      <c r="BNS58" s="37"/>
      <c r="BNT58" s="37"/>
      <c r="BNU58" s="37"/>
      <c r="BNV58" s="37"/>
      <c r="BNW58" s="75"/>
      <c r="BNX58" s="37"/>
      <c r="BNY58" s="37"/>
      <c r="BNZ58" s="37"/>
      <c r="BOA58" s="37"/>
      <c r="BOB58" s="37"/>
      <c r="BOC58" s="38"/>
      <c r="BOD58" s="36"/>
      <c r="BOE58" s="65"/>
      <c r="BOF58" s="65"/>
      <c r="BOG58" s="65"/>
      <c r="BOH58" s="37"/>
      <c r="BOI58" s="133"/>
      <c r="BOJ58" s="37"/>
      <c r="BOK58" s="37"/>
      <c r="BOL58" s="37"/>
      <c r="BOM58" s="37"/>
      <c r="BON58" s="37"/>
      <c r="BOO58" s="138"/>
      <c r="BOP58" s="37"/>
      <c r="BOQ58" s="37"/>
      <c r="BOR58" s="37"/>
      <c r="BOS58" s="37"/>
      <c r="BOT58" s="37"/>
      <c r="BOU58" s="75"/>
      <c r="BOV58" s="37"/>
      <c r="BOW58" s="37"/>
      <c r="BOX58" s="37"/>
      <c r="BOY58" s="37"/>
      <c r="BOZ58" s="37"/>
      <c r="BPA58" s="138"/>
      <c r="BPB58" s="37"/>
      <c r="BPC58" s="37"/>
      <c r="BPD58" s="37"/>
      <c r="BPE58" s="37"/>
      <c r="BPF58" s="37"/>
      <c r="BPG58" s="75"/>
      <c r="BPH58" s="65"/>
      <c r="BPI58" s="65"/>
      <c r="BPJ58" s="65"/>
      <c r="BPK58" s="65"/>
      <c r="BPL58" s="37"/>
      <c r="BPM58" s="138"/>
      <c r="BPN58" s="37"/>
      <c r="BPO58" s="37"/>
      <c r="BPP58" s="37"/>
      <c r="BPQ58" s="37"/>
      <c r="BPR58" s="37"/>
      <c r="BPS58" s="75"/>
      <c r="BPT58" s="37"/>
      <c r="BPU58" s="37"/>
      <c r="BPV58" s="37"/>
      <c r="BPW58" s="37"/>
      <c r="BPX58" s="37"/>
      <c r="BPY58" s="138"/>
      <c r="BPZ58" s="37"/>
      <c r="BQA58" s="37"/>
      <c r="BQB58" s="37"/>
      <c r="BQC58" s="37"/>
      <c r="BQD58" s="37"/>
      <c r="BQE58" s="75"/>
      <c r="BQF58" s="37"/>
      <c r="BQG58" s="37"/>
      <c r="BQH58" s="37"/>
      <c r="BQI58" s="37"/>
      <c r="BQJ58" s="37"/>
      <c r="BQK58" s="38"/>
      <c r="BQL58" s="36"/>
      <c r="BQM58" s="65"/>
      <c r="BQN58" s="65"/>
      <c r="BQO58" s="65"/>
      <c r="BQP58" s="37"/>
      <c r="BQQ58" s="133"/>
      <c r="BQR58" s="37"/>
      <c r="BQS58" s="37"/>
      <c r="BQT58" s="37"/>
      <c r="BQU58" s="37"/>
      <c r="BQV58" s="37"/>
      <c r="BQW58" s="138"/>
      <c r="BQX58" s="37"/>
      <c r="BQY58" s="37"/>
      <c r="BQZ58" s="37"/>
      <c r="BRA58" s="37"/>
      <c r="BRB58" s="37"/>
      <c r="BRC58" s="75"/>
      <c r="BRD58" s="37"/>
      <c r="BRE58" s="37"/>
      <c r="BRF58" s="37"/>
      <c r="BRG58" s="37"/>
      <c r="BRH58" s="37"/>
      <c r="BRI58" s="138"/>
      <c r="BRJ58" s="37"/>
      <c r="BRK58" s="37"/>
      <c r="BRL58" s="37"/>
      <c r="BRM58" s="37"/>
      <c r="BRN58" s="37"/>
      <c r="BRO58" s="75"/>
      <c r="BRP58" s="65"/>
      <c r="BRQ58" s="65"/>
      <c r="BRR58" s="65"/>
      <c r="BRS58" s="65"/>
      <c r="BRT58" s="37"/>
      <c r="BRU58" s="138"/>
      <c r="BRV58" s="37"/>
      <c r="BRW58" s="37"/>
      <c r="BRX58" s="37"/>
      <c r="BRY58" s="37"/>
      <c r="BRZ58" s="37"/>
      <c r="BSA58" s="75"/>
      <c r="BSB58" s="37"/>
      <c r="BSC58" s="37"/>
      <c r="BSD58" s="37"/>
      <c r="BSE58" s="37"/>
      <c r="BSF58" s="37"/>
      <c r="BSG58" s="138"/>
      <c r="BSH58" s="37"/>
      <c r="BSI58" s="37"/>
      <c r="BSJ58" s="37"/>
      <c r="BSK58" s="37"/>
      <c r="BSL58" s="37"/>
      <c r="BSM58" s="75"/>
      <c r="BSN58" s="37"/>
      <c r="BSO58" s="37"/>
      <c r="BSP58" s="37"/>
      <c r="BSQ58" s="37"/>
      <c r="BSR58" s="37"/>
      <c r="BSS58" s="38"/>
      <c r="BST58" s="36"/>
      <c r="BSU58" s="65"/>
      <c r="BSV58" s="65"/>
      <c r="BSW58" s="65"/>
      <c r="BSX58" s="37"/>
      <c r="BSY58" s="133"/>
      <c r="BSZ58" s="37"/>
      <c r="BTA58" s="37"/>
      <c r="BTB58" s="37"/>
      <c r="BTC58" s="37"/>
      <c r="BTD58" s="37"/>
      <c r="BTE58" s="138"/>
      <c r="BTF58" s="37"/>
      <c r="BTG58" s="37"/>
      <c r="BTH58" s="37"/>
      <c r="BTI58" s="37"/>
      <c r="BTJ58" s="37"/>
      <c r="BTK58" s="75"/>
      <c r="BTL58" s="37"/>
      <c r="BTM58" s="37"/>
      <c r="BTN58" s="37"/>
      <c r="BTO58" s="37"/>
      <c r="BTP58" s="37"/>
      <c r="BTQ58" s="138"/>
      <c r="BTR58" s="37"/>
      <c r="BTS58" s="37"/>
      <c r="BTT58" s="37"/>
      <c r="BTU58" s="37"/>
      <c r="BTV58" s="37"/>
      <c r="BTW58" s="75"/>
      <c r="BTX58" s="65"/>
      <c r="BTY58" s="65"/>
      <c r="BTZ58" s="65"/>
      <c r="BUA58" s="65"/>
      <c r="BUB58" s="37"/>
      <c r="BUC58" s="138"/>
      <c r="BUD58" s="37"/>
      <c r="BUE58" s="37"/>
      <c r="BUF58" s="37"/>
      <c r="BUG58" s="37"/>
      <c r="BUH58" s="37"/>
      <c r="BUI58" s="75"/>
      <c r="BUJ58" s="37"/>
      <c r="BUK58" s="37"/>
      <c r="BUL58" s="37"/>
      <c r="BUM58" s="37"/>
      <c r="BUN58" s="37"/>
      <c r="BUO58" s="138"/>
      <c r="BUP58" s="37"/>
      <c r="BUQ58" s="37"/>
      <c r="BUR58" s="37"/>
      <c r="BUS58" s="37"/>
      <c r="BUT58" s="37"/>
      <c r="BUU58" s="75"/>
      <c r="BUV58" s="37"/>
      <c r="BUW58" s="37"/>
      <c r="BUX58" s="37"/>
      <c r="BUY58" s="37"/>
      <c r="BUZ58" s="37"/>
      <c r="BVA58" s="38"/>
      <c r="BVB58" s="36"/>
      <c r="BVC58" s="65"/>
      <c r="BVD58" s="65"/>
      <c r="BVE58" s="65"/>
      <c r="BVF58" s="37"/>
      <c r="BVG58" s="133"/>
      <c r="BVH58" s="37"/>
      <c r="BVI58" s="37"/>
      <c r="BVJ58" s="37"/>
      <c r="BVK58" s="37"/>
      <c r="BVL58" s="37"/>
      <c r="BVM58" s="138"/>
      <c r="BVN58" s="37"/>
      <c r="BVO58" s="37"/>
      <c r="BVP58" s="37"/>
      <c r="BVQ58" s="37"/>
      <c r="BVR58" s="37"/>
      <c r="BVS58" s="75"/>
      <c r="BVT58" s="37"/>
      <c r="BVU58" s="37"/>
      <c r="BVV58" s="37"/>
      <c r="BVW58" s="37"/>
      <c r="BVX58" s="37"/>
      <c r="BVY58" s="138"/>
      <c r="BVZ58" s="37"/>
      <c r="BWA58" s="37"/>
      <c r="BWB58" s="37"/>
      <c r="BWC58" s="37"/>
      <c r="BWD58" s="37"/>
      <c r="BWE58" s="75"/>
      <c r="BWF58" s="65"/>
      <c r="BWG58" s="65"/>
      <c r="BWH58" s="65"/>
      <c r="BWI58" s="65"/>
      <c r="BWJ58" s="37"/>
      <c r="BWK58" s="138"/>
      <c r="BWL58" s="37"/>
      <c r="BWM58" s="37"/>
      <c r="BWN58" s="37"/>
      <c r="BWO58" s="37"/>
      <c r="BWP58" s="37"/>
      <c r="BWQ58" s="75"/>
      <c r="BWR58" s="37"/>
      <c r="BWS58" s="37"/>
      <c r="BWT58" s="37"/>
      <c r="BWU58" s="37"/>
      <c r="BWV58" s="37"/>
      <c r="BWW58" s="138"/>
      <c r="BWX58" s="37"/>
      <c r="BWY58" s="37"/>
      <c r="BWZ58" s="37"/>
      <c r="BXA58" s="37"/>
      <c r="BXB58" s="37"/>
      <c r="BXC58" s="75"/>
      <c r="BXD58" s="37"/>
      <c r="BXE58" s="37"/>
      <c r="BXF58" s="37"/>
      <c r="BXG58" s="37"/>
      <c r="BXH58" s="37"/>
      <c r="BXI58" s="38"/>
      <c r="BXJ58" s="36"/>
      <c r="BXK58" s="65"/>
      <c r="BXL58" s="65"/>
      <c r="BXM58" s="65"/>
      <c r="BXN58" s="37"/>
      <c r="BXO58" s="133"/>
      <c r="BXP58" s="37"/>
      <c r="BXQ58" s="37"/>
      <c r="BXR58" s="37"/>
      <c r="BXS58" s="37"/>
      <c r="BXT58" s="37"/>
      <c r="BXU58" s="138"/>
      <c r="BXV58" s="37"/>
      <c r="BXW58" s="37"/>
      <c r="BXX58" s="37"/>
      <c r="BXY58" s="37"/>
      <c r="BXZ58" s="37"/>
      <c r="BYA58" s="75"/>
      <c r="BYB58" s="37"/>
      <c r="BYC58" s="37"/>
      <c r="BYD58" s="37"/>
      <c r="BYE58" s="37"/>
      <c r="BYF58" s="37"/>
      <c r="BYG58" s="138"/>
      <c r="BYH58" s="37"/>
      <c r="BYI58" s="37"/>
      <c r="BYJ58" s="37"/>
      <c r="BYK58" s="37"/>
      <c r="BYL58" s="37"/>
      <c r="BYM58" s="75"/>
      <c r="BYN58" s="65"/>
      <c r="BYO58" s="65"/>
      <c r="BYP58" s="65"/>
      <c r="BYQ58" s="65"/>
      <c r="BYR58" s="37"/>
      <c r="BYS58" s="138"/>
      <c r="BYT58" s="37"/>
      <c r="BYU58" s="37"/>
      <c r="BYV58" s="37"/>
      <c r="BYW58" s="37"/>
      <c r="BYX58" s="37"/>
      <c r="BYY58" s="75"/>
      <c r="BYZ58" s="37"/>
      <c r="BZA58" s="37"/>
      <c r="BZB58" s="37"/>
      <c r="BZC58" s="37"/>
      <c r="BZD58" s="37"/>
      <c r="BZE58" s="138"/>
      <c r="BZF58" s="37"/>
      <c r="BZG58" s="37"/>
      <c r="BZH58" s="37"/>
      <c r="BZI58" s="37"/>
      <c r="BZJ58" s="37"/>
      <c r="BZK58" s="75"/>
      <c r="BZL58" s="37"/>
      <c r="BZM58" s="37"/>
      <c r="BZN58" s="37"/>
      <c r="BZO58" s="37"/>
      <c r="BZP58" s="37"/>
      <c r="BZQ58" s="38"/>
      <c r="BZR58" s="36"/>
      <c r="BZS58" s="65"/>
      <c r="BZT58" s="65"/>
      <c r="BZU58" s="65"/>
      <c r="BZV58" s="37"/>
      <c r="BZW58" s="133"/>
      <c r="BZX58" s="37"/>
      <c r="BZY58" s="37"/>
      <c r="BZZ58" s="37"/>
      <c r="CAA58" s="37"/>
      <c r="CAB58" s="37"/>
      <c r="CAC58" s="138"/>
      <c r="CAD58" s="37"/>
      <c r="CAE58" s="37"/>
      <c r="CAF58" s="37"/>
      <c r="CAG58" s="37"/>
      <c r="CAH58" s="37"/>
      <c r="CAI58" s="75"/>
      <c r="CAJ58" s="37"/>
      <c r="CAK58" s="37"/>
      <c r="CAL58" s="37"/>
      <c r="CAM58" s="37"/>
      <c r="CAN58" s="37"/>
      <c r="CAO58" s="138"/>
      <c r="CAP58" s="37"/>
      <c r="CAQ58" s="37"/>
      <c r="CAR58" s="37"/>
      <c r="CAS58" s="37"/>
      <c r="CAT58" s="37"/>
      <c r="CAU58" s="75"/>
      <c r="CAV58" s="65"/>
      <c r="CAW58" s="65"/>
      <c r="CAX58" s="65"/>
      <c r="CAY58" s="65"/>
      <c r="CAZ58" s="37"/>
      <c r="CBA58" s="138"/>
      <c r="CBB58" s="37"/>
      <c r="CBC58" s="37"/>
      <c r="CBD58" s="37"/>
      <c r="CBE58" s="37"/>
      <c r="CBF58" s="37"/>
      <c r="CBG58" s="75"/>
      <c r="CBH58" s="37"/>
      <c r="CBI58" s="37"/>
      <c r="CBJ58" s="37"/>
      <c r="CBK58" s="37"/>
      <c r="CBL58" s="37"/>
      <c r="CBM58" s="138"/>
      <c r="CBN58" s="37"/>
      <c r="CBO58" s="37"/>
      <c r="CBP58" s="37"/>
      <c r="CBQ58" s="37"/>
      <c r="CBR58" s="37"/>
      <c r="CBS58" s="75"/>
      <c r="CBT58" s="37"/>
      <c r="CBU58" s="37"/>
      <c r="CBV58" s="37"/>
      <c r="CBW58" s="37"/>
      <c r="CBX58" s="37"/>
      <c r="CBY58" s="38"/>
      <c r="CBZ58" s="36"/>
      <c r="CCA58" s="65"/>
      <c r="CCB58" s="65"/>
      <c r="CCC58" s="65"/>
      <c r="CCD58" s="37"/>
      <c r="CCE58" s="133"/>
      <c r="CCF58" s="37"/>
      <c r="CCG58" s="37"/>
      <c r="CCH58" s="37"/>
      <c r="CCI58" s="37"/>
      <c r="CCJ58" s="37"/>
      <c r="CCK58" s="138"/>
      <c r="CCL58" s="37"/>
      <c r="CCM58" s="37"/>
      <c r="CCN58" s="37"/>
      <c r="CCO58" s="37"/>
      <c r="CCP58" s="37"/>
      <c r="CCQ58" s="75"/>
      <c r="CCR58" s="37"/>
      <c r="CCS58" s="37"/>
      <c r="CCT58" s="37"/>
      <c r="CCU58" s="37"/>
      <c r="CCV58" s="37"/>
      <c r="CCW58" s="138"/>
      <c r="CCX58" s="37"/>
      <c r="CCY58" s="37"/>
      <c r="CCZ58" s="37"/>
      <c r="CDA58" s="37"/>
      <c r="CDB58" s="37"/>
      <c r="CDC58" s="75"/>
      <c r="CDD58" s="65"/>
      <c r="CDE58" s="65"/>
      <c r="CDF58" s="65"/>
      <c r="CDG58" s="65"/>
      <c r="CDH58" s="37"/>
      <c r="CDI58" s="138"/>
      <c r="CDJ58" s="37"/>
      <c r="CDK58" s="37"/>
      <c r="CDL58" s="37"/>
      <c r="CDM58" s="37"/>
      <c r="CDN58" s="37"/>
      <c r="CDO58" s="75"/>
      <c r="CDP58" s="37"/>
      <c r="CDQ58" s="37"/>
      <c r="CDR58" s="37"/>
      <c r="CDS58" s="37"/>
      <c r="CDT58" s="37"/>
      <c r="CDU58" s="138"/>
      <c r="CDV58" s="37"/>
      <c r="CDW58" s="37"/>
      <c r="CDX58" s="37"/>
      <c r="CDY58" s="37"/>
      <c r="CDZ58" s="37"/>
      <c r="CEA58" s="75"/>
      <c r="CEB58" s="37"/>
      <c r="CEC58" s="37"/>
      <c r="CED58" s="37"/>
      <c r="CEE58" s="37"/>
      <c r="CEF58" s="37"/>
      <c r="CEG58" s="38"/>
      <c r="CEH58" s="36"/>
      <c r="CEI58" s="65"/>
      <c r="CEJ58" s="65"/>
      <c r="CEK58" s="65"/>
      <c r="CEL58" s="37"/>
      <c r="CEM58" s="133"/>
      <c r="CEN58" s="37"/>
      <c r="CEO58" s="37"/>
      <c r="CEP58" s="37"/>
      <c r="CEQ58" s="37"/>
      <c r="CER58" s="37"/>
      <c r="CES58" s="138"/>
      <c r="CET58" s="37"/>
      <c r="CEU58" s="37"/>
      <c r="CEV58" s="37"/>
      <c r="CEW58" s="37"/>
      <c r="CEX58" s="37"/>
      <c r="CEY58" s="75"/>
      <c r="CEZ58" s="37"/>
      <c r="CFA58" s="37"/>
      <c r="CFB58" s="37"/>
      <c r="CFC58" s="37"/>
      <c r="CFD58" s="37"/>
      <c r="CFE58" s="138"/>
      <c r="CFF58" s="37"/>
      <c r="CFG58" s="37"/>
      <c r="CFH58" s="37"/>
      <c r="CFI58" s="37"/>
      <c r="CFJ58" s="37"/>
      <c r="CFK58" s="75"/>
      <c r="CFL58" s="65"/>
      <c r="CFM58" s="65"/>
      <c r="CFN58" s="65"/>
      <c r="CFO58" s="65"/>
      <c r="CFP58" s="37"/>
      <c r="CFQ58" s="138"/>
      <c r="CFR58" s="37"/>
      <c r="CFS58" s="37"/>
      <c r="CFT58" s="37"/>
      <c r="CFU58" s="37"/>
      <c r="CFV58" s="37"/>
      <c r="CFW58" s="75"/>
      <c r="CFX58" s="37"/>
      <c r="CFY58" s="37"/>
      <c r="CFZ58" s="37"/>
      <c r="CGA58" s="37"/>
      <c r="CGB58" s="37"/>
      <c r="CGC58" s="138"/>
      <c r="CGD58" s="37"/>
      <c r="CGE58" s="37"/>
      <c r="CGF58" s="37"/>
      <c r="CGG58" s="37"/>
      <c r="CGH58" s="37"/>
      <c r="CGI58" s="75"/>
      <c r="CGJ58" s="37"/>
      <c r="CGK58" s="37"/>
      <c r="CGL58" s="37"/>
      <c r="CGM58" s="37"/>
      <c r="CGN58" s="37"/>
      <c r="CGO58" s="38"/>
      <c r="CGP58" s="36"/>
      <c r="CGQ58" s="65"/>
      <c r="CGR58" s="65"/>
      <c r="CGS58" s="65"/>
      <c r="CGT58" s="37"/>
      <c r="CGU58" s="133"/>
      <c r="CGV58" s="37"/>
      <c r="CGW58" s="37"/>
      <c r="CGX58" s="37"/>
      <c r="CGY58" s="37"/>
      <c r="CGZ58" s="37"/>
      <c r="CHA58" s="138"/>
      <c r="CHB58" s="37"/>
      <c r="CHC58" s="37"/>
      <c r="CHD58" s="37"/>
      <c r="CHE58" s="37"/>
      <c r="CHF58" s="37"/>
      <c r="CHG58" s="75"/>
      <c r="CHH58" s="37"/>
      <c r="CHI58" s="37"/>
      <c r="CHJ58" s="37"/>
      <c r="CHK58" s="37"/>
      <c r="CHL58" s="37"/>
      <c r="CHM58" s="138"/>
      <c r="CHN58" s="37"/>
      <c r="CHO58" s="37"/>
      <c r="CHP58" s="37"/>
      <c r="CHQ58" s="37"/>
      <c r="CHR58" s="37"/>
      <c r="CHS58" s="75"/>
      <c r="CHT58" s="65"/>
      <c r="CHU58" s="65"/>
      <c r="CHV58" s="65"/>
      <c r="CHW58" s="65"/>
      <c r="CHX58" s="37"/>
      <c r="CHY58" s="138"/>
      <c r="CHZ58" s="37"/>
      <c r="CIA58" s="37"/>
      <c r="CIB58" s="37"/>
      <c r="CIC58" s="37"/>
      <c r="CID58" s="37"/>
      <c r="CIE58" s="75"/>
      <c r="CIF58" s="37"/>
      <c r="CIG58" s="37"/>
      <c r="CIH58" s="37"/>
      <c r="CII58" s="37"/>
      <c r="CIJ58" s="37"/>
      <c r="CIK58" s="138"/>
      <c r="CIL58" s="37"/>
      <c r="CIM58" s="37"/>
      <c r="CIN58" s="37"/>
      <c r="CIO58" s="37"/>
      <c r="CIP58" s="37"/>
      <c r="CIQ58" s="75"/>
      <c r="CIR58" s="37"/>
      <c r="CIS58" s="37"/>
      <c r="CIT58" s="37"/>
      <c r="CIU58" s="37"/>
      <c r="CIV58" s="37"/>
      <c r="CIW58" s="38"/>
      <c r="CIX58" s="36"/>
      <c r="CIY58" s="65"/>
      <c r="CIZ58" s="65"/>
      <c r="CJA58" s="65"/>
      <c r="CJB58" s="37"/>
      <c r="CJC58" s="133"/>
      <c r="CJD58" s="37"/>
      <c r="CJE58" s="37"/>
      <c r="CJF58" s="37"/>
      <c r="CJG58" s="37"/>
      <c r="CJH58" s="37"/>
      <c r="CJI58" s="138"/>
      <c r="CJJ58" s="37"/>
      <c r="CJK58" s="37"/>
      <c r="CJL58" s="37"/>
      <c r="CJM58" s="37"/>
      <c r="CJN58" s="37"/>
      <c r="CJO58" s="75"/>
      <c r="CJP58" s="37"/>
      <c r="CJQ58" s="37"/>
      <c r="CJR58" s="37"/>
      <c r="CJS58" s="37"/>
      <c r="CJT58" s="37"/>
      <c r="CJU58" s="138"/>
      <c r="CJV58" s="37"/>
      <c r="CJW58" s="37"/>
      <c r="CJX58" s="37"/>
      <c r="CJY58" s="37"/>
      <c r="CJZ58" s="37"/>
      <c r="CKA58" s="75"/>
      <c r="CKB58" s="65"/>
      <c r="CKC58" s="65"/>
      <c r="CKD58" s="65"/>
      <c r="CKE58" s="65"/>
      <c r="CKF58" s="37"/>
      <c r="CKG58" s="138"/>
      <c r="CKH58" s="37"/>
      <c r="CKI58" s="37"/>
      <c r="CKJ58" s="37"/>
      <c r="CKK58" s="37"/>
      <c r="CKL58" s="37"/>
      <c r="CKM58" s="75"/>
      <c r="CKN58" s="37"/>
      <c r="CKO58" s="37"/>
      <c r="CKP58" s="37"/>
      <c r="CKQ58" s="37"/>
      <c r="CKR58" s="37"/>
      <c r="CKS58" s="138"/>
      <c r="CKT58" s="37"/>
      <c r="CKU58" s="37"/>
      <c r="CKV58" s="37"/>
      <c r="CKW58" s="37"/>
      <c r="CKX58" s="37"/>
      <c r="CKY58" s="75"/>
      <c r="CKZ58" s="37"/>
      <c r="CLA58" s="37"/>
      <c r="CLB58" s="37"/>
      <c r="CLC58" s="37"/>
      <c r="CLD58" s="37"/>
      <c r="CLE58" s="38"/>
      <c r="CLF58" s="36"/>
      <c r="CLG58" s="65"/>
      <c r="CLH58" s="65"/>
      <c r="CLI58" s="65"/>
      <c r="CLJ58" s="37"/>
      <c r="CLK58" s="133"/>
      <c r="CLL58" s="37"/>
      <c r="CLM58" s="37"/>
      <c r="CLN58" s="37"/>
      <c r="CLO58" s="37"/>
      <c r="CLP58" s="37"/>
      <c r="CLQ58" s="138"/>
      <c r="CLR58" s="37"/>
      <c r="CLS58" s="37"/>
      <c r="CLT58" s="37"/>
      <c r="CLU58" s="37"/>
      <c r="CLV58" s="37"/>
      <c r="CLW58" s="75"/>
      <c r="CLX58" s="37"/>
      <c r="CLY58" s="37"/>
      <c r="CLZ58" s="37"/>
      <c r="CMA58" s="37"/>
      <c r="CMB58" s="37"/>
      <c r="CMC58" s="138"/>
      <c r="CMD58" s="37"/>
      <c r="CME58" s="37"/>
      <c r="CMF58" s="37"/>
      <c r="CMG58" s="37"/>
      <c r="CMH58" s="37"/>
      <c r="CMI58" s="75"/>
      <c r="CMJ58" s="65"/>
      <c r="CMK58" s="65"/>
      <c r="CML58" s="65"/>
      <c r="CMM58" s="65"/>
      <c r="CMN58" s="37"/>
      <c r="CMO58" s="138"/>
      <c r="CMP58" s="37"/>
      <c r="CMQ58" s="37"/>
      <c r="CMR58" s="37"/>
      <c r="CMS58" s="37"/>
      <c r="CMT58" s="37"/>
      <c r="CMU58" s="75"/>
      <c r="CMV58" s="37"/>
      <c r="CMW58" s="37"/>
      <c r="CMX58" s="37"/>
      <c r="CMY58" s="37"/>
      <c r="CMZ58" s="37"/>
      <c r="CNA58" s="138"/>
      <c r="CNB58" s="37"/>
      <c r="CNC58" s="37"/>
      <c r="CND58" s="37"/>
      <c r="CNE58" s="37"/>
      <c r="CNF58" s="37"/>
      <c r="CNG58" s="75"/>
      <c r="CNH58" s="37"/>
      <c r="CNI58" s="37"/>
      <c r="CNJ58" s="37"/>
      <c r="CNK58" s="37"/>
      <c r="CNL58" s="37"/>
      <c r="CNM58" s="38"/>
      <c r="CNN58" s="36"/>
      <c r="CNO58" s="65"/>
      <c r="CNP58" s="65"/>
      <c r="CNQ58" s="65"/>
      <c r="CNR58" s="37"/>
      <c r="CNS58" s="133"/>
      <c r="CNT58" s="37"/>
      <c r="CNU58" s="37"/>
      <c r="CNV58" s="37"/>
      <c r="CNW58" s="37"/>
      <c r="CNX58" s="37"/>
      <c r="CNY58" s="138"/>
      <c r="CNZ58" s="37"/>
      <c r="COA58" s="37"/>
      <c r="COB58" s="37"/>
      <c r="COC58" s="37"/>
      <c r="COD58" s="37"/>
      <c r="COE58" s="75"/>
      <c r="COF58" s="37"/>
      <c r="COG58" s="37"/>
      <c r="COH58" s="37"/>
      <c r="COI58" s="37"/>
      <c r="COJ58" s="37"/>
      <c r="COK58" s="138"/>
      <c r="COL58" s="37"/>
      <c r="COM58" s="37"/>
      <c r="CON58" s="37"/>
      <c r="COO58" s="37"/>
      <c r="COP58" s="37"/>
      <c r="COQ58" s="75"/>
      <c r="COR58" s="65"/>
      <c r="COS58" s="65"/>
      <c r="COT58" s="65"/>
      <c r="COU58" s="65"/>
      <c r="COV58" s="37"/>
      <c r="COW58" s="138"/>
      <c r="COX58" s="37"/>
      <c r="COY58" s="37"/>
      <c r="COZ58" s="37"/>
      <c r="CPA58" s="37"/>
      <c r="CPB58" s="37"/>
      <c r="CPC58" s="75"/>
      <c r="CPD58" s="37"/>
      <c r="CPE58" s="37"/>
      <c r="CPF58" s="37"/>
      <c r="CPG58" s="37"/>
      <c r="CPH58" s="37"/>
      <c r="CPI58" s="138"/>
      <c r="CPJ58" s="37"/>
      <c r="CPK58" s="37"/>
      <c r="CPL58" s="37"/>
      <c r="CPM58" s="37"/>
      <c r="CPN58" s="37"/>
      <c r="CPO58" s="75"/>
      <c r="CPP58" s="37"/>
      <c r="CPQ58" s="37"/>
      <c r="CPR58" s="37"/>
      <c r="CPS58" s="37"/>
      <c r="CPT58" s="37"/>
      <c r="CPU58" s="38"/>
      <c r="CPV58" s="36"/>
      <c r="CPW58" s="65"/>
      <c r="CPX58" s="65"/>
      <c r="CPY58" s="65"/>
      <c r="CPZ58" s="37"/>
      <c r="CQA58" s="133"/>
      <c r="CQB58" s="37"/>
      <c r="CQC58" s="37"/>
      <c r="CQD58" s="37"/>
      <c r="CQE58" s="37"/>
      <c r="CQF58" s="37"/>
      <c r="CQG58" s="138"/>
      <c r="CQH58" s="37"/>
      <c r="CQI58" s="37"/>
      <c r="CQJ58" s="37"/>
      <c r="CQK58" s="37"/>
      <c r="CQL58" s="37"/>
      <c r="CQM58" s="75"/>
      <c r="CQN58" s="37"/>
      <c r="CQO58" s="37"/>
      <c r="CQP58" s="37"/>
      <c r="CQQ58" s="37"/>
      <c r="CQR58" s="37"/>
      <c r="CQS58" s="138"/>
      <c r="CQT58" s="37"/>
      <c r="CQU58" s="37"/>
      <c r="CQV58" s="37"/>
      <c r="CQW58" s="37"/>
      <c r="CQX58" s="37"/>
      <c r="CQY58" s="75"/>
      <c r="CQZ58" s="65"/>
      <c r="CRA58" s="65"/>
      <c r="CRB58" s="65"/>
      <c r="CRC58" s="65"/>
      <c r="CRD58" s="37"/>
      <c r="CRE58" s="138"/>
      <c r="CRF58" s="37"/>
      <c r="CRG58" s="37"/>
      <c r="CRH58" s="37"/>
      <c r="CRI58" s="37"/>
      <c r="CRJ58" s="37"/>
      <c r="CRK58" s="75"/>
      <c r="CRL58" s="37"/>
      <c r="CRM58" s="37"/>
      <c r="CRN58" s="37"/>
      <c r="CRO58" s="37"/>
      <c r="CRP58" s="37"/>
      <c r="CRQ58" s="138"/>
      <c r="CRR58" s="37"/>
      <c r="CRS58" s="37"/>
      <c r="CRT58" s="37"/>
      <c r="CRU58" s="37"/>
      <c r="CRV58" s="37"/>
      <c r="CRW58" s="75"/>
      <c r="CRX58" s="37"/>
      <c r="CRY58" s="37"/>
      <c r="CRZ58" s="37"/>
      <c r="CSA58" s="37"/>
      <c r="CSB58" s="37"/>
      <c r="CSC58" s="38"/>
      <c r="CSD58" s="90"/>
    </row>
    <row r="59" spans="1:2526" ht="20.100000000000001" customHeight="1" x14ac:dyDescent="0.25">
      <c r="A59" s="100" t="s">
        <v>18</v>
      </c>
      <c r="B59" s="63"/>
      <c r="C59" s="211" t="s">
        <v>78</v>
      </c>
      <c r="D59" s="146" t="str">
        <f t="shared" si="0"/>
        <v>6h45min</v>
      </c>
      <c r="E59" s="31">
        <v>81</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40"/>
      <c r="BLW59" s="66"/>
      <c r="BLX59" s="66"/>
      <c r="BLY59" s="66"/>
      <c r="BLZ59" s="41"/>
      <c r="BMA59" s="134"/>
      <c r="BMB59" s="41"/>
      <c r="BMC59" s="41"/>
      <c r="BMD59" s="41"/>
      <c r="BME59" s="41"/>
      <c r="BMF59" s="41"/>
      <c r="BMG59" s="139"/>
      <c r="BMH59" s="41"/>
      <c r="BMI59" s="41"/>
      <c r="BMJ59" s="41"/>
      <c r="BMK59" s="41"/>
      <c r="BML59" s="41"/>
      <c r="BMM59" s="76"/>
      <c r="BMN59" s="41"/>
      <c r="BMO59" s="41"/>
      <c r="BMP59" s="41"/>
      <c r="BMQ59" s="41"/>
      <c r="BMR59" s="41"/>
      <c r="BMS59" s="139"/>
      <c r="BMT59" s="41"/>
      <c r="BMU59" s="41"/>
      <c r="BMV59" s="41"/>
      <c r="BMW59" s="41"/>
      <c r="BMX59" s="41"/>
      <c r="BMY59" s="76"/>
      <c r="BMZ59" s="66"/>
      <c r="BNA59" s="66"/>
      <c r="BNB59" s="66"/>
      <c r="BNC59" s="66"/>
      <c r="BND59" s="41"/>
      <c r="BNE59" s="139"/>
      <c r="BNF59" s="41"/>
      <c r="BNG59" s="41"/>
      <c r="BNH59" s="41"/>
      <c r="BNI59" s="41"/>
      <c r="BNJ59" s="41"/>
      <c r="BNK59" s="76"/>
      <c r="BNL59" s="41"/>
      <c r="BNM59" s="41"/>
      <c r="BNN59" s="41"/>
      <c r="BNO59" s="41"/>
      <c r="BNP59" s="41"/>
      <c r="BNQ59" s="139"/>
      <c r="BNR59" s="41"/>
      <c r="BNS59" s="41"/>
      <c r="BNT59" s="41"/>
      <c r="BNU59" s="41"/>
      <c r="BNV59" s="41"/>
      <c r="BNW59" s="76"/>
      <c r="BNX59" s="41"/>
      <c r="BNY59" s="41"/>
      <c r="BNZ59" s="41"/>
      <c r="BOA59" s="41"/>
      <c r="BOB59" s="41"/>
      <c r="BOC59" s="42"/>
      <c r="BOD59" s="40"/>
      <c r="BOE59" s="66"/>
      <c r="BOF59" s="66"/>
      <c r="BOG59" s="66"/>
      <c r="BOH59" s="41"/>
      <c r="BOI59" s="134"/>
      <c r="BOJ59" s="41"/>
      <c r="BOK59" s="41"/>
      <c r="BOL59" s="41"/>
      <c r="BOM59" s="41"/>
      <c r="BON59" s="41"/>
      <c r="BOO59" s="139"/>
      <c r="BOP59" s="41"/>
      <c r="BOQ59" s="41"/>
      <c r="BOR59" s="41"/>
      <c r="BOS59" s="41"/>
      <c r="BOT59" s="41"/>
      <c r="BOU59" s="76"/>
      <c r="BOV59" s="41"/>
      <c r="BOW59" s="41"/>
      <c r="BOX59" s="41"/>
      <c r="BOY59" s="41"/>
      <c r="BOZ59" s="41"/>
      <c r="BPA59" s="139"/>
      <c r="BPB59" s="41"/>
      <c r="BPC59" s="41"/>
      <c r="BPD59" s="41"/>
      <c r="BPE59" s="41"/>
      <c r="BPF59" s="41"/>
      <c r="BPG59" s="76"/>
      <c r="BPH59" s="66"/>
      <c r="BPI59" s="66"/>
      <c r="BPJ59" s="66"/>
      <c r="BPK59" s="66"/>
      <c r="BPL59" s="41"/>
      <c r="BPM59" s="139"/>
      <c r="BPN59" s="41"/>
      <c r="BPO59" s="41"/>
      <c r="BPP59" s="41"/>
      <c r="BPQ59" s="41"/>
      <c r="BPR59" s="41"/>
      <c r="BPS59" s="76"/>
      <c r="BPT59" s="41"/>
      <c r="BPU59" s="41"/>
      <c r="BPV59" s="41"/>
      <c r="BPW59" s="41"/>
      <c r="BPX59" s="41"/>
      <c r="BPY59" s="139"/>
      <c r="BPZ59" s="41"/>
      <c r="BQA59" s="41"/>
      <c r="BQB59" s="41"/>
      <c r="BQC59" s="41"/>
      <c r="BQD59" s="41"/>
      <c r="BQE59" s="76"/>
      <c r="BQF59" s="41"/>
      <c r="BQG59" s="41"/>
      <c r="BQH59" s="41"/>
      <c r="BQI59" s="41"/>
      <c r="BQJ59" s="41"/>
      <c r="BQK59" s="42"/>
      <c r="BQL59" s="40"/>
      <c r="BQM59" s="66"/>
      <c r="BQN59" s="66"/>
      <c r="BQO59" s="66"/>
      <c r="BQP59" s="41"/>
      <c r="BQQ59" s="134"/>
      <c r="BQR59" s="41"/>
      <c r="BQS59" s="41"/>
      <c r="BQT59" s="41"/>
      <c r="BQU59" s="41"/>
      <c r="BQV59" s="41"/>
      <c r="BQW59" s="139"/>
      <c r="BQX59" s="41"/>
      <c r="BQY59" s="41"/>
      <c r="BQZ59" s="41"/>
      <c r="BRA59" s="41"/>
      <c r="BRB59" s="41"/>
      <c r="BRC59" s="76"/>
      <c r="BRD59" s="41"/>
      <c r="BRE59" s="41"/>
      <c r="BRF59" s="41"/>
      <c r="BRG59" s="41"/>
      <c r="BRH59" s="41"/>
      <c r="BRI59" s="139"/>
      <c r="BRJ59" s="41"/>
      <c r="BRK59" s="41"/>
      <c r="BRL59" s="41"/>
      <c r="BRM59" s="41"/>
      <c r="BRN59" s="41"/>
      <c r="BRO59" s="76"/>
      <c r="BRP59" s="66"/>
      <c r="BRQ59" s="66"/>
      <c r="BRR59" s="66"/>
      <c r="BRS59" s="66"/>
      <c r="BRT59" s="41"/>
      <c r="BRU59" s="139"/>
      <c r="BRV59" s="41"/>
      <c r="BRW59" s="41"/>
      <c r="BRX59" s="41"/>
      <c r="BRY59" s="41"/>
      <c r="BRZ59" s="41"/>
      <c r="BSA59" s="76"/>
      <c r="BSB59" s="41"/>
      <c r="BSC59" s="41"/>
      <c r="BSD59" s="41"/>
      <c r="BSE59" s="41"/>
      <c r="BSF59" s="41"/>
      <c r="BSG59" s="139"/>
      <c r="BSH59" s="41"/>
      <c r="BSI59" s="41"/>
      <c r="BSJ59" s="41"/>
      <c r="BSK59" s="41"/>
      <c r="BSL59" s="41"/>
      <c r="BSM59" s="76"/>
      <c r="BSN59" s="41"/>
      <c r="BSO59" s="41"/>
      <c r="BSP59" s="41"/>
      <c r="BSQ59" s="41"/>
      <c r="BSR59" s="41"/>
      <c r="BSS59" s="42"/>
      <c r="BST59" s="40"/>
      <c r="BSU59" s="66"/>
      <c r="BSV59" s="66"/>
      <c r="BSW59" s="66"/>
      <c r="BSX59" s="41"/>
      <c r="BSY59" s="134"/>
      <c r="BSZ59" s="41"/>
      <c r="BTA59" s="41"/>
      <c r="BTB59" s="41"/>
      <c r="BTC59" s="41"/>
      <c r="BTD59" s="41"/>
      <c r="BTE59" s="139"/>
      <c r="BTF59" s="41"/>
      <c r="BTG59" s="41"/>
      <c r="BTH59" s="41"/>
      <c r="BTI59" s="41"/>
      <c r="BTJ59" s="41"/>
      <c r="BTK59" s="76"/>
      <c r="BTL59" s="41"/>
      <c r="BTM59" s="41"/>
      <c r="BTN59" s="41"/>
      <c r="BTO59" s="41"/>
      <c r="BTP59" s="41"/>
      <c r="BTQ59" s="139"/>
      <c r="BTR59" s="41"/>
      <c r="BTS59" s="41"/>
      <c r="BTT59" s="41"/>
      <c r="BTU59" s="41"/>
      <c r="BTV59" s="41"/>
      <c r="BTW59" s="76"/>
      <c r="BTX59" s="66"/>
      <c r="BTY59" s="66"/>
      <c r="BTZ59" s="66"/>
      <c r="BUA59" s="66"/>
      <c r="BUB59" s="41"/>
      <c r="BUC59" s="139"/>
      <c r="BUD59" s="41"/>
      <c r="BUE59" s="41"/>
      <c r="BUF59" s="41"/>
      <c r="BUG59" s="41"/>
      <c r="BUH59" s="41"/>
      <c r="BUI59" s="76"/>
      <c r="BUJ59" s="41"/>
      <c r="BUK59" s="41"/>
      <c r="BUL59" s="41"/>
      <c r="BUM59" s="41"/>
      <c r="BUN59" s="41"/>
      <c r="BUO59" s="139"/>
      <c r="BUP59" s="41"/>
      <c r="BUQ59" s="41"/>
      <c r="BUR59" s="41"/>
      <c r="BUS59" s="41"/>
      <c r="BUT59" s="41"/>
      <c r="BUU59" s="76"/>
      <c r="BUV59" s="41"/>
      <c r="BUW59" s="41"/>
      <c r="BUX59" s="41"/>
      <c r="BUY59" s="41"/>
      <c r="BUZ59" s="41"/>
      <c r="BVA59" s="42"/>
      <c r="BVB59" s="40"/>
      <c r="BVC59" s="66"/>
      <c r="BVD59" s="66"/>
      <c r="BVE59" s="66"/>
      <c r="BVF59" s="41"/>
      <c r="BVG59" s="134"/>
      <c r="BVH59" s="41"/>
      <c r="BVI59" s="41"/>
      <c r="BVJ59" s="41"/>
      <c r="BVK59" s="41"/>
      <c r="BVL59" s="41"/>
      <c r="BVM59" s="139"/>
      <c r="BVN59" s="41"/>
      <c r="BVO59" s="41"/>
      <c r="BVP59" s="41"/>
      <c r="BVQ59" s="41"/>
      <c r="BVR59" s="41"/>
      <c r="BVS59" s="76"/>
      <c r="BVT59" s="41"/>
      <c r="BVU59" s="41"/>
      <c r="BVV59" s="41"/>
      <c r="BVW59" s="41"/>
      <c r="BVX59" s="41"/>
      <c r="BVY59" s="139"/>
      <c r="BVZ59" s="41"/>
      <c r="BWA59" s="41"/>
      <c r="BWB59" s="41"/>
      <c r="BWC59" s="41"/>
      <c r="BWD59" s="41"/>
      <c r="BWE59" s="76"/>
      <c r="BWF59" s="66"/>
      <c r="BWG59" s="66"/>
      <c r="BWH59" s="66"/>
      <c r="BWI59" s="66"/>
      <c r="BWJ59" s="41"/>
      <c r="BWK59" s="139"/>
      <c r="BWL59" s="41"/>
      <c r="BWM59" s="41"/>
      <c r="BWN59" s="41"/>
      <c r="BWO59" s="41"/>
      <c r="BWP59" s="41"/>
      <c r="BWQ59" s="76"/>
      <c r="BWR59" s="41"/>
      <c r="BWS59" s="41"/>
      <c r="BWT59" s="41"/>
      <c r="BWU59" s="41"/>
      <c r="BWV59" s="41"/>
      <c r="BWW59" s="139"/>
      <c r="BWX59" s="41"/>
      <c r="BWY59" s="41"/>
      <c r="BWZ59" s="41"/>
      <c r="BXA59" s="41"/>
      <c r="BXB59" s="41"/>
      <c r="BXC59" s="76"/>
      <c r="BXD59" s="41"/>
      <c r="BXE59" s="41"/>
      <c r="BXF59" s="41"/>
      <c r="BXG59" s="41"/>
      <c r="BXH59" s="41"/>
      <c r="BXI59" s="42"/>
      <c r="BXJ59" s="40"/>
      <c r="BXK59" s="66"/>
      <c r="BXL59" s="66"/>
      <c r="BXM59" s="66"/>
      <c r="BXN59" s="41"/>
      <c r="BXO59" s="134"/>
      <c r="BXP59" s="41"/>
      <c r="BXQ59" s="41"/>
      <c r="BXR59" s="41"/>
      <c r="BXS59" s="41"/>
      <c r="BXT59" s="41"/>
      <c r="BXU59" s="139"/>
      <c r="BXV59" s="41"/>
      <c r="BXW59" s="41"/>
      <c r="BXX59" s="41"/>
      <c r="BXY59" s="41"/>
      <c r="BXZ59" s="41"/>
      <c r="BYA59" s="76"/>
      <c r="BYB59" s="41"/>
      <c r="BYC59" s="41"/>
      <c r="BYD59" s="41"/>
      <c r="BYE59" s="41"/>
      <c r="BYF59" s="41"/>
      <c r="BYG59" s="139"/>
      <c r="BYH59" s="41"/>
      <c r="BYI59" s="41"/>
      <c r="BYJ59" s="41"/>
      <c r="BYK59" s="41"/>
      <c r="BYL59" s="41"/>
      <c r="BYM59" s="76"/>
      <c r="BYN59" s="66"/>
      <c r="BYO59" s="66"/>
      <c r="BYP59" s="66"/>
      <c r="BYQ59" s="66"/>
      <c r="BYR59" s="41"/>
      <c r="BYS59" s="139"/>
      <c r="BYT59" s="41"/>
      <c r="BYU59" s="41"/>
      <c r="BYV59" s="41"/>
      <c r="BYW59" s="41"/>
      <c r="BYX59" s="41"/>
      <c r="BYY59" s="76"/>
      <c r="BYZ59" s="41"/>
      <c r="BZA59" s="41"/>
      <c r="BZB59" s="41"/>
      <c r="BZC59" s="41"/>
      <c r="BZD59" s="41"/>
      <c r="BZE59" s="139"/>
      <c r="BZF59" s="41"/>
      <c r="BZG59" s="41"/>
      <c r="BZH59" s="41"/>
      <c r="BZI59" s="41"/>
      <c r="BZJ59" s="41"/>
      <c r="BZK59" s="76"/>
      <c r="BZL59" s="41"/>
      <c r="BZM59" s="41"/>
      <c r="BZN59" s="41"/>
      <c r="BZO59" s="41"/>
      <c r="BZP59" s="41"/>
      <c r="BZQ59" s="42"/>
      <c r="BZR59" s="40"/>
      <c r="BZS59" s="66"/>
      <c r="BZT59" s="66"/>
      <c r="BZU59" s="66"/>
      <c r="BZV59" s="41"/>
      <c r="BZW59" s="134"/>
      <c r="BZX59" s="41"/>
      <c r="BZY59" s="41"/>
      <c r="BZZ59" s="41"/>
      <c r="CAA59" s="41"/>
      <c r="CAB59" s="41"/>
      <c r="CAC59" s="139"/>
      <c r="CAD59" s="41"/>
      <c r="CAE59" s="41"/>
      <c r="CAF59" s="41"/>
      <c r="CAG59" s="41"/>
      <c r="CAH59" s="41"/>
      <c r="CAI59" s="76"/>
      <c r="CAJ59" s="41"/>
      <c r="CAK59" s="41"/>
      <c r="CAL59" s="41"/>
      <c r="CAM59" s="41"/>
      <c r="CAN59" s="41"/>
      <c r="CAO59" s="139"/>
      <c r="CAP59" s="41"/>
      <c r="CAQ59" s="41"/>
      <c r="CAR59" s="41"/>
      <c r="CAS59" s="41"/>
      <c r="CAT59" s="41"/>
      <c r="CAU59" s="76"/>
      <c r="CAV59" s="66"/>
      <c r="CAW59" s="66"/>
      <c r="CAX59" s="66"/>
      <c r="CAY59" s="66"/>
      <c r="CAZ59" s="41"/>
      <c r="CBA59" s="139"/>
      <c r="CBB59" s="41"/>
      <c r="CBC59" s="41"/>
      <c r="CBD59" s="41"/>
      <c r="CBE59" s="41"/>
      <c r="CBF59" s="41"/>
      <c r="CBG59" s="76"/>
      <c r="CBH59" s="41"/>
      <c r="CBI59" s="41"/>
      <c r="CBJ59" s="41"/>
      <c r="CBK59" s="41"/>
      <c r="CBL59" s="41"/>
      <c r="CBM59" s="139"/>
      <c r="CBN59" s="41"/>
      <c r="CBO59" s="41"/>
      <c r="CBP59" s="41"/>
      <c r="CBQ59" s="41"/>
      <c r="CBR59" s="41"/>
      <c r="CBS59" s="76"/>
      <c r="CBT59" s="41"/>
      <c r="CBU59" s="41"/>
      <c r="CBV59" s="41"/>
      <c r="CBW59" s="41"/>
      <c r="CBX59" s="41"/>
      <c r="CBY59" s="42"/>
      <c r="CBZ59" s="40"/>
      <c r="CCA59" s="66"/>
      <c r="CCB59" s="66"/>
      <c r="CCC59" s="66"/>
      <c r="CCD59" s="41"/>
      <c r="CCE59" s="134"/>
      <c r="CCF59" s="41"/>
      <c r="CCG59" s="41"/>
      <c r="CCH59" s="41"/>
      <c r="CCI59" s="41"/>
      <c r="CCJ59" s="41"/>
      <c r="CCK59" s="139"/>
      <c r="CCL59" s="41"/>
      <c r="CCM59" s="41"/>
      <c r="CCN59" s="41"/>
      <c r="CCO59" s="41"/>
      <c r="CCP59" s="41"/>
      <c r="CCQ59" s="76"/>
      <c r="CCR59" s="41"/>
      <c r="CCS59" s="41"/>
      <c r="CCT59" s="41"/>
      <c r="CCU59" s="41"/>
      <c r="CCV59" s="41"/>
      <c r="CCW59" s="139"/>
      <c r="CCX59" s="41"/>
      <c r="CCY59" s="41"/>
      <c r="CCZ59" s="41"/>
      <c r="CDA59" s="41"/>
      <c r="CDB59" s="41"/>
      <c r="CDC59" s="76"/>
      <c r="CDD59" s="66"/>
      <c r="CDE59" s="66"/>
      <c r="CDF59" s="66"/>
      <c r="CDG59" s="66"/>
      <c r="CDH59" s="41"/>
      <c r="CDI59" s="139"/>
      <c r="CDJ59" s="41"/>
      <c r="CDK59" s="41"/>
      <c r="CDL59" s="41"/>
      <c r="CDM59" s="41"/>
      <c r="CDN59" s="41"/>
      <c r="CDO59" s="76"/>
      <c r="CDP59" s="41"/>
      <c r="CDQ59" s="41"/>
      <c r="CDR59" s="41"/>
      <c r="CDS59" s="41"/>
      <c r="CDT59" s="41"/>
      <c r="CDU59" s="139"/>
      <c r="CDV59" s="41"/>
      <c r="CDW59" s="41"/>
      <c r="CDX59" s="41"/>
      <c r="CDY59" s="41"/>
      <c r="CDZ59" s="41"/>
      <c r="CEA59" s="76"/>
      <c r="CEB59" s="41"/>
      <c r="CEC59" s="41"/>
      <c r="CED59" s="41"/>
      <c r="CEE59" s="41"/>
      <c r="CEF59" s="41"/>
      <c r="CEG59" s="42"/>
      <c r="CEH59" s="40"/>
      <c r="CEI59" s="66"/>
      <c r="CEJ59" s="66"/>
      <c r="CEK59" s="66"/>
      <c r="CEL59" s="41"/>
      <c r="CEM59" s="134"/>
      <c r="CEN59" s="41"/>
      <c r="CEO59" s="41"/>
      <c r="CEP59" s="41"/>
      <c r="CEQ59" s="41"/>
      <c r="CER59" s="41"/>
      <c r="CES59" s="139"/>
      <c r="CET59" s="41"/>
      <c r="CEU59" s="41"/>
      <c r="CEV59" s="41"/>
      <c r="CEW59" s="41"/>
      <c r="CEX59" s="41"/>
      <c r="CEY59" s="76"/>
      <c r="CEZ59" s="41"/>
      <c r="CFA59" s="41"/>
      <c r="CFB59" s="41"/>
      <c r="CFC59" s="41"/>
      <c r="CFD59" s="41"/>
      <c r="CFE59" s="139"/>
      <c r="CFF59" s="41"/>
      <c r="CFG59" s="41"/>
      <c r="CFH59" s="41"/>
      <c r="CFI59" s="41"/>
      <c r="CFJ59" s="41"/>
      <c r="CFK59" s="76"/>
      <c r="CFL59" s="66"/>
      <c r="CFM59" s="66"/>
      <c r="CFN59" s="66"/>
      <c r="CFO59" s="66"/>
      <c r="CFP59" s="41"/>
      <c r="CFQ59" s="139"/>
      <c r="CFR59" s="41"/>
      <c r="CFS59" s="41"/>
      <c r="CFT59" s="41"/>
      <c r="CFU59" s="41"/>
      <c r="CFV59" s="41"/>
      <c r="CFW59" s="76"/>
      <c r="CFX59" s="41"/>
      <c r="CFY59" s="41"/>
      <c r="CFZ59" s="41"/>
      <c r="CGA59" s="41"/>
      <c r="CGB59" s="41"/>
      <c r="CGC59" s="139"/>
      <c r="CGD59" s="41"/>
      <c r="CGE59" s="41"/>
      <c r="CGF59" s="41"/>
      <c r="CGG59" s="41"/>
      <c r="CGH59" s="41"/>
      <c r="CGI59" s="76"/>
      <c r="CGJ59" s="41"/>
      <c r="CGK59" s="41"/>
      <c r="CGL59" s="41"/>
      <c r="CGM59" s="41"/>
      <c r="CGN59" s="41"/>
      <c r="CGO59" s="42"/>
      <c r="CGP59" s="40"/>
      <c r="CGQ59" s="66"/>
      <c r="CGR59" s="66"/>
      <c r="CGS59" s="66"/>
      <c r="CGT59" s="41"/>
      <c r="CGU59" s="134"/>
      <c r="CGV59" s="41"/>
      <c r="CGW59" s="41"/>
      <c r="CGX59" s="41"/>
      <c r="CGY59" s="41"/>
      <c r="CGZ59" s="41"/>
      <c r="CHA59" s="139"/>
      <c r="CHB59" s="41"/>
      <c r="CHC59" s="41"/>
      <c r="CHD59" s="41"/>
      <c r="CHE59" s="41"/>
      <c r="CHF59" s="41"/>
      <c r="CHG59" s="76"/>
      <c r="CHH59" s="41"/>
      <c r="CHI59" s="41"/>
      <c r="CHJ59" s="41"/>
      <c r="CHK59" s="41"/>
      <c r="CHL59" s="41"/>
      <c r="CHM59" s="139"/>
      <c r="CHN59" s="41"/>
      <c r="CHO59" s="41"/>
      <c r="CHP59" s="41"/>
      <c r="CHQ59" s="41"/>
      <c r="CHR59" s="41"/>
      <c r="CHS59" s="76"/>
      <c r="CHT59" s="66"/>
      <c r="CHU59" s="66"/>
      <c r="CHV59" s="66"/>
      <c r="CHW59" s="66"/>
      <c r="CHX59" s="41"/>
      <c r="CHY59" s="139"/>
      <c r="CHZ59" s="41"/>
      <c r="CIA59" s="41"/>
      <c r="CIB59" s="41"/>
      <c r="CIC59" s="41"/>
      <c r="CID59" s="41"/>
      <c r="CIE59" s="76"/>
      <c r="CIF59" s="41"/>
      <c r="CIG59" s="41"/>
      <c r="CIH59" s="41"/>
      <c r="CII59" s="41"/>
      <c r="CIJ59" s="41"/>
      <c r="CIK59" s="139"/>
      <c r="CIL59" s="41"/>
      <c r="CIM59" s="41"/>
      <c r="CIN59" s="41"/>
      <c r="CIO59" s="41"/>
      <c r="CIP59" s="41"/>
      <c r="CIQ59" s="76"/>
      <c r="CIR59" s="41"/>
      <c r="CIS59" s="41"/>
      <c r="CIT59" s="41"/>
      <c r="CIU59" s="41"/>
      <c r="CIV59" s="41"/>
      <c r="CIW59" s="42"/>
      <c r="CIX59" s="40"/>
      <c r="CIY59" s="66"/>
      <c r="CIZ59" s="66"/>
      <c r="CJA59" s="66"/>
      <c r="CJB59" s="41"/>
      <c r="CJC59" s="134"/>
      <c r="CJD59" s="41"/>
      <c r="CJE59" s="41"/>
      <c r="CJF59" s="41"/>
      <c r="CJG59" s="41"/>
      <c r="CJH59" s="41"/>
      <c r="CJI59" s="139"/>
      <c r="CJJ59" s="41"/>
      <c r="CJK59" s="41"/>
      <c r="CJL59" s="41"/>
      <c r="CJM59" s="41"/>
      <c r="CJN59" s="41"/>
      <c r="CJO59" s="76"/>
      <c r="CJP59" s="41"/>
      <c r="CJQ59" s="41"/>
      <c r="CJR59" s="41"/>
      <c r="CJS59" s="41"/>
      <c r="CJT59" s="41"/>
      <c r="CJU59" s="139"/>
      <c r="CJV59" s="41"/>
      <c r="CJW59" s="41"/>
      <c r="CJX59" s="41"/>
      <c r="CJY59" s="41"/>
      <c r="CJZ59" s="41"/>
      <c r="CKA59" s="76"/>
      <c r="CKB59" s="66"/>
      <c r="CKC59" s="66"/>
      <c r="CKD59" s="66"/>
      <c r="CKE59" s="66"/>
      <c r="CKF59" s="41"/>
      <c r="CKG59" s="139"/>
      <c r="CKH59" s="41"/>
      <c r="CKI59" s="41"/>
      <c r="CKJ59" s="41"/>
      <c r="CKK59" s="41"/>
      <c r="CKL59" s="41"/>
      <c r="CKM59" s="76"/>
      <c r="CKN59" s="41"/>
      <c r="CKO59" s="41"/>
      <c r="CKP59" s="41"/>
      <c r="CKQ59" s="41"/>
      <c r="CKR59" s="41"/>
      <c r="CKS59" s="139"/>
      <c r="CKT59" s="41"/>
      <c r="CKU59" s="41"/>
      <c r="CKV59" s="41"/>
      <c r="CKW59" s="41"/>
      <c r="CKX59" s="41"/>
      <c r="CKY59" s="76"/>
      <c r="CKZ59" s="41"/>
      <c r="CLA59" s="41"/>
      <c r="CLB59" s="41"/>
      <c r="CLC59" s="41"/>
      <c r="CLD59" s="41"/>
      <c r="CLE59" s="42"/>
      <c r="CLF59" s="40"/>
      <c r="CLG59" s="66"/>
      <c r="CLH59" s="66"/>
      <c r="CLI59" s="66"/>
      <c r="CLJ59" s="41"/>
      <c r="CLK59" s="134"/>
      <c r="CLL59" s="41"/>
      <c r="CLM59" s="41"/>
      <c r="CLN59" s="41"/>
      <c r="CLO59" s="41"/>
      <c r="CLP59" s="41"/>
      <c r="CLQ59" s="139"/>
      <c r="CLR59" s="41"/>
      <c r="CLS59" s="41"/>
      <c r="CLT59" s="41"/>
      <c r="CLU59" s="41"/>
      <c r="CLV59" s="41"/>
      <c r="CLW59" s="76"/>
      <c r="CLX59" s="41"/>
      <c r="CLY59" s="41"/>
      <c r="CLZ59" s="41"/>
      <c r="CMA59" s="41"/>
      <c r="CMB59" s="41"/>
      <c r="CMC59" s="139"/>
      <c r="CMD59" s="41"/>
      <c r="CME59" s="41"/>
      <c r="CMF59" s="41"/>
      <c r="CMG59" s="41"/>
      <c r="CMH59" s="41"/>
      <c r="CMI59" s="76"/>
      <c r="CMJ59" s="66"/>
      <c r="CMK59" s="66"/>
      <c r="CML59" s="66"/>
      <c r="CMM59" s="66"/>
      <c r="CMN59" s="41"/>
      <c r="CMO59" s="139"/>
      <c r="CMP59" s="41"/>
      <c r="CMQ59" s="41"/>
      <c r="CMR59" s="41"/>
      <c r="CMS59" s="41"/>
      <c r="CMT59" s="41"/>
      <c r="CMU59" s="76"/>
      <c r="CMV59" s="41"/>
      <c r="CMW59" s="41"/>
      <c r="CMX59" s="41"/>
      <c r="CMY59" s="41"/>
      <c r="CMZ59" s="41"/>
      <c r="CNA59" s="139"/>
      <c r="CNB59" s="41"/>
      <c r="CNC59" s="41"/>
      <c r="CND59" s="41"/>
      <c r="CNE59" s="41"/>
      <c r="CNF59" s="41"/>
      <c r="CNG59" s="76"/>
      <c r="CNH59" s="41"/>
      <c r="CNI59" s="41"/>
      <c r="CNJ59" s="41"/>
      <c r="CNK59" s="41"/>
      <c r="CNL59" s="41"/>
      <c r="CNM59" s="42"/>
      <c r="CNN59" s="176"/>
      <c r="CNO59" s="175"/>
      <c r="CNP59" s="175"/>
      <c r="CNQ59" s="175"/>
      <c r="CNR59" s="171"/>
      <c r="CNS59" s="177"/>
      <c r="CNT59" s="171"/>
      <c r="CNU59" s="171"/>
      <c r="CNV59" s="171"/>
      <c r="CNW59" s="171"/>
      <c r="CNX59" s="171"/>
      <c r="CNY59" s="172"/>
      <c r="CNZ59" s="171"/>
      <c r="COA59" s="171"/>
      <c r="COB59" s="171"/>
      <c r="COC59" s="171"/>
      <c r="COD59" s="171"/>
      <c r="COE59" s="173"/>
      <c r="COF59" s="171"/>
      <c r="COG59" s="171"/>
      <c r="COH59" s="171"/>
      <c r="COI59" s="171"/>
      <c r="COJ59" s="171"/>
      <c r="COK59" s="172"/>
      <c r="COL59" s="171"/>
      <c r="COM59" s="171"/>
      <c r="CON59" s="171"/>
      <c r="COO59" s="171"/>
      <c r="COP59" s="171"/>
      <c r="COQ59" s="173"/>
      <c r="COR59" s="175"/>
      <c r="COS59" s="175"/>
      <c r="COT59" s="175"/>
      <c r="COU59" s="175"/>
      <c r="COV59" s="171"/>
      <c r="COW59" s="172"/>
      <c r="COX59" s="171"/>
      <c r="COY59" s="171"/>
      <c r="COZ59" s="171"/>
      <c r="CPA59" s="171"/>
      <c r="CPB59" s="171"/>
      <c r="CPC59" s="173"/>
      <c r="CPD59" s="171"/>
      <c r="CPE59" s="171"/>
      <c r="CPF59" s="171"/>
      <c r="CPG59" s="41"/>
      <c r="CPH59" s="41"/>
      <c r="CPI59" s="139"/>
      <c r="CPJ59" s="41"/>
      <c r="CPK59" s="41"/>
      <c r="CPL59" s="41"/>
      <c r="CPM59" s="41"/>
      <c r="CPN59" s="41"/>
      <c r="CPO59" s="76"/>
      <c r="CPP59" s="41"/>
      <c r="CPQ59" s="41"/>
      <c r="CPR59" s="41"/>
      <c r="CPS59" s="41"/>
      <c r="CPT59" s="41"/>
      <c r="CPU59" s="42"/>
      <c r="CPV59" s="176"/>
      <c r="CPW59" s="175"/>
      <c r="CPX59" s="175"/>
      <c r="CPY59" s="175"/>
      <c r="CPZ59" s="171"/>
      <c r="CQA59" s="177"/>
      <c r="CQB59" s="171"/>
      <c r="CQC59" s="171"/>
      <c r="CQD59" s="171"/>
      <c r="CQE59" s="171"/>
      <c r="CQF59" s="171"/>
      <c r="CQG59" s="172"/>
      <c r="CQH59" s="171"/>
      <c r="CQI59" s="171"/>
      <c r="CQJ59" s="171"/>
      <c r="CQK59" s="171"/>
      <c r="CQL59" s="171"/>
      <c r="CQM59" s="173"/>
      <c r="CQN59" s="171"/>
      <c r="CQO59" s="171"/>
      <c r="CQP59" s="171"/>
      <c r="CQQ59" s="171"/>
      <c r="CQR59" s="171"/>
      <c r="CQS59" s="172"/>
      <c r="CQT59" s="171"/>
      <c r="CQU59" s="171"/>
      <c r="CQV59" s="171"/>
      <c r="CQW59" s="171"/>
      <c r="CQX59" s="171"/>
      <c r="CQY59" s="173"/>
      <c r="CQZ59" s="175"/>
      <c r="CRA59" s="175"/>
      <c r="CRB59" s="175"/>
      <c r="CRC59" s="175"/>
      <c r="CRD59" s="171"/>
      <c r="CRE59" s="172"/>
      <c r="CRF59" s="41"/>
      <c r="CRG59" s="41"/>
      <c r="CRH59" s="41"/>
      <c r="CRI59" s="41"/>
      <c r="CRJ59" s="41"/>
      <c r="CRK59" s="76"/>
      <c r="CRL59" s="41"/>
      <c r="CRM59" s="41"/>
      <c r="CRN59" s="41"/>
      <c r="CRO59" s="41"/>
      <c r="CRP59" s="41"/>
      <c r="CRQ59" s="139"/>
      <c r="CRR59" s="41"/>
      <c r="CRS59" s="41"/>
      <c r="CRT59" s="41"/>
      <c r="CRU59" s="41"/>
      <c r="CRV59" s="41"/>
      <c r="CRW59" s="76"/>
      <c r="CRX59" s="41"/>
      <c r="CRY59" s="41"/>
      <c r="CRZ59" s="41"/>
      <c r="CSA59" s="41"/>
      <c r="CSB59" s="41"/>
      <c r="CSC59" s="42"/>
      <c r="CSD59" s="90"/>
    </row>
    <row r="60" spans="1:2526" ht="20.100000000000001" customHeight="1" x14ac:dyDescent="0.3">
      <c r="A60" s="100" t="s">
        <v>19</v>
      </c>
      <c r="B60" s="63"/>
      <c r="C60" s="218"/>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28"/>
      <c r="BLW60" s="67"/>
      <c r="BLX60" s="67"/>
      <c r="BLY60" s="67"/>
      <c r="BLZ60" s="29"/>
      <c r="BMA60" s="131"/>
      <c r="BMB60" s="29"/>
      <c r="BMC60" s="29"/>
      <c r="BMD60" s="29"/>
      <c r="BME60" s="29"/>
      <c r="BMF60" s="29"/>
      <c r="BMG60" s="136"/>
      <c r="BMH60" s="29"/>
      <c r="BMI60" s="29"/>
      <c r="BMJ60" s="29"/>
      <c r="BMK60" s="29"/>
      <c r="BML60" s="29"/>
      <c r="BMM60" s="73"/>
      <c r="BMN60" s="29"/>
      <c r="BMO60" s="29"/>
      <c r="BMP60" s="29"/>
      <c r="BMQ60" s="29"/>
      <c r="BMR60" s="29"/>
      <c r="BMS60" s="136"/>
      <c r="BMT60" s="29"/>
      <c r="BMU60" s="29"/>
      <c r="BMV60" s="29"/>
      <c r="BMW60" s="29"/>
      <c r="BMX60" s="29"/>
      <c r="BMY60" s="73"/>
      <c r="BMZ60" s="67"/>
      <c r="BNA60" s="67"/>
      <c r="BNB60" s="67"/>
      <c r="BNC60" s="67"/>
      <c r="BND60" s="29"/>
      <c r="BNE60" s="136"/>
      <c r="BNF60" s="29"/>
      <c r="BNG60" s="29"/>
      <c r="BNH60" s="29"/>
      <c r="BNI60" s="29"/>
      <c r="BNJ60" s="29"/>
      <c r="BNK60" s="73"/>
      <c r="BNL60" s="29"/>
      <c r="BNM60" s="29"/>
      <c r="BNN60" s="29"/>
      <c r="BNO60" s="29"/>
      <c r="BNP60" s="29"/>
      <c r="BNQ60" s="136"/>
      <c r="BNR60" s="29"/>
      <c r="BNS60" s="29"/>
      <c r="BNT60" s="29"/>
      <c r="BNU60" s="29"/>
      <c r="BNV60" s="29"/>
      <c r="BNW60" s="73"/>
      <c r="BNX60" s="29"/>
      <c r="BNY60" s="29"/>
      <c r="BNZ60" s="29"/>
      <c r="BOA60" s="29"/>
      <c r="BOB60" s="29"/>
      <c r="BOC60" s="30"/>
      <c r="BOD60" s="28"/>
      <c r="BOE60" s="67"/>
      <c r="BOF60" s="67"/>
      <c r="BOG60" s="67"/>
      <c r="BOH60" s="29"/>
      <c r="BOI60" s="131"/>
      <c r="BOJ60" s="29"/>
      <c r="BOK60" s="29"/>
      <c r="BOL60" s="29"/>
      <c r="BOM60" s="29"/>
      <c r="BON60" s="29"/>
      <c r="BOO60" s="136"/>
      <c r="BOP60" s="29"/>
      <c r="BOQ60" s="29"/>
      <c r="BOR60" s="29"/>
      <c r="BOS60" s="29"/>
      <c r="BOT60" s="29"/>
      <c r="BOU60" s="73"/>
      <c r="BOV60" s="29"/>
      <c r="BOW60" s="29"/>
      <c r="BOX60" s="29"/>
      <c r="BOY60" s="29"/>
      <c r="BOZ60" s="29"/>
      <c r="BPA60" s="136"/>
      <c r="BPB60" s="29"/>
      <c r="BPC60" s="29"/>
      <c r="BPD60" s="29"/>
      <c r="BPE60" s="29"/>
      <c r="BPF60" s="29"/>
      <c r="BPG60" s="73"/>
      <c r="BPH60" s="67"/>
      <c r="BPI60" s="67"/>
      <c r="BPJ60" s="67"/>
      <c r="BPK60" s="67"/>
      <c r="BPL60" s="29"/>
      <c r="BPM60" s="136"/>
      <c r="BPN60" s="29"/>
      <c r="BPO60" s="29"/>
      <c r="BPP60" s="29"/>
      <c r="BPQ60" s="29"/>
      <c r="BPR60" s="29"/>
      <c r="BPS60" s="73"/>
      <c r="BPT60" s="29"/>
      <c r="BPU60" s="29"/>
      <c r="BPV60" s="29"/>
      <c r="BPW60" s="29"/>
      <c r="BPX60" s="29"/>
      <c r="BPY60" s="136"/>
      <c r="BPZ60" s="29"/>
      <c r="BQA60" s="29"/>
      <c r="BQB60" s="29"/>
      <c r="BQC60" s="29"/>
      <c r="BQD60" s="29"/>
      <c r="BQE60" s="73"/>
      <c r="BQF60" s="29"/>
      <c r="BQG60" s="29"/>
      <c r="BQH60" s="29"/>
      <c r="BQI60" s="29"/>
      <c r="BQJ60" s="29"/>
      <c r="BQK60" s="30"/>
      <c r="BQL60" s="28"/>
      <c r="BQM60" s="67"/>
      <c r="BQN60" s="67"/>
      <c r="BQO60" s="67"/>
      <c r="BQP60" s="29"/>
      <c r="BQQ60" s="131"/>
      <c r="BQR60" s="29"/>
      <c r="BQS60" s="29"/>
      <c r="BQT60" s="29"/>
      <c r="BQU60" s="29"/>
      <c r="BQV60" s="29"/>
      <c r="BQW60" s="136"/>
      <c r="BQX60" s="29"/>
      <c r="BQY60" s="29"/>
      <c r="BQZ60" s="29"/>
      <c r="BRA60" s="29"/>
      <c r="BRB60" s="29"/>
      <c r="BRC60" s="73"/>
      <c r="BRD60" s="29"/>
      <c r="BRE60" s="29"/>
      <c r="BRF60" s="29"/>
      <c r="BRG60" s="29"/>
      <c r="BRH60" s="29"/>
      <c r="BRI60" s="136"/>
      <c r="BRJ60" s="29"/>
      <c r="BRK60" s="29"/>
      <c r="BRL60" s="29"/>
      <c r="BRM60" s="29"/>
      <c r="BRN60" s="29"/>
      <c r="BRO60" s="73"/>
      <c r="BRP60" s="67"/>
      <c r="BRQ60" s="67"/>
      <c r="BRR60" s="67"/>
      <c r="BRS60" s="67"/>
      <c r="BRT60" s="29"/>
      <c r="BRU60" s="136"/>
      <c r="BRV60" s="29"/>
      <c r="BRW60" s="29"/>
      <c r="BRX60" s="29"/>
      <c r="BRY60" s="29"/>
      <c r="BRZ60" s="29"/>
      <c r="BSA60" s="73"/>
      <c r="BSB60" s="29"/>
      <c r="BSC60" s="29"/>
      <c r="BSD60" s="29"/>
      <c r="BSE60" s="29"/>
      <c r="BSF60" s="29"/>
      <c r="BSG60" s="136"/>
      <c r="BSH60" s="29"/>
      <c r="BSI60" s="29"/>
      <c r="BSJ60" s="29"/>
      <c r="BSK60" s="29"/>
      <c r="BSL60" s="29"/>
      <c r="BSM60" s="73"/>
      <c r="BSN60" s="29"/>
      <c r="BSO60" s="29"/>
      <c r="BSP60" s="29"/>
      <c r="BSQ60" s="29"/>
      <c r="BSR60" s="29"/>
      <c r="BSS60" s="30"/>
      <c r="BST60" s="28"/>
      <c r="BSU60" s="67"/>
      <c r="BSV60" s="67"/>
      <c r="BSW60" s="67"/>
      <c r="BSX60" s="29"/>
      <c r="BSY60" s="131"/>
      <c r="BSZ60" s="29"/>
      <c r="BTA60" s="29"/>
      <c r="BTB60" s="29"/>
      <c r="BTC60" s="29"/>
      <c r="BTD60" s="29"/>
      <c r="BTE60" s="136"/>
      <c r="BTF60" s="29"/>
      <c r="BTG60" s="29"/>
      <c r="BTH60" s="29"/>
      <c r="BTI60" s="29"/>
      <c r="BTJ60" s="29"/>
      <c r="BTK60" s="73"/>
      <c r="BTL60" s="29"/>
      <c r="BTM60" s="29"/>
      <c r="BTN60" s="29"/>
      <c r="BTO60" s="29"/>
      <c r="BTP60" s="29"/>
      <c r="BTQ60" s="136"/>
      <c r="BTR60" s="29"/>
      <c r="BTS60" s="29"/>
      <c r="BTT60" s="29"/>
      <c r="BTU60" s="29"/>
      <c r="BTV60" s="29"/>
      <c r="BTW60" s="73"/>
      <c r="BTX60" s="67"/>
      <c r="BTY60" s="67"/>
      <c r="BTZ60" s="67"/>
      <c r="BUA60" s="67"/>
      <c r="BUB60" s="29"/>
      <c r="BUC60" s="136"/>
      <c r="BUD60" s="29"/>
      <c r="BUE60" s="29"/>
      <c r="BUF60" s="29"/>
      <c r="BUG60" s="29"/>
      <c r="BUH60" s="29"/>
      <c r="BUI60" s="73"/>
      <c r="BUJ60" s="29"/>
      <c r="BUK60" s="29"/>
      <c r="BUL60" s="29"/>
      <c r="BUM60" s="29"/>
      <c r="BUN60" s="29"/>
      <c r="BUO60" s="136"/>
      <c r="BUP60" s="29"/>
      <c r="BUQ60" s="29"/>
      <c r="BUR60" s="29"/>
      <c r="BUS60" s="29"/>
      <c r="BUT60" s="29"/>
      <c r="BUU60" s="73"/>
      <c r="BUV60" s="29"/>
      <c r="BUW60" s="29"/>
      <c r="BUX60" s="29"/>
      <c r="BUY60" s="29"/>
      <c r="BUZ60" s="29"/>
      <c r="BVA60" s="30"/>
      <c r="BVB60" s="28"/>
      <c r="BVC60" s="67"/>
      <c r="BVD60" s="67"/>
      <c r="BVE60" s="67"/>
      <c r="BVF60" s="29"/>
      <c r="BVG60" s="131"/>
      <c r="BVH60" s="29"/>
      <c r="BVI60" s="29"/>
      <c r="BVJ60" s="29"/>
      <c r="BVK60" s="29"/>
      <c r="BVL60" s="29"/>
      <c r="BVM60" s="136"/>
      <c r="BVN60" s="29"/>
      <c r="BVO60" s="29"/>
      <c r="BVP60" s="29"/>
      <c r="BVQ60" s="29"/>
      <c r="BVR60" s="29"/>
      <c r="BVS60" s="73"/>
      <c r="BVT60" s="29"/>
      <c r="BVU60" s="29"/>
      <c r="BVV60" s="29"/>
      <c r="BVW60" s="29"/>
      <c r="BVX60" s="29"/>
      <c r="BVY60" s="136"/>
      <c r="BVZ60" s="29"/>
      <c r="BWA60" s="29"/>
      <c r="BWB60" s="29"/>
      <c r="BWC60" s="29"/>
      <c r="BWD60" s="29"/>
      <c r="BWE60" s="73"/>
      <c r="BWF60" s="67"/>
      <c r="BWG60" s="67"/>
      <c r="BWH60" s="67"/>
      <c r="BWI60" s="67"/>
      <c r="BWJ60" s="29"/>
      <c r="BWK60" s="136"/>
      <c r="BWL60" s="29"/>
      <c r="BWM60" s="29"/>
      <c r="BWN60" s="29"/>
      <c r="BWO60" s="29"/>
      <c r="BWP60" s="29"/>
      <c r="BWQ60" s="73"/>
      <c r="BWR60" s="29"/>
      <c r="BWS60" s="29"/>
      <c r="BWT60" s="29"/>
      <c r="BWU60" s="29"/>
      <c r="BWV60" s="29"/>
      <c r="BWW60" s="136"/>
      <c r="BWX60" s="29"/>
      <c r="BWY60" s="29"/>
      <c r="BWZ60" s="29"/>
      <c r="BXA60" s="29"/>
      <c r="BXB60" s="29"/>
      <c r="BXC60" s="73"/>
      <c r="BXD60" s="29"/>
      <c r="BXE60" s="29"/>
      <c r="BXF60" s="29"/>
      <c r="BXG60" s="29"/>
      <c r="BXH60" s="29"/>
      <c r="BXI60" s="30"/>
      <c r="BXJ60" s="28"/>
      <c r="BXK60" s="67"/>
      <c r="BXL60" s="67"/>
      <c r="BXM60" s="67"/>
      <c r="BXN60" s="29"/>
      <c r="BXO60" s="131"/>
      <c r="BXP60" s="29"/>
      <c r="BXQ60" s="29"/>
      <c r="BXR60" s="29"/>
      <c r="BXS60" s="29"/>
      <c r="BXT60" s="29"/>
      <c r="BXU60" s="136"/>
      <c r="BXV60" s="29"/>
      <c r="BXW60" s="29"/>
      <c r="BXX60" s="29"/>
      <c r="BXY60" s="29"/>
      <c r="BXZ60" s="29"/>
      <c r="BYA60" s="73"/>
      <c r="BYB60" s="29"/>
      <c r="BYC60" s="29"/>
      <c r="BYD60" s="29"/>
      <c r="BYE60" s="29"/>
      <c r="BYF60" s="29"/>
      <c r="BYG60" s="136"/>
      <c r="BYH60" s="29"/>
      <c r="BYI60" s="29"/>
      <c r="BYJ60" s="29"/>
      <c r="BYK60" s="29"/>
      <c r="BYL60" s="29"/>
      <c r="BYM60" s="73"/>
      <c r="BYN60" s="67"/>
      <c r="BYO60" s="67"/>
      <c r="BYP60" s="67"/>
      <c r="BYQ60" s="67"/>
      <c r="BYR60" s="29"/>
      <c r="BYS60" s="136"/>
      <c r="BYT60" s="29"/>
      <c r="BYU60" s="29"/>
      <c r="BYV60" s="29"/>
      <c r="BYW60" s="29"/>
      <c r="BYX60" s="29"/>
      <c r="BYY60" s="73"/>
      <c r="BYZ60" s="29"/>
      <c r="BZA60" s="29"/>
      <c r="BZB60" s="29"/>
      <c r="BZC60" s="29"/>
      <c r="BZD60" s="29"/>
      <c r="BZE60" s="136"/>
      <c r="BZF60" s="29"/>
      <c r="BZG60" s="29"/>
      <c r="BZH60" s="29"/>
      <c r="BZI60" s="29"/>
      <c r="BZJ60" s="29"/>
      <c r="BZK60" s="73"/>
      <c r="BZL60" s="29"/>
      <c r="BZM60" s="29"/>
      <c r="BZN60" s="29"/>
      <c r="BZO60" s="29"/>
      <c r="BZP60" s="29"/>
      <c r="BZQ60" s="30"/>
      <c r="BZR60" s="28"/>
      <c r="BZS60" s="67"/>
      <c r="BZT60" s="67"/>
      <c r="BZU60" s="67"/>
      <c r="BZV60" s="29"/>
      <c r="BZW60" s="131"/>
      <c r="BZX60" s="29"/>
      <c r="BZY60" s="29"/>
      <c r="BZZ60" s="29"/>
      <c r="CAA60" s="29"/>
      <c r="CAB60" s="29"/>
      <c r="CAC60" s="136"/>
      <c r="CAD60" s="29"/>
      <c r="CAE60" s="29"/>
      <c r="CAF60" s="29"/>
      <c r="CAG60" s="29"/>
      <c r="CAH60" s="29"/>
      <c r="CAI60" s="73"/>
      <c r="CAJ60" s="29"/>
      <c r="CAK60" s="29"/>
      <c r="CAL60" s="29"/>
      <c r="CAM60" s="29"/>
      <c r="CAN60" s="29"/>
      <c r="CAO60" s="136"/>
      <c r="CAP60" s="29"/>
      <c r="CAQ60" s="29"/>
      <c r="CAR60" s="29"/>
      <c r="CAS60" s="29"/>
      <c r="CAT60" s="29"/>
      <c r="CAU60" s="73"/>
      <c r="CAV60" s="67"/>
      <c r="CAW60" s="67"/>
      <c r="CAX60" s="67"/>
      <c r="CAY60" s="67"/>
      <c r="CAZ60" s="29"/>
      <c r="CBA60" s="136"/>
      <c r="CBB60" s="29"/>
      <c r="CBC60" s="29"/>
      <c r="CBD60" s="29"/>
      <c r="CBE60" s="29"/>
      <c r="CBF60" s="29"/>
      <c r="CBG60" s="73"/>
      <c r="CBH60" s="29"/>
      <c r="CBI60" s="29"/>
      <c r="CBJ60" s="29"/>
      <c r="CBK60" s="29"/>
      <c r="CBL60" s="29"/>
      <c r="CBM60" s="136"/>
      <c r="CBN60" s="29"/>
      <c r="CBO60" s="29"/>
      <c r="CBP60" s="29"/>
      <c r="CBQ60" s="29"/>
      <c r="CBR60" s="29"/>
      <c r="CBS60" s="73"/>
      <c r="CBT60" s="29"/>
      <c r="CBU60" s="29"/>
      <c r="CBV60" s="29"/>
      <c r="CBW60" s="29"/>
      <c r="CBX60" s="29"/>
      <c r="CBY60" s="30"/>
      <c r="CBZ60" s="28"/>
      <c r="CCA60" s="67"/>
      <c r="CCB60" s="67"/>
      <c r="CCC60" s="67"/>
      <c r="CCD60" s="29"/>
      <c r="CCE60" s="131"/>
      <c r="CCF60" s="29"/>
      <c r="CCG60" s="29"/>
      <c r="CCH60" s="29"/>
      <c r="CCI60" s="29"/>
      <c r="CCJ60" s="29"/>
      <c r="CCK60" s="136"/>
      <c r="CCL60" s="29"/>
      <c r="CCM60" s="29"/>
      <c r="CCN60" s="29"/>
      <c r="CCO60" s="29"/>
      <c r="CCP60" s="29"/>
      <c r="CCQ60" s="73"/>
      <c r="CCR60" s="29"/>
      <c r="CCS60" s="29"/>
      <c r="CCT60" s="29"/>
      <c r="CCU60" s="29"/>
      <c r="CCV60" s="29"/>
      <c r="CCW60" s="136"/>
      <c r="CCX60" s="29"/>
      <c r="CCY60" s="29"/>
      <c r="CCZ60" s="29"/>
      <c r="CDA60" s="29"/>
      <c r="CDB60" s="29"/>
      <c r="CDC60" s="73"/>
      <c r="CDD60" s="67"/>
      <c r="CDE60" s="67"/>
      <c r="CDF60" s="67"/>
      <c r="CDG60" s="67"/>
      <c r="CDH60" s="29"/>
      <c r="CDI60" s="136"/>
      <c r="CDJ60" s="29"/>
      <c r="CDK60" s="29"/>
      <c r="CDL60" s="29"/>
      <c r="CDM60" s="29"/>
      <c r="CDN60" s="29"/>
      <c r="CDO60" s="73"/>
      <c r="CDP60" s="29"/>
      <c r="CDQ60" s="29"/>
      <c r="CDR60" s="29"/>
      <c r="CDS60" s="29"/>
      <c r="CDT60" s="29"/>
      <c r="CDU60" s="136"/>
      <c r="CDV60" s="29"/>
      <c r="CDW60" s="29"/>
      <c r="CDX60" s="29"/>
      <c r="CDY60" s="29"/>
      <c r="CDZ60" s="29"/>
      <c r="CEA60" s="73"/>
      <c r="CEB60" s="29"/>
      <c r="CEC60" s="29"/>
      <c r="CED60" s="29"/>
      <c r="CEE60" s="29"/>
      <c r="CEF60" s="29"/>
      <c r="CEG60" s="30"/>
      <c r="CEH60" s="28"/>
      <c r="CEI60" s="67"/>
      <c r="CEJ60" s="67"/>
      <c r="CEK60" s="67"/>
      <c r="CEL60" s="29"/>
      <c r="CEM60" s="131"/>
      <c r="CEN60" s="29"/>
      <c r="CEO60" s="29"/>
      <c r="CEP60" s="29"/>
      <c r="CEQ60" s="29"/>
      <c r="CER60" s="29"/>
      <c r="CES60" s="136"/>
      <c r="CET60" s="29"/>
      <c r="CEU60" s="29"/>
      <c r="CEV60" s="29"/>
      <c r="CEW60" s="29"/>
      <c r="CEX60" s="29"/>
      <c r="CEY60" s="73"/>
      <c r="CEZ60" s="29"/>
      <c r="CFA60" s="29"/>
      <c r="CFB60" s="29"/>
      <c r="CFC60" s="29"/>
      <c r="CFD60" s="29"/>
      <c r="CFE60" s="136"/>
      <c r="CFF60" s="29"/>
      <c r="CFG60" s="29"/>
      <c r="CFH60" s="29"/>
      <c r="CFI60" s="29"/>
      <c r="CFJ60" s="29"/>
      <c r="CFK60" s="73"/>
      <c r="CFL60" s="67"/>
      <c r="CFM60" s="67"/>
      <c r="CFN60" s="67"/>
      <c r="CFO60" s="67"/>
      <c r="CFP60" s="29"/>
      <c r="CFQ60" s="136"/>
      <c r="CFR60" s="29"/>
      <c r="CFS60" s="29"/>
      <c r="CFT60" s="29"/>
      <c r="CFU60" s="29"/>
      <c r="CFV60" s="29"/>
      <c r="CFW60" s="73"/>
      <c r="CFX60" s="29"/>
      <c r="CFY60" s="29"/>
      <c r="CFZ60" s="29"/>
      <c r="CGA60" s="29"/>
      <c r="CGB60" s="29"/>
      <c r="CGC60" s="136"/>
      <c r="CGD60" s="29"/>
      <c r="CGE60" s="29"/>
      <c r="CGF60" s="29"/>
      <c r="CGG60" s="29"/>
      <c r="CGH60" s="29"/>
      <c r="CGI60" s="73"/>
      <c r="CGJ60" s="29"/>
      <c r="CGK60" s="29"/>
      <c r="CGL60" s="29"/>
      <c r="CGM60" s="29"/>
      <c r="CGN60" s="29"/>
      <c r="CGO60" s="30"/>
      <c r="CGP60" s="28"/>
      <c r="CGQ60" s="67"/>
      <c r="CGR60" s="67"/>
      <c r="CGS60" s="67"/>
      <c r="CGT60" s="29"/>
      <c r="CGU60" s="131"/>
      <c r="CGV60" s="29"/>
      <c r="CGW60" s="29"/>
      <c r="CGX60" s="29"/>
      <c r="CGY60" s="29"/>
      <c r="CGZ60" s="29"/>
      <c r="CHA60" s="136"/>
      <c r="CHB60" s="29"/>
      <c r="CHC60" s="29"/>
      <c r="CHD60" s="29"/>
      <c r="CHE60" s="29"/>
      <c r="CHF60" s="29"/>
      <c r="CHG60" s="73"/>
      <c r="CHH60" s="29"/>
      <c r="CHI60" s="29"/>
      <c r="CHJ60" s="29"/>
      <c r="CHK60" s="29"/>
      <c r="CHL60" s="29"/>
      <c r="CHM60" s="136"/>
      <c r="CHN60" s="29"/>
      <c r="CHO60" s="29"/>
      <c r="CHP60" s="29"/>
      <c r="CHQ60" s="29"/>
      <c r="CHR60" s="29"/>
      <c r="CHS60" s="73"/>
      <c r="CHT60" s="67"/>
      <c r="CHU60" s="67"/>
      <c r="CHV60" s="67"/>
      <c r="CHW60" s="67"/>
      <c r="CHX60" s="29"/>
      <c r="CHY60" s="136"/>
      <c r="CHZ60" s="29"/>
      <c r="CIA60" s="29"/>
      <c r="CIB60" s="29"/>
      <c r="CIC60" s="29"/>
      <c r="CID60" s="29"/>
      <c r="CIE60" s="73"/>
      <c r="CIF60" s="29"/>
      <c r="CIG60" s="29"/>
      <c r="CIH60" s="29"/>
      <c r="CII60" s="29"/>
      <c r="CIJ60" s="29"/>
      <c r="CIK60" s="136"/>
      <c r="CIL60" s="29"/>
      <c r="CIM60" s="29"/>
      <c r="CIN60" s="29"/>
      <c r="CIO60" s="29"/>
      <c r="CIP60" s="29"/>
      <c r="CIQ60" s="73"/>
      <c r="CIR60" s="29"/>
      <c r="CIS60" s="29"/>
      <c r="CIT60" s="29"/>
      <c r="CIU60" s="29"/>
      <c r="CIV60" s="29"/>
      <c r="CIW60" s="30"/>
      <c r="CIX60" s="28"/>
      <c r="CIY60" s="67"/>
      <c r="CIZ60" s="67"/>
      <c r="CJA60" s="67"/>
      <c r="CJB60" s="29"/>
      <c r="CJC60" s="131"/>
      <c r="CJD60" s="29"/>
      <c r="CJE60" s="29"/>
      <c r="CJF60" s="29"/>
      <c r="CJG60" s="29"/>
      <c r="CJH60" s="29"/>
      <c r="CJI60" s="136"/>
      <c r="CJJ60" s="29"/>
      <c r="CJK60" s="29"/>
      <c r="CJL60" s="29"/>
      <c r="CJM60" s="29"/>
      <c r="CJN60" s="29"/>
      <c r="CJO60" s="73"/>
      <c r="CJP60" s="29"/>
      <c r="CJQ60" s="29"/>
      <c r="CJR60" s="29"/>
      <c r="CJS60" s="29"/>
      <c r="CJT60" s="29"/>
      <c r="CJU60" s="136"/>
      <c r="CJV60" s="29"/>
      <c r="CJW60" s="29"/>
      <c r="CJX60" s="29"/>
      <c r="CJY60" s="29"/>
      <c r="CJZ60" s="29"/>
      <c r="CKA60" s="73"/>
      <c r="CKB60" s="67"/>
      <c r="CKC60" s="67"/>
      <c r="CKD60" s="67"/>
      <c r="CKE60" s="67"/>
      <c r="CKF60" s="29"/>
      <c r="CKG60" s="136"/>
      <c r="CKH60" s="29"/>
      <c r="CKI60" s="29"/>
      <c r="CKJ60" s="29"/>
      <c r="CKK60" s="29"/>
      <c r="CKL60" s="29"/>
      <c r="CKM60" s="73"/>
      <c r="CKN60" s="29"/>
      <c r="CKO60" s="29"/>
      <c r="CKP60" s="29"/>
      <c r="CKQ60" s="29"/>
      <c r="CKR60" s="29"/>
      <c r="CKS60" s="136"/>
      <c r="CKT60" s="29"/>
      <c r="CKU60" s="29"/>
      <c r="CKV60" s="29"/>
      <c r="CKW60" s="29"/>
      <c r="CKX60" s="29"/>
      <c r="CKY60" s="73"/>
      <c r="CKZ60" s="29"/>
      <c r="CLA60" s="29"/>
      <c r="CLB60" s="29"/>
      <c r="CLC60" s="29"/>
      <c r="CLD60" s="29"/>
      <c r="CLE60" s="30"/>
      <c r="CLF60" s="28"/>
      <c r="CLG60" s="67"/>
      <c r="CLH60" s="67"/>
      <c r="CLI60" s="67"/>
      <c r="CLJ60" s="29"/>
      <c r="CLK60" s="131"/>
      <c r="CLL60" s="29"/>
      <c r="CLM60" s="29"/>
      <c r="CLN60" s="29"/>
      <c r="CLO60" s="29"/>
      <c r="CLP60" s="29"/>
      <c r="CLQ60" s="136"/>
      <c r="CLR60" s="29"/>
      <c r="CLS60" s="29"/>
      <c r="CLT60" s="29"/>
      <c r="CLU60" s="29"/>
      <c r="CLV60" s="29"/>
      <c r="CLW60" s="73"/>
      <c r="CLX60" s="29"/>
      <c r="CLY60" s="29"/>
      <c r="CLZ60" s="29"/>
      <c r="CMA60" s="29"/>
      <c r="CMB60" s="29"/>
      <c r="CMC60" s="136"/>
      <c r="CMD60" s="29"/>
      <c r="CME60" s="29"/>
      <c r="CMF60" s="29"/>
      <c r="CMG60" s="29"/>
      <c r="CMH60" s="29"/>
      <c r="CMI60" s="73"/>
      <c r="CMJ60" s="67"/>
      <c r="CMK60" s="67"/>
      <c r="CML60" s="67"/>
      <c r="CMM60" s="67"/>
      <c r="CMN60" s="29"/>
      <c r="CMO60" s="136"/>
      <c r="CMP60" s="29"/>
      <c r="CMQ60" s="29"/>
      <c r="CMR60" s="29"/>
      <c r="CMS60" s="29"/>
      <c r="CMT60" s="29"/>
      <c r="CMU60" s="73"/>
      <c r="CMV60" s="29"/>
      <c r="CMW60" s="29"/>
      <c r="CMX60" s="29"/>
      <c r="CMY60" s="29"/>
      <c r="CMZ60" s="29"/>
      <c r="CNA60" s="136"/>
      <c r="CNB60" s="29"/>
      <c r="CNC60" s="29"/>
      <c r="CND60" s="29"/>
      <c r="CNE60" s="29"/>
      <c r="CNF60" s="29"/>
      <c r="CNG60" s="73"/>
      <c r="CNH60" s="29"/>
      <c r="CNI60" s="29"/>
      <c r="CNJ60" s="29"/>
      <c r="CNK60" s="29"/>
      <c r="CNL60" s="29"/>
      <c r="CNM60" s="30"/>
      <c r="CNN60" s="28"/>
      <c r="CNO60" s="67"/>
      <c r="CNP60" s="67"/>
      <c r="CNQ60" s="67"/>
      <c r="CNR60" s="29"/>
      <c r="CNS60" s="131"/>
      <c r="CNT60" s="29"/>
      <c r="CNU60" s="29"/>
      <c r="CNV60" s="29"/>
      <c r="CNW60" s="29"/>
      <c r="CNX60" s="29"/>
      <c r="CNY60" s="136"/>
      <c r="CNZ60" s="29"/>
      <c r="COA60" s="29"/>
      <c r="COB60" s="29"/>
      <c r="COC60" s="29"/>
      <c r="COD60" s="29"/>
      <c r="COE60" s="73"/>
      <c r="COF60" s="29"/>
      <c r="COG60" s="29"/>
      <c r="COH60" s="29"/>
      <c r="COI60" s="29"/>
      <c r="COJ60" s="29"/>
      <c r="COK60" s="136"/>
      <c r="COL60" s="29"/>
      <c r="COM60" s="29"/>
      <c r="CON60" s="29"/>
      <c r="COO60" s="29"/>
      <c r="COP60" s="29"/>
      <c r="COQ60" s="73"/>
      <c r="COR60" s="67"/>
      <c r="COS60" s="67"/>
      <c r="COT60" s="67"/>
      <c r="COU60" s="67"/>
      <c r="COV60" s="29"/>
      <c r="COW60" s="136"/>
      <c r="COX60" s="29"/>
      <c r="COY60" s="29"/>
      <c r="COZ60" s="29"/>
      <c r="CPA60" s="29"/>
      <c r="CPB60" s="29"/>
      <c r="CPC60" s="73"/>
      <c r="CPD60" s="29"/>
      <c r="CPE60" s="29"/>
      <c r="CPF60" s="29"/>
      <c r="CPG60" s="29"/>
      <c r="CPH60" s="29"/>
      <c r="CPI60" s="136"/>
      <c r="CPJ60" s="29"/>
      <c r="CPK60" s="29"/>
      <c r="CPL60" s="29"/>
      <c r="CPM60" s="29"/>
      <c r="CPN60" s="29"/>
      <c r="CPO60" s="73"/>
      <c r="CPP60" s="29"/>
      <c r="CPQ60" s="29"/>
      <c r="CPR60" s="29"/>
      <c r="CPS60" s="29"/>
      <c r="CPT60" s="29"/>
      <c r="CPU60" s="30"/>
      <c r="CPV60" s="28"/>
      <c r="CPW60" s="67"/>
      <c r="CPX60" s="67"/>
      <c r="CPY60" s="67"/>
      <c r="CPZ60" s="29"/>
      <c r="CQA60" s="131"/>
      <c r="CQB60" s="29"/>
      <c r="CQC60" s="29"/>
      <c r="CQD60" s="29"/>
      <c r="CQE60" s="29"/>
      <c r="CQF60" s="29"/>
      <c r="CQG60" s="136"/>
      <c r="CQH60" s="29"/>
      <c r="CQI60" s="29"/>
      <c r="CQJ60" s="29"/>
      <c r="CQK60" s="29"/>
      <c r="CQL60" s="29"/>
      <c r="CQM60" s="73"/>
      <c r="CQN60" s="29"/>
      <c r="CQO60" s="29"/>
      <c r="CQP60" s="29"/>
      <c r="CQQ60" s="29"/>
      <c r="CQR60" s="29"/>
      <c r="CQS60" s="136"/>
      <c r="CQT60" s="29"/>
      <c r="CQU60" s="29"/>
      <c r="CQV60" s="29"/>
      <c r="CQW60" s="29"/>
      <c r="CQX60" s="29"/>
      <c r="CQY60" s="73"/>
      <c r="CQZ60" s="67"/>
      <c r="CRA60" s="67"/>
      <c r="CRB60" s="67"/>
      <c r="CRC60" s="67"/>
      <c r="CRD60" s="29"/>
      <c r="CRE60" s="136"/>
      <c r="CRF60" s="29"/>
      <c r="CRG60" s="29"/>
      <c r="CRH60" s="29"/>
      <c r="CRI60" s="29"/>
      <c r="CRJ60" s="29"/>
      <c r="CRK60" s="73"/>
      <c r="CRL60" s="29"/>
      <c r="CRM60" s="29"/>
      <c r="CRN60" s="29"/>
      <c r="CRO60" s="29"/>
      <c r="CRP60" s="29"/>
      <c r="CRQ60" s="136"/>
      <c r="CRR60" s="29"/>
      <c r="CRS60" s="29"/>
      <c r="CRT60" s="29"/>
      <c r="CRU60" s="29"/>
      <c r="CRV60" s="29"/>
      <c r="CRW60" s="73"/>
      <c r="CRX60" s="29"/>
      <c r="CRY60" s="29"/>
      <c r="CRZ60" s="29"/>
      <c r="CSA60" s="29"/>
      <c r="CSB60" s="29"/>
      <c r="CSC60" s="30"/>
      <c r="CSD60" s="90"/>
    </row>
    <row r="61" spans="1:2526" ht="20.100000000000001" customHeight="1" x14ac:dyDescent="0.25">
      <c r="A61" s="100" t="s">
        <v>18</v>
      </c>
      <c r="B61" s="63"/>
      <c r="C61" s="211" t="s">
        <v>167</v>
      </c>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32"/>
      <c r="BLW61" s="64"/>
      <c r="BLX61" s="64"/>
      <c r="BLY61" s="64"/>
      <c r="BLZ61" s="33"/>
      <c r="BMA61" s="132"/>
      <c r="BMB61" s="33"/>
      <c r="BMC61" s="33"/>
      <c r="BMD61" s="33"/>
      <c r="BME61" s="33"/>
      <c r="BMF61" s="33"/>
      <c r="BMG61" s="137"/>
      <c r="BMH61" s="33"/>
      <c r="BMI61" s="33"/>
      <c r="BMJ61" s="33"/>
      <c r="BMK61" s="33"/>
      <c r="BML61" s="33"/>
      <c r="BMM61" s="74"/>
      <c r="BMN61" s="33"/>
      <c r="BMO61" s="33"/>
      <c r="BMP61" s="33"/>
      <c r="BMQ61" s="33"/>
      <c r="BMR61" s="33"/>
      <c r="BMS61" s="137"/>
      <c r="BMT61" s="33"/>
      <c r="BMU61" s="33"/>
      <c r="BMV61" s="33"/>
      <c r="BMW61" s="33"/>
      <c r="BMX61" s="33"/>
      <c r="BMY61" s="74"/>
      <c r="BMZ61" s="64"/>
      <c r="BNA61" s="64"/>
      <c r="BNB61" s="64"/>
      <c r="BNC61" s="64"/>
      <c r="BND61" s="33"/>
      <c r="BNE61" s="137"/>
      <c r="BNF61" s="33"/>
      <c r="BNG61" s="33"/>
      <c r="BNH61" s="33"/>
      <c r="BNI61" s="33"/>
      <c r="BNJ61" s="33"/>
      <c r="BNK61" s="74"/>
      <c r="BNL61" s="33"/>
      <c r="BNM61" s="33"/>
      <c r="BNN61" s="33"/>
      <c r="BNO61" s="33"/>
      <c r="BNP61" s="33"/>
      <c r="BNQ61" s="137"/>
      <c r="BNR61" s="33"/>
      <c r="BNS61" s="33"/>
      <c r="BNT61" s="33"/>
      <c r="BNU61" s="33"/>
      <c r="BNV61" s="33"/>
      <c r="BNW61" s="74"/>
      <c r="BNX61" s="33"/>
      <c r="BNY61" s="33"/>
      <c r="BNZ61" s="33"/>
      <c r="BOA61" s="33"/>
      <c r="BOB61" s="33"/>
      <c r="BOC61" s="34"/>
      <c r="BOD61" s="32"/>
      <c r="BOE61" s="64"/>
      <c r="BOF61" s="64"/>
      <c r="BOG61" s="64"/>
      <c r="BOH61" s="33"/>
      <c r="BOI61" s="132"/>
      <c r="BOJ61" s="33"/>
      <c r="BOK61" s="33"/>
      <c r="BOL61" s="33"/>
      <c r="BOM61" s="33"/>
      <c r="BON61" s="33"/>
      <c r="BOO61" s="137"/>
      <c r="BOP61" s="33"/>
      <c r="BOQ61" s="33"/>
      <c r="BOR61" s="33"/>
      <c r="BOS61" s="33"/>
      <c r="BOT61" s="33"/>
      <c r="BOU61" s="74"/>
      <c r="BOV61" s="33"/>
      <c r="BOW61" s="33"/>
      <c r="BOX61" s="33"/>
      <c r="BOY61" s="33"/>
      <c r="BOZ61" s="33"/>
      <c r="BPA61" s="137"/>
      <c r="BPB61" s="33"/>
      <c r="BPC61" s="33"/>
      <c r="BPD61" s="33"/>
      <c r="BPE61" s="33"/>
      <c r="BPF61" s="33"/>
      <c r="BPG61" s="74"/>
      <c r="BPH61" s="64"/>
      <c r="BPI61" s="64"/>
      <c r="BPJ61" s="64"/>
      <c r="BPK61" s="64"/>
      <c r="BPL61" s="33"/>
      <c r="BPM61" s="137"/>
      <c r="BPN61" s="33"/>
      <c r="BPO61" s="33"/>
      <c r="BPP61" s="33"/>
      <c r="BPQ61" s="33"/>
      <c r="BPR61" s="33"/>
      <c r="BPS61" s="74"/>
      <c r="BPT61" s="33"/>
      <c r="BPU61" s="33"/>
      <c r="BPV61" s="33"/>
      <c r="BPW61" s="33"/>
      <c r="BPX61" s="33"/>
      <c r="BPY61" s="137"/>
      <c r="BPZ61" s="33"/>
      <c r="BQA61" s="33"/>
      <c r="BQB61" s="33"/>
      <c r="BQC61" s="33"/>
      <c r="BQD61" s="33"/>
      <c r="BQE61" s="74"/>
      <c r="BQF61" s="33"/>
      <c r="BQG61" s="33"/>
      <c r="BQH61" s="33"/>
      <c r="BQI61" s="33"/>
      <c r="BQJ61" s="33"/>
      <c r="BQK61" s="34"/>
      <c r="BQL61" s="32"/>
      <c r="BQM61" s="64"/>
      <c r="BQN61" s="64"/>
      <c r="BQO61" s="64"/>
      <c r="BQP61" s="33"/>
      <c r="BQQ61" s="132"/>
      <c r="BQR61" s="33"/>
      <c r="BQS61" s="33"/>
      <c r="BQT61" s="33"/>
      <c r="BQU61" s="33"/>
      <c r="BQV61" s="33"/>
      <c r="BQW61" s="137"/>
      <c r="BQX61" s="33"/>
      <c r="BQY61" s="33"/>
      <c r="BQZ61" s="33"/>
      <c r="BRA61" s="33"/>
      <c r="BRB61" s="33"/>
      <c r="BRC61" s="74"/>
      <c r="BRD61" s="33"/>
      <c r="BRE61" s="33"/>
      <c r="BRF61" s="33"/>
      <c r="BRG61" s="33"/>
      <c r="BRH61" s="33"/>
      <c r="BRI61" s="137"/>
      <c r="BRJ61" s="33"/>
      <c r="BRK61" s="33"/>
      <c r="BRL61" s="33"/>
      <c r="BRM61" s="33"/>
      <c r="BRN61" s="33"/>
      <c r="BRO61" s="74"/>
      <c r="BRP61" s="64"/>
      <c r="BRQ61" s="64"/>
      <c r="BRR61" s="64"/>
      <c r="BRS61" s="64"/>
      <c r="BRT61" s="33"/>
      <c r="BRU61" s="137"/>
      <c r="BRV61" s="33"/>
      <c r="BRW61" s="33"/>
      <c r="BRX61" s="33"/>
      <c r="BRY61" s="33"/>
      <c r="BRZ61" s="33"/>
      <c r="BSA61" s="74"/>
      <c r="BSB61" s="33"/>
      <c r="BSC61" s="33"/>
      <c r="BSD61" s="33"/>
      <c r="BSE61" s="33"/>
      <c r="BSF61" s="33"/>
      <c r="BSG61" s="137"/>
      <c r="BSH61" s="33"/>
      <c r="BSI61" s="33"/>
      <c r="BSJ61" s="33"/>
      <c r="BSK61" s="33"/>
      <c r="BSL61" s="33"/>
      <c r="BSM61" s="74"/>
      <c r="BSN61" s="33"/>
      <c r="BSO61" s="33"/>
      <c r="BSP61" s="33"/>
      <c r="BSQ61" s="33"/>
      <c r="BSR61" s="33"/>
      <c r="BSS61" s="34"/>
      <c r="BST61" s="32"/>
      <c r="BSU61" s="64"/>
      <c r="BSV61" s="64"/>
      <c r="BSW61" s="64"/>
      <c r="BSX61" s="33"/>
      <c r="BSY61" s="132"/>
      <c r="BSZ61" s="33"/>
      <c r="BTA61" s="33"/>
      <c r="BTB61" s="33"/>
      <c r="BTC61" s="33"/>
      <c r="BTD61" s="33"/>
      <c r="BTE61" s="137"/>
      <c r="BTF61" s="33"/>
      <c r="BTG61" s="33"/>
      <c r="BTH61" s="33"/>
      <c r="BTI61" s="33"/>
      <c r="BTJ61" s="33"/>
      <c r="BTK61" s="74"/>
      <c r="BTL61" s="33"/>
      <c r="BTM61" s="33"/>
      <c r="BTN61" s="33"/>
      <c r="BTO61" s="33"/>
      <c r="BTP61" s="33"/>
      <c r="BTQ61" s="137"/>
      <c r="BTR61" s="33"/>
      <c r="BTS61" s="33"/>
      <c r="BTT61" s="33"/>
      <c r="BTU61" s="33"/>
      <c r="BTV61" s="33"/>
      <c r="BTW61" s="74"/>
      <c r="BTX61" s="64"/>
      <c r="BTY61" s="64"/>
      <c r="BTZ61" s="64"/>
      <c r="BUA61" s="64"/>
      <c r="BUB61" s="33"/>
      <c r="BUC61" s="137"/>
      <c r="BUD61" s="33"/>
      <c r="BUE61" s="33"/>
      <c r="BUF61" s="33"/>
      <c r="BUG61" s="33"/>
      <c r="BUH61" s="33"/>
      <c r="BUI61" s="74"/>
      <c r="BUJ61" s="33"/>
      <c r="BUK61" s="33"/>
      <c r="BUL61" s="33"/>
      <c r="BUM61" s="33"/>
      <c r="BUN61" s="33"/>
      <c r="BUO61" s="137"/>
      <c r="BUP61" s="33"/>
      <c r="BUQ61" s="33"/>
      <c r="BUR61" s="33"/>
      <c r="BUS61" s="33"/>
      <c r="BUT61" s="33"/>
      <c r="BUU61" s="74"/>
      <c r="BUV61" s="33"/>
      <c r="BUW61" s="33"/>
      <c r="BUX61" s="33"/>
      <c r="BUY61" s="33"/>
      <c r="BUZ61" s="33"/>
      <c r="BVA61" s="34"/>
      <c r="BVB61" s="32"/>
      <c r="BVC61" s="64"/>
      <c r="BVD61" s="64"/>
      <c r="BVE61" s="64"/>
      <c r="BVF61" s="33"/>
      <c r="BVG61" s="132"/>
      <c r="BVH61" s="33"/>
      <c r="BVI61" s="33"/>
      <c r="BVJ61" s="33"/>
      <c r="BVK61" s="33"/>
      <c r="BVL61" s="33"/>
      <c r="BVM61" s="137"/>
      <c r="BVN61" s="33"/>
      <c r="BVO61" s="33"/>
      <c r="BVP61" s="33"/>
      <c r="BVQ61" s="33"/>
      <c r="BVR61" s="33"/>
      <c r="BVS61" s="74"/>
      <c r="BVT61" s="33"/>
      <c r="BVU61" s="33"/>
      <c r="BVV61" s="33"/>
      <c r="BVW61" s="33"/>
      <c r="BVX61" s="33"/>
      <c r="BVY61" s="137"/>
      <c r="BVZ61" s="33"/>
      <c r="BWA61" s="33"/>
      <c r="BWB61" s="33"/>
      <c r="BWC61" s="33"/>
      <c r="BWD61" s="33"/>
      <c r="BWE61" s="74"/>
      <c r="BWF61" s="64"/>
      <c r="BWG61" s="64"/>
      <c r="BWH61" s="64"/>
      <c r="BWI61" s="64"/>
      <c r="BWJ61" s="33"/>
      <c r="BWK61" s="137"/>
      <c r="BWL61" s="33"/>
      <c r="BWM61" s="33"/>
      <c r="BWN61" s="33"/>
      <c r="BWO61" s="33"/>
      <c r="BWP61" s="33"/>
      <c r="BWQ61" s="74"/>
      <c r="BWR61" s="33"/>
      <c r="BWS61" s="33"/>
      <c r="BWT61" s="33"/>
      <c r="BWU61" s="33"/>
      <c r="BWV61" s="33"/>
      <c r="BWW61" s="137"/>
      <c r="BWX61" s="33"/>
      <c r="BWY61" s="33"/>
      <c r="BWZ61" s="33"/>
      <c r="BXA61" s="33"/>
      <c r="BXB61" s="33"/>
      <c r="BXC61" s="74"/>
      <c r="BXD61" s="33"/>
      <c r="BXE61" s="33"/>
      <c r="BXF61" s="33"/>
      <c r="BXG61" s="33"/>
      <c r="BXH61" s="33"/>
      <c r="BXI61" s="34"/>
      <c r="BXJ61" s="32"/>
      <c r="BXK61" s="64"/>
      <c r="BXL61" s="64"/>
      <c r="BXM61" s="64"/>
      <c r="BXN61" s="33"/>
      <c r="BXO61" s="132"/>
      <c r="BXP61" s="33"/>
      <c r="BXQ61" s="33"/>
      <c r="BXR61" s="33"/>
      <c r="BXS61" s="33"/>
      <c r="BXT61" s="33"/>
      <c r="BXU61" s="137"/>
      <c r="BXV61" s="33"/>
      <c r="BXW61" s="33"/>
      <c r="BXX61" s="33"/>
      <c r="BXY61" s="33"/>
      <c r="BXZ61" s="33"/>
      <c r="BYA61" s="74"/>
      <c r="BYB61" s="33"/>
      <c r="BYC61" s="33"/>
      <c r="BYD61" s="33"/>
      <c r="BYE61" s="33"/>
      <c r="BYF61" s="33"/>
      <c r="BYG61" s="137"/>
      <c r="BYH61" s="33"/>
      <c r="BYI61" s="33"/>
      <c r="BYJ61" s="33"/>
      <c r="BYK61" s="33"/>
      <c r="BYL61" s="33"/>
      <c r="BYM61" s="74"/>
      <c r="BYN61" s="64"/>
      <c r="BYO61" s="64"/>
      <c r="BYP61" s="64"/>
      <c r="BYQ61" s="64"/>
      <c r="BYR61" s="33"/>
      <c r="BYS61" s="137"/>
      <c r="BYT61" s="33"/>
      <c r="BYU61" s="33"/>
      <c r="BYV61" s="33"/>
      <c r="BYW61" s="33"/>
      <c r="BYX61" s="33"/>
      <c r="BYY61" s="74"/>
      <c r="BYZ61" s="33"/>
      <c r="BZA61" s="33"/>
      <c r="BZB61" s="33"/>
      <c r="BZC61" s="33"/>
      <c r="BZD61" s="33"/>
      <c r="BZE61" s="137"/>
      <c r="BZF61" s="33"/>
      <c r="BZG61" s="33"/>
      <c r="BZH61" s="33"/>
      <c r="BZI61" s="33"/>
      <c r="BZJ61" s="33"/>
      <c r="BZK61" s="74"/>
      <c r="BZL61" s="33"/>
      <c r="BZM61" s="33"/>
      <c r="BZN61" s="33"/>
      <c r="BZO61" s="33"/>
      <c r="BZP61" s="33"/>
      <c r="BZQ61" s="34"/>
      <c r="BZR61" s="32"/>
      <c r="BZS61" s="64"/>
      <c r="BZT61" s="64"/>
      <c r="BZU61" s="64"/>
      <c r="BZV61" s="33"/>
      <c r="BZW61" s="132"/>
      <c r="BZX61" s="33"/>
      <c r="BZY61" s="33"/>
      <c r="BZZ61" s="33"/>
      <c r="CAA61" s="33"/>
      <c r="CAB61" s="33"/>
      <c r="CAC61" s="137"/>
      <c r="CAD61" s="33"/>
      <c r="CAE61" s="33"/>
      <c r="CAF61" s="33"/>
      <c r="CAG61" s="33"/>
      <c r="CAH61" s="33"/>
      <c r="CAI61" s="74"/>
      <c r="CAJ61" s="33"/>
      <c r="CAK61" s="33"/>
      <c r="CAL61" s="33"/>
      <c r="CAM61" s="33"/>
      <c r="CAN61" s="33"/>
      <c r="CAO61" s="137"/>
      <c r="CAP61" s="33"/>
      <c r="CAQ61" s="33"/>
      <c r="CAR61" s="33"/>
      <c r="CAS61" s="33"/>
      <c r="CAT61" s="33"/>
      <c r="CAU61" s="74"/>
      <c r="CAV61" s="64"/>
      <c r="CAW61" s="64"/>
      <c r="CAX61" s="64"/>
      <c r="CAY61" s="64"/>
      <c r="CAZ61" s="33"/>
      <c r="CBA61" s="137"/>
      <c r="CBB61" s="33"/>
      <c r="CBC61" s="33"/>
      <c r="CBD61" s="33"/>
      <c r="CBE61" s="33"/>
      <c r="CBF61" s="33"/>
      <c r="CBG61" s="74"/>
      <c r="CBH61" s="33"/>
      <c r="CBI61" s="33"/>
      <c r="CBJ61" s="33"/>
      <c r="CBK61" s="33"/>
      <c r="CBL61" s="33"/>
      <c r="CBM61" s="137"/>
      <c r="CBN61" s="33"/>
      <c r="CBO61" s="33"/>
      <c r="CBP61" s="33"/>
      <c r="CBQ61" s="33"/>
      <c r="CBR61" s="33"/>
      <c r="CBS61" s="74"/>
      <c r="CBT61" s="33"/>
      <c r="CBU61" s="33"/>
      <c r="CBV61" s="33"/>
      <c r="CBW61" s="33"/>
      <c r="CBX61" s="33"/>
      <c r="CBY61" s="34"/>
      <c r="CBZ61" s="32"/>
      <c r="CCA61" s="64"/>
      <c r="CCB61" s="64"/>
      <c r="CCC61" s="64"/>
      <c r="CCD61" s="33"/>
      <c r="CCE61" s="132"/>
      <c r="CCF61" s="33"/>
      <c r="CCG61" s="33"/>
      <c r="CCH61" s="33"/>
      <c r="CCI61" s="33"/>
      <c r="CCJ61" s="33"/>
      <c r="CCK61" s="137"/>
      <c r="CCL61" s="33"/>
      <c r="CCM61" s="33"/>
      <c r="CCN61" s="33"/>
      <c r="CCO61" s="33"/>
      <c r="CCP61" s="33"/>
      <c r="CCQ61" s="74"/>
      <c r="CCR61" s="33"/>
      <c r="CCS61" s="33"/>
      <c r="CCT61" s="33"/>
      <c r="CCU61" s="33"/>
      <c r="CCV61" s="33"/>
      <c r="CCW61" s="137"/>
      <c r="CCX61" s="33"/>
      <c r="CCY61" s="33"/>
      <c r="CCZ61" s="33"/>
      <c r="CDA61" s="33"/>
      <c r="CDB61" s="33"/>
      <c r="CDC61" s="74"/>
      <c r="CDD61" s="64"/>
      <c r="CDE61" s="64"/>
      <c r="CDF61" s="64"/>
      <c r="CDG61" s="64"/>
      <c r="CDH61" s="33"/>
      <c r="CDI61" s="137"/>
      <c r="CDJ61" s="33"/>
      <c r="CDK61" s="33"/>
      <c r="CDL61" s="33"/>
      <c r="CDM61" s="33"/>
      <c r="CDN61" s="33"/>
      <c r="CDO61" s="74"/>
      <c r="CDP61" s="33"/>
      <c r="CDQ61" s="33"/>
      <c r="CDR61" s="33"/>
      <c r="CDS61" s="33"/>
      <c r="CDT61" s="33"/>
      <c r="CDU61" s="137"/>
      <c r="CDV61" s="33"/>
      <c r="CDW61" s="33"/>
      <c r="CDX61" s="33"/>
      <c r="CDY61" s="33"/>
      <c r="CDZ61" s="33"/>
      <c r="CEA61" s="74"/>
      <c r="CEB61" s="33"/>
      <c r="CEC61" s="33"/>
      <c r="CED61" s="33"/>
      <c r="CEE61" s="33"/>
      <c r="CEF61" s="33"/>
      <c r="CEG61" s="34"/>
      <c r="CEH61" s="32"/>
      <c r="CEI61" s="64"/>
      <c r="CEJ61" s="64"/>
      <c r="CEK61" s="64"/>
      <c r="CEL61" s="33"/>
      <c r="CEM61" s="132"/>
      <c r="CEN61" s="33"/>
      <c r="CEO61" s="33"/>
      <c r="CEP61" s="33"/>
      <c r="CEQ61" s="33"/>
      <c r="CER61" s="33"/>
      <c r="CES61" s="137"/>
      <c r="CET61" s="33"/>
      <c r="CEU61" s="33"/>
      <c r="CEV61" s="33"/>
      <c r="CEW61" s="33"/>
      <c r="CEX61" s="33"/>
      <c r="CEY61" s="74"/>
      <c r="CEZ61" s="33"/>
      <c r="CFA61" s="33"/>
      <c r="CFB61" s="33"/>
      <c r="CFC61" s="33"/>
      <c r="CFD61" s="33"/>
      <c r="CFE61" s="137"/>
      <c r="CFF61" s="33"/>
      <c r="CFG61" s="33"/>
      <c r="CFH61" s="33"/>
      <c r="CFI61" s="33"/>
      <c r="CFJ61" s="33"/>
      <c r="CFK61" s="74"/>
      <c r="CFL61" s="64"/>
      <c r="CFM61" s="64"/>
      <c r="CFN61" s="64"/>
      <c r="CFO61" s="64"/>
      <c r="CFP61" s="33"/>
      <c r="CFQ61" s="137"/>
      <c r="CFR61" s="33"/>
      <c r="CFS61" s="33"/>
      <c r="CFT61" s="33"/>
      <c r="CFU61" s="33"/>
      <c r="CFV61" s="33"/>
      <c r="CFW61" s="74"/>
      <c r="CFX61" s="33"/>
      <c r="CFY61" s="33"/>
      <c r="CFZ61" s="33"/>
      <c r="CGA61" s="33"/>
      <c r="CGB61" s="33"/>
      <c r="CGC61" s="137"/>
      <c r="CGD61" s="33"/>
      <c r="CGE61" s="33"/>
      <c r="CGF61" s="33"/>
      <c r="CGG61" s="33"/>
      <c r="CGH61" s="33"/>
      <c r="CGI61" s="74"/>
      <c r="CGJ61" s="33"/>
      <c r="CGK61" s="33"/>
      <c r="CGL61" s="33"/>
      <c r="CGM61" s="33"/>
      <c r="CGN61" s="33"/>
      <c r="CGO61" s="34"/>
      <c r="CGP61" s="32"/>
      <c r="CGQ61" s="64"/>
      <c r="CGR61" s="64"/>
      <c r="CGS61" s="64"/>
      <c r="CGT61" s="33"/>
      <c r="CGU61" s="132"/>
      <c r="CGV61" s="33"/>
      <c r="CGW61" s="33"/>
      <c r="CGX61" s="33"/>
      <c r="CGY61" s="33"/>
      <c r="CGZ61" s="33"/>
      <c r="CHA61" s="137"/>
      <c r="CHB61" s="33"/>
      <c r="CHC61" s="33"/>
      <c r="CHD61" s="33"/>
      <c r="CHE61" s="33"/>
      <c r="CHF61" s="33"/>
      <c r="CHG61" s="74"/>
      <c r="CHH61" s="33"/>
      <c r="CHI61" s="33"/>
      <c r="CHJ61" s="33"/>
      <c r="CHK61" s="33"/>
      <c r="CHL61" s="33"/>
      <c r="CHM61" s="137"/>
      <c r="CHN61" s="33"/>
      <c r="CHO61" s="33"/>
      <c r="CHP61" s="33"/>
      <c r="CHQ61" s="33"/>
      <c r="CHR61" s="33"/>
      <c r="CHS61" s="74"/>
      <c r="CHT61" s="64"/>
      <c r="CHU61" s="64"/>
      <c r="CHV61" s="64"/>
      <c r="CHW61" s="64"/>
      <c r="CHX61" s="33"/>
      <c r="CHY61" s="137"/>
      <c r="CHZ61" s="33"/>
      <c r="CIA61" s="33"/>
      <c r="CIB61" s="33"/>
      <c r="CIC61" s="33"/>
      <c r="CID61" s="33"/>
      <c r="CIE61" s="74"/>
      <c r="CIF61" s="33"/>
      <c r="CIG61" s="33"/>
      <c r="CIH61" s="33"/>
      <c r="CII61" s="33"/>
      <c r="CIJ61" s="33"/>
      <c r="CIK61" s="137"/>
      <c r="CIL61" s="33"/>
      <c r="CIM61" s="33"/>
      <c r="CIN61" s="33"/>
      <c r="CIO61" s="33"/>
      <c r="CIP61" s="33"/>
      <c r="CIQ61" s="74"/>
      <c r="CIR61" s="33"/>
      <c r="CIS61" s="33"/>
      <c r="CIT61" s="33"/>
      <c r="CIU61" s="33"/>
      <c r="CIV61" s="33"/>
      <c r="CIW61" s="34"/>
      <c r="CIX61" s="32"/>
      <c r="CIY61" s="64"/>
      <c r="CIZ61" s="64"/>
      <c r="CJA61" s="64"/>
      <c r="CJB61" s="33"/>
      <c r="CJC61" s="132"/>
      <c r="CJD61" s="33"/>
      <c r="CJE61" s="33"/>
      <c r="CJF61" s="33"/>
      <c r="CJG61" s="33"/>
      <c r="CJH61" s="33"/>
      <c r="CJI61" s="137"/>
      <c r="CJJ61" s="33"/>
      <c r="CJK61" s="33"/>
      <c r="CJL61" s="33"/>
      <c r="CJM61" s="33"/>
      <c r="CJN61" s="33"/>
      <c r="CJO61" s="74"/>
      <c r="CJP61" s="33"/>
      <c r="CJQ61" s="33"/>
      <c r="CJR61" s="33"/>
      <c r="CJS61" s="33"/>
      <c r="CJT61" s="33"/>
      <c r="CJU61" s="137"/>
      <c r="CJV61" s="33"/>
      <c r="CJW61" s="33"/>
      <c r="CJX61" s="33"/>
      <c r="CJY61" s="33"/>
      <c r="CJZ61" s="33"/>
      <c r="CKA61" s="74"/>
      <c r="CKB61" s="64"/>
      <c r="CKC61" s="64"/>
      <c r="CKD61" s="64"/>
      <c r="CKE61" s="64"/>
      <c r="CKF61" s="33"/>
      <c r="CKG61" s="137"/>
      <c r="CKH61" s="33"/>
      <c r="CKI61" s="33"/>
      <c r="CKJ61" s="33"/>
      <c r="CKK61" s="33"/>
      <c r="CKL61" s="33"/>
      <c r="CKM61" s="74"/>
      <c r="CKN61" s="33"/>
      <c r="CKO61" s="33"/>
      <c r="CKP61" s="33"/>
      <c r="CKQ61" s="33"/>
      <c r="CKR61" s="33"/>
      <c r="CKS61" s="137"/>
      <c r="CKT61" s="33"/>
      <c r="CKU61" s="33"/>
      <c r="CKV61" s="33"/>
      <c r="CKW61" s="33"/>
      <c r="CKX61" s="33"/>
      <c r="CKY61" s="74"/>
      <c r="CKZ61" s="33"/>
      <c r="CLA61" s="33"/>
      <c r="CLB61" s="33"/>
      <c r="CLC61" s="33"/>
      <c r="CLD61" s="33"/>
      <c r="CLE61" s="34"/>
      <c r="CLF61" s="32"/>
      <c r="CLG61" s="64"/>
      <c r="CLH61" s="64"/>
      <c r="CLI61" s="64"/>
      <c r="CLJ61" s="33"/>
      <c r="CLK61" s="132"/>
      <c r="CLL61" s="33"/>
      <c r="CLM61" s="33"/>
      <c r="CLN61" s="33"/>
      <c r="CLO61" s="33"/>
      <c r="CLP61" s="33"/>
      <c r="CLQ61" s="137"/>
      <c r="CLR61" s="33"/>
      <c r="CLS61" s="33"/>
      <c r="CLT61" s="33"/>
      <c r="CLU61" s="33"/>
      <c r="CLV61" s="33"/>
      <c r="CLW61" s="74"/>
      <c r="CLX61" s="33"/>
      <c r="CLY61" s="33"/>
      <c r="CLZ61" s="33"/>
      <c r="CMA61" s="33"/>
      <c r="CMB61" s="33"/>
      <c r="CMC61" s="137"/>
      <c r="CMD61" s="33"/>
      <c r="CME61" s="33"/>
      <c r="CMF61" s="33"/>
      <c r="CMG61" s="33"/>
      <c r="CMH61" s="33"/>
      <c r="CMI61" s="74"/>
      <c r="CMJ61" s="64"/>
      <c r="CMK61" s="64"/>
      <c r="CML61" s="64"/>
      <c r="CMM61" s="64"/>
      <c r="CMN61" s="33"/>
      <c r="CMO61" s="137"/>
      <c r="CMP61" s="33"/>
      <c r="CMQ61" s="33"/>
      <c r="CMR61" s="33"/>
      <c r="CMS61" s="33"/>
      <c r="CMT61" s="33"/>
      <c r="CMU61" s="74"/>
      <c r="CMV61" s="33"/>
      <c r="CMW61" s="33"/>
      <c r="CMX61" s="33"/>
      <c r="CMY61" s="33"/>
      <c r="CMZ61" s="33"/>
      <c r="CNA61" s="137"/>
      <c r="CNB61" s="33"/>
      <c r="CNC61" s="33"/>
      <c r="CND61" s="33"/>
      <c r="CNE61" s="33"/>
      <c r="CNF61" s="33"/>
      <c r="CNG61" s="74"/>
      <c r="CNH61" s="33"/>
      <c r="CNI61" s="33"/>
      <c r="CNJ61" s="33"/>
      <c r="CNK61" s="33"/>
      <c r="CNL61" s="33"/>
      <c r="CNM61" s="34"/>
      <c r="CNN61" s="32"/>
      <c r="CNO61" s="64"/>
      <c r="CNP61" s="64"/>
      <c r="CNQ61" s="64"/>
      <c r="CNR61" s="33"/>
      <c r="CNS61" s="132"/>
      <c r="CNT61" s="33"/>
      <c r="CNU61" s="33"/>
      <c r="CNV61" s="33"/>
      <c r="CNW61" s="33"/>
      <c r="CNX61" s="33"/>
      <c r="CNY61" s="137"/>
      <c r="CNZ61" s="33"/>
      <c r="COA61" s="33"/>
      <c r="COB61" s="33"/>
      <c r="COC61" s="33"/>
      <c r="COD61" s="33"/>
      <c r="COE61" s="74"/>
      <c r="COF61" s="33"/>
      <c r="COG61" s="33"/>
      <c r="COH61" s="33"/>
      <c r="COI61" s="33"/>
      <c r="COJ61" s="33"/>
      <c r="COK61" s="137"/>
      <c r="COL61" s="33"/>
      <c r="COM61" s="33"/>
      <c r="CON61" s="33"/>
      <c r="COO61" s="33"/>
      <c r="COP61" s="33"/>
      <c r="COQ61" s="74"/>
      <c r="COR61" s="64"/>
      <c r="COS61" s="64"/>
      <c r="COT61" s="64"/>
      <c r="COU61" s="64"/>
      <c r="COV61" s="33"/>
      <c r="COW61" s="137"/>
      <c r="COX61" s="33"/>
      <c r="COY61" s="33"/>
      <c r="COZ61" s="33"/>
      <c r="CPA61" s="33"/>
      <c r="CPB61" s="33"/>
      <c r="CPC61" s="74"/>
      <c r="CPD61" s="33"/>
      <c r="CPE61" s="33"/>
      <c r="CPF61" s="33"/>
      <c r="CPG61" s="33"/>
      <c r="CPH61" s="33"/>
      <c r="CPI61" s="137"/>
      <c r="CPJ61" s="33"/>
      <c r="CPK61" s="33"/>
      <c r="CPL61" s="33"/>
      <c r="CPM61" s="33"/>
      <c r="CPN61" s="33"/>
      <c r="CPO61" s="74"/>
      <c r="CPP61" s="33"/>
      <c r="CPQ61" s="33"/>
      <c r="CPR61" s="33"/>
      <c r="CPS61" s="33"/>
      <c r="CPT61" s="33"/>
      <c r="CPU61" s="34"/>
      <c r="CPV61" s="32"/>
      <c r="CPW61" s="64"/>
      <c r="CPX61" s="64"/>
      <c r="CPY61" s="64"/>
      <c r="CPZ61" s="33"/>
      <c r="CQA61" s="132"/>
      <c r="CQB61" s="33"/>
      <c r="CQC61" s="33"/>
      <c r="CQD61" s="33"/>
      <c r="CQE61" s="33"/>
      <c r="CQF61" s="33"/>
      <c r="CQG61" s="137"/>
      <c r="CQH61" s="33"/>
      <c r="CQI61" s="33"/>
      <c r="CQJ61" s="33"/>
      <c r="CQK61" s="33"/>
      <c r="CQL61" s="33"/>
      <c r="CQM61" s="74"/>
      <c r="CQN61" s="33"/>
      <c r="CQO61" s="33"/>
      <c r="CQP61" s="33"/>
      <c r="CQQ61" s="33"/>
      <c r="CQR61" s="33"/>
      <c r="CQS61" s="137"/>
      <c r="CQT61" s="33"/>
      <c r="CQU61" s="33"/>
      <c r="CQV61" s="33"/>
      <c r="CQW61" s="33"/>
      <c r="CQX61" s="33"/>
      <c r="CQY61" s="74"/>
      <c r="CQZ61" s="64"/>
      <c r="CRA61" s="64"/>
      <c r="CRB61" s="64"/>
      <c r="CRC61" s="64"/>
      <c r="CRD61" s="33"/>
      <c r="CRE61" s="137"/>
      <c r="CRF61" s="33"/>
      <c r="CRG61" s="33"/>
      <c r="CRH61" s="33"/>
      <c r="CRI61" s="33"/>
      <c r="CRJ61" s="33"/>
      <c r="CRK61" s="74"/>
      <c r="CRL61" s="33"/>
      <c r="CRM61" s="33"/>
      <c r="CRN61" s="33"/>
      <c r="CRO61" s="33"/>
      <c r="CRP61" s="33"/>
      <c r="CRQ61" s="137"/>
      <c r="CRR61" s="33"/>
      <c r="CRS61" s="33"/>
      <c r="CRT61" s="33"/>
      <c r="CRU61" s="33"/>
      <c r="CRV61" s="33"/>
      <c r="CRW61" s="74"/>
      <c r="CRX61" s="33"/>
      <c r="CRY61" s="33"/>
      <c r="CRZ61" s="33"/>
      <c r="CSA61" s="33"/>
      <c r="CSB61" s="33"/>
      <c r="CSC61" s="34"/>
      <c r="CSD61" s="90"/>
    </row>
    <row r="62" spans="1:2526" ht="20.100000000000001" customHeight="1" x14ac:dyDescent="0.25">
      <c r="A62" s="100" t="s">
        <v>19</v>
      </c>
      <c r="B62" s="63"/>
      <c r="C62" s="212"/>
      <c r="D62" s="147" t="str">
        <f t="shared" si="0"/>
        <v>1h</v>
      </c>
      <c r="E62" s="102">
        <v>12</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185"/>
      <c r="WL62" s="186"/>
      <c r="WM62" s="187"/>
      <c r="WN62" s="186"/>
      <c r="WO62" s="186"/>
      <c r="WP62" s="186"/>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186"/>
      <c r="AAD62" s="186"/>
      <c r="AAE62" s="189"/>
      <c r="AAF62" s="186"/>
      <c r="AAG62" s="186"/>
      <c r="AAH62" s="186"/>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36"/>
      <c r="BLW62" s="65"/>
      <c r="BLX62" s="65"/>
      <c r="BLY62" s="65"/>
      <c r="BLZ62" s="37"/>
      <c r="BMA62" s="133"/>
      <c r="BMB62" s="37"/>
      <c r="BMC62" s="37"/>
      <c r="BMD62" s="37"/>
      <c r="BME62" s="37"/>
      <c r="BMF62" s="37"/>
      <c r="BMG62" s="138"/>
      <c r="BMH62" s="37"/>
      <c r="BMI62" s="37"/>
      <c r="BMJ62" s="37"/>
      <c r="BMK62" s="37"/>
      <c r="BML62" s="37"/>
      <c r="BMM62" s="75"/>
      <c r="BMN62" s="37"/>
      <c r="BMO62" s="37"/>
      <c r="BMP62" s="37"/>
      <c r="BMQ62" s="37"/>
      <c r="BMR62" s="37"/>
      <c r="BMS62" s="138"/>
      <c r="BMT62" s="37"/>
      <c r="BMU62" s="37"/>
      <c r="BMV62" s="37"/>
      <c r="BMW62" s="37"/>
      <c r="BMX62" s="37"/>
      <c r="BMY62" s="75"/>
      <c r="BMZ62" s="65"/>
      <c r="BNA62" s="65"/>
      <c r="BNB62" s="65"/>
      <c r="BNC62" s="65"/>
      <c r="BND62" s="37"/>
      <c r="BNE62" s="138"/>
      <c r="BNF62" s="37"/>
      <c r="BNG62" s="37"/>
      <c r="BNH62" s="37"/>
      <c r="BNI62" s="37"/>
      <c r="BNJ62" s="37"/>
      <c r="BNK62" s="75"/>
      <c r="BNL62" s="37"/>
      <c r="BNM62" s="37"/>
      <c r="BNN62" s="37"/>
      <c r="BNO62" s="37"/>
      <c r="BNP62" s="37"/>
      <c r="BNQ62" s="138"/>
      <c r="BNR62" s="37"/>
      <c r="BNS62" s="37"/>
      <c r="BNT62" s="37"/>
      <c r="BNU62" s="37"/>
      <c r="BNV62" s="37"/>
      <c r="BNW62" s="75"/>
      <c r="BNX62" s="37"/>
      <c r="BNY62" s="37"/>
      <c r="BNZ62" s="37"/>
      <c r="BOA62" s="37"/>
      <c r="BOB62" s="37"/>
      <c r="BOC62" s="38"/>
      <c r="BOD62" s="36"/>
      <c r="BOE62" s="65"/>
      <c r="BOF62" s="65"/>
      <c r="BOG62" s="65"/>
      <c r="BOH62" s="37"/>
      <c r="BOI62" s="133"/>
      <c r="BOJ62" s="37"/>
      <c r="BOK62" s="37"/>
      <c r="BOL62" s="37"/>
      <c r="BOM62" s="37"/>
      <c r="BON62" s="37"/>
      <c r="BOO62" s="138"/>
      <c r="BOP62" s="37"/>
      <c r="BOQ62" s="37"/>
      <c r="BOR62" s="37"/>
      <c r="BOS62" s="37"/>
      <c r="BOT62" s="37"/>
      <c r="BOU62" s="75"/>
      <c r="BOV62" s="37"/>
      <c r="BOW62" s="37"/>
      <c r="BOX62" s="37"/>
      <c r="BOY62" s="37"/>
      <c r="BOZ62" s="37"/>
      <c r="BPA62" s="138"/>
      <c r="BPB62" s="37"/>
      <c r="BPC62" s="37"/>
      <c r="BPD62" s="37"/>
      <c r="BPE62" s="37"/>
      <c r="BPF62" s="37"/>
      <c r="BPG62" s="75"/>
      <c r="BPH62" s="65"/>
      <c r="BPI62" s="65"/>
      <c r="BPJ62" s="65"/>
      <c r="BPK62" s="65"/>
      <c r="BPL62" s="37"/>
      <c r="BPM62" s="138"/>
      <c r="BPN62" s="37"/>
      <c r="BPO62" s="37"/>
      <c r="BPP62" s="37"/>
      <c r="BPQ62" s="37"/>
      <c r="BPR62" s="37"/>
      <c r="BPS62" s="75"/>
      <c r="BPT62" s="37"/>
      <c r="BPU62" s="37"/>
      <c r="BPV62" s="37"/>
      <c r="BPW62" s="37"/>
      <c r="BPX62" s="37"/>
      <c r="BPY62" s="138"/>
      <c r="BPZ62" s="37"/>
      <c r="BQA62" s="37"/>
      <c r="BQB62" s="37"/>
      <c r="BQC62" s="37"/>
      <c r="BQD62" s="37"/>
      <c r="BQE62" s="75"/>
      <c r="BQF62" s="37"/>
      <c r="BQG62" s="37"/>
      <c r="BQH62" s="37"/>
      <c r="BQI62" s="37"/>
      <c r="BQJ62" s="37"/>
      <c r="BQK62" s="38"/>
      <c r="BQL62" s="36"/>
      <c r="BQM62" s="65"/>
      <c r="BQN62" s="65"/>
      <c r="BQO62" s="65"/>
      <c r="BQP62" s="37"/>
      <c r="BQQ62" s="133"/>
      <c r="BQR62" s="37"/>
      <c r="BQS62" s="37"/>
      <c r="BQT62" s="37"/>
      <c r="BQU62" s="37"/>
      <c r="BQV62" s="37"/>
      <c r="BQW62" s="138"/>
      <c r="BQX62" s="37"/>
      <c r="BQY62" s="37"/>
      <c r="BQZ62" s="37"/>
      <c r="BRA62" s="37"/>
      <c r="BRB62" s="37"/>
      <c r="BRC62" s="75"/>
      <c r="BRD62" s="37"/>
      <c r="BRE62" s="37"/>
      <c r="BRF62" s="37"/>
      <c r="BRG62" s="37"/>
      <c r="BRH62" s="37"/>
      <c r="BRI62" s="138"/>
      <c r="BRJ62" s="37"/>
      <c r="BRK62" s="37"/>
      <c r="BRL62" s="37"/>
      <c r="BRM62" s="37"/>
      <c r="BRN62" s="37"/>
      <c r="BRO62" s="75"/>
      <c r="BRP62" s="65"/>
      <c r="BRQ62" s="65"/>
      <c r="BRR62" s="65"/>
      <c r="BRS62" s="65"/>
      <c r="BRT62" s="37"/>
      <c r="BRU62" s="138"/>
      <c r="BRV62" s="37"/>
      <c r="BRW62" s="37"/>
      <c r="BRX62" s="37"/>
      <c r="BRY62" s="37"/>
      <c r="BRZ62" s="37"/>
      <c r="BSA62" s="75"/>
      <c r="BSB62" s="37"/>
      <c r="BSC62" s="37"/>
      <c r="BSD62" s="37"/>
      <c r="BSE62" s="37"/>
      <c r="BSF62" s="37"/>
      <c r="BSG62" s="138"/>
      <c r="BSH62" s="37"/>
      <c r="BSI62" s="37"/>
      <c r="BSJ62" s="37"/>
      <c r="BSK62" s="37"/>
      <c r="BSL62" s="37"/>
      <c r="BSM62" s="75"/>
      <c r="BSN62" s="37"/>
      <c r="BSO62" s="37"/>
      <c r="BSP62" s="37"/>
      <c r="BSQ62" s="37"/>
      <c r="BSR62" s="37"/>
      <c r="BSS62" s="38"/>
      <c r="BST62" s="36"/>
      <c r="BSU62" s="65"/>
      <c r="BSV62" s="65"/>
      <c r="BSW62" s="65"/>
      <c r="BSX62" s="37"/>
      <c r="BSY62" s="133"/>
      <c r="BSZ62" s="37"/>
      <c r="BTA62" s="37"/>
      <c r="BTB62" s="37"/>
      <c r="BTC62" s="37"/>
      <c r="BTD62" s="37"/>
      <c r="BTE62" s="138"/>
      <c r="BTF62" s="37"/>
      <c r="BTG62" s="37"/>
      <c r="BTH62" s="37"/>
      <c r="BTI62" s="37"/>
      <c r="BTJ62" s="37"/>
      <c r="BTK62" s="75"/>
      <c r="BTL62" s="37"/>
      <c r="BTM62" s="37"/>
      <c r="BTN62" s="37"/>
      <c r="BTO62" s="37"/>
      <c r="BTP62" s="37"/>
      <c r="BTQ62" s="138"/>
      <c r="BTR62" s="37"/>
      <c r="BTS62" s="37"/>
      <c r="BTT62" s="37"/>
      <c r="BTU62" s="37"/>
      <c r="BTV62" s="37"/>
      <c r="BTW62" s="75"/>
      <c r="BTX62" s="65"/>
      <c r="BTY62" s="65"/>
      <c r="BTZ62" s="65"/>
      <c r="BUA62" s="65"/>
      <c r="BUB62" s="37"/>
      <c r="BUC62" s="138"/>
      <c r="BUD62" s="37"/>
      <c r="BUE62" s="37"/>
      <c r="BUF62" s="37"/>
      <c r="BUG62" s="37"/>
      <c r="BUH62" s="37"/>
      <c r="BUI62" s="75"/>
      <c r="BUJ62" s="37"/>
      <c r="BUK62" s="37"/>
      <c r="BUL62" s="37"/>
      <c r="BUM62" s="37"/>
      <c r="BUN62" s="37"/>
      <c r="BUO62" s="138"/>
      <c r="BUP62" s="37"/>
      <c r="BUQ62" s="37"/>
      <c r="BUR62" s="37"/>
      <c r="BUS62" s="37"/>
      <c r="BUT62" s="37"/>
      <c r="BUU62" s="75"/>
      <c r="BUV62" s="37"/>
      <c r="BUW62" s="37"/>
      <c r="BUX62" s="37"/>
      <c r="BUY62" s="37"/>
      <c r="BUZ62" s="37"/>
      <c r="BVA62" s="38"/>
      <c r="BVB62" s="36"/>
      <c r="BVC62" s="65"/>
      <c r="BVD62" s="65"/>
      <c r="BVE62" s="65"/>
      <c r="BVF62" s="37"/>
      <c r="BVG62" s="133"/>
      <c r="BVH62" s="37"/>
      <c r="BVI62" s="37"/>
      <c r="BVJ62" s="37"/>
      <c r="BVK62" s="37"/>
      <c r="BVL62" s="37"/>
      <c r="BVM62" s="138"/>
      <c r="BVN62" s="37"/>
      <c r="BVO62" s="37"/>
      <c r="BVP62" s="37"/>
      <c r="BVQ62" s="37"/>
      <c r="BVR62" s="37"/>
      <c r="BVS62" s="75"/>
      <c r="BVT62" s="37"/>
      <c r="BVU62" s="37"/>
      <c r="BVV62" s="37"/>
      <c r="BVW62" s="37"/>
      <c r="BVX62" s="37"/>
      <c r="BVY62" s="138"/>
      <c r="BVZ62" s="37"/>
      <c r="BWA62" s="37"/>
      <c r="BWB62" s="37"/>
      <c r="BWC62" s="37"/>
      <c r="BWD62" s="37"/>
      <c r="BWE62" s="75"/>
      <c r="BWF62" s="65"/>
      <c r="BWG62" s="65"/>
      <c r="BWH62" s="65"/>
      <c r="BWI62" s="65"/>
      <c r="BWJ62" s="37"/>
      <c r="BWK62" s="138"/>
      <c r="BWL62" s="37"/>
      <c r="BWM62" s="37"/>
      <c r="BWN62" s="37"/>
      <c r="BWO62" s="37"/>
      <c r="BWP62" s="37"/>
      <c r="BWQ62" s="75"/>
      <c r="BWR62" s="37"/>
      <c r="BWS62" s="37"/>
      <c r="BWT62" s="37"/>
      <c r="BWU62" s="37"/>
      <c r="BWV62" s="37"/>
      <c r="BWW62" s="138"/>
      <c r="BWX62" s="37"/>
      <c r="BWY62" s="37"/>
      <c r="BWZ62" s="37"/>
      <c r="BXA62" s="37"/>
      <c r="BXB62" s="37"/>
      <c r="BXC62" s="75"/>
      <c r="BXD62" s="37"/>
      <c r="BXE62" s="37"/>
      <c r="BXF62" s="37"/>
      <c r="BXG62" s="37"/>
      <c r="BXH62" s="37"/>
      <c r="BXI62" s="38"/>
      <c r="BXJ62" s="36"/>
      <c r="BXK62" s="65"/>
      <c r="BXL62" s="65"/>
      <c r="BXM62" s="65"/>
      <c r="BXN62" s="37"/>
      <c r="BXO62" s="133"/>
      <c r="BXP62" s="37"/>
      <c r="BXQ62" s="37"/>
      <c r="BXR62" s="37"/>
      <c r="BXS62" s="37"/>
      <c r="BXT62" s="37"/>
      <c r="BXU62" s="138"/>
      <c r="BXV62" s="37"/>
      <c r="BXW62" s="37"/>
      <c r="BXX62" s="37"/>
      <c r="BXY62" s="37"/>
      <c r="BXZ62" s="37"/>
      <c r="BYA62" s="75"/>
      <c r="BYB62" s="37"/>
      <c r="BYC62" s="37"/>
      <c r="BYD62" s="37"/>
      <c r="BYE62" s="37"/>
      <c r="BYF62" s="37"/>
      <c r="BYG62" s="138"/>
      <c r="BYH62" s="37"/>
      <c r="BYI62" s="37"/>
      <c r="BYJ62" s="37"/>
      <c r="BYK62" s="37"/>
      <c r="BYL62" s="37"/>
      <c r="BYM62" s="75"/>
      <c r="BYN62" s="65"/>
      <c r="BYO62" s="65"/>
      <c r="BYP62" s="65"/>
      <c r="BYQ62" s="65"/>
      <c r="BYR62" s="37"/>
      <c r="BYS62" s="138"/>
      <c r="BYT62" s="37"/>
      <c r="BYU62" s="37"/>
      <c r="BYV62" s="37"/>
      <c r="BYW62" s="37"/>
      <c r="BYX62" s="37"/>
      <c r="BYY62" s="75"/>
      <c r="BYZ62" s="37"/>
      <c r="BZA62" s="37"/>
      <c r="BZB62" s="37"/>
      <c r="BZC62" s="37"/>
      <c r="BZD62" s="37"/>
      <c r="BZE62" s="138"/>
      <c r="BZF62" s="37"/>
      <c r="BZG62" s="37"/>
      <c r="BZH62" s="37"/>
      <c r="BZI62" s="37"/>
      <c r="BZJ62" s="37"/>
      <c r="BZK62" s="75"/>
      <c r="BZL62" s="37"/>
      <c r="BZM62" s="37"/>
      <c r="BZN62" s="37"/>
      <c r="BZO62" s="37"/>
      <c r="BZP62" s="37"/>
      <c r="BZQ62" s="38"/>
      <c r="BZR62" s="36"/>
      <c r="BZS62" s="65"/>
      <c r="BZT62" s="65"/>
      <c r="BZU62" s="65"/>
      <c r="BZV62" s="37"/>
      <c r="BZW62" s="133"/>
      <c r="BZX62" s="37"/>
      <c r="BZY62" s="37"/>
      <c r="BZZ62" s="37"/>
      <c r="CAA62" s="37"/>
      <c r="CAB62" s="37"/>
      <c r="CAC62" s="138"/>
      <c r="CAD62" s="37"/>
      <c r="CAE62" s="37"/>
      <c r="CAF62" s="37"/>
      <c r="CAG62" s="37"/>
      <c r="CAH62" s="37"/>
      <c r="CAI62" s="75"/>
      <c r="CAJ62" s="37"/>
      <c r="CAK62" s="37"/>
      <c r="CAL62" s="37"/>
      <c r="CAM62" s="37"/>
      <c r="CAN62" s="37"/>
      <c r="CAO62" s="138"/>
      <c r="CAP62" s="37"/>
      <c r="CAQ62" s="37"/>
      <c r="CAR62" s="37"/>
      <c r="CAS62" s="37"/>
      <c r="CAT62" s="37"/>
      <c r="CAU62" s="75"/>
      <c r="CAV62" s="65"/>
      <c r="CAW62" s="65"/>
      <c r="CAX62" s="65"/>
      <c r="CAY62" s="65"/>
      <c r="CAZ62" s="37"/>
      <c r="CBA62" s="138"/>
      <c r="CBB62" s="37"/>
      <c r="CBC62" s="37"/>
      <c r="CBD62" s="37"/>
      <c r="CBE62" s="37"/>
      <c r="CBF62" s="37"/>
      <c r="CBG62" s="75"/>
      <c r="CBH62" s="37"/>
      <c r="CBI62" s="37"/>
      <c r="CBJ62" s="37"/>
      <c r="CBK62" s="37"/>
      <c r="CBL62" s="37"/>
      <c r="CBM62" s="138"/>
      <c r="CBN62" s="37"/>
      <c r="CBO62" s="37"/>
      <c r="CBP62" s="37"/>
      <c r="CBQ62" s="37"/>
      <c r="CBR62" s="37"/>
      <c r="CBS62" s="75"/>
      <c r="CBT62" s="37"/>
      <c r="CBU62" s="37"/>
      <c r="CBV62" s="37"/>
      <c r="CBW62" s="37"/>
      <c r="CBX62" s="37"/>
      <c r="CBY62" s="38"/>
      <c r="CBZ62" s="36"/>
      <c r="CCA62" s="65"/>
      <c r="CCB62" s="65"/>
      <c r="CCC62" s="65"/>
      <c r="CCD62" s="37"/>
      <c r="CCE62" s="133"/>
      <c r="CCF62" s="37"/>
      <c r="CCG62" s="37"/>
      <c r="CCH62" s="37"/>
      <c r="CCI62" s="37"/>
      <c r="CCJ62" s="37"/>
      <c r="CCK62" s="138"/>
      <c r="CCL62" s="37"/>
      <c r="CCM62" s="37"/>
      <c r="CCN62" s="37"/>
      <c r="CCO62" s="37"/>
      <c r="CCP62" s="37"/>
      <c r="CCQ62" s="75"/>
      <c r="CCR62" s="37"/>
      <c r="CCS62" s="37"/>
      <c r="CCT62" s="37"/>
      <c r="CCU62" s="37"/>
      <c r="CCV62" s="37"/>
      <c r="CCW62" s="138"/>
      <c r="CCX62" s="37"/>
      <c r="CCY62" s="37"/>
      <c r="CCZ62" s="37"/>
      <c r="CDA62" s="37"/>
      <c r="CDB62" s="37"/>
      <c r="CDC62" s="75"/>
      <c r="CDD62" s="65"/>
      <c r="CDE62" s="65"/>
      <c r="CDF62" s="65"/>
      <c r="CDG62" s="65"/>
      <c r="CDH62" s="37"/>
      <c r="CDI62" s="138"/>
      <c r="CDJ62" s="37"/>
      <c r="CDK62" s="37"/>
      <c r="CDL62" s="37"/>
      <c r="CDM62" s="37"/>
      <c r="CDN62" s="37"/>
      <c r="CDO62" s="75"/>
      <c r="CDP62" s="37"/>
      <c r="CDQ62" s="37"/>
      <c r="CDR62" s="37"/>
      <c r="CDS62" s="37"/>
      <c r="CDT62" s="37"/>
      <c r="CDU62" s="138"/>
      <c r="CDV62" s="37"/>
      <c r="CDW62" s="37"/>
      <c r="CDX62" s="37"/>
      <c r="CDY62" s="37"/>
      <c r="CDZ62" s="37"/>
      <c r="CEA62" s="75"/>
      <c r="CEB62" s="37"/>
      <c r="CEC62" s="37"/>
      <c r="CED62" s="37"/>
      <c r="CEE62" s="37"/>
      <c r="CEF62" s="37"/>
      <c r="CEG62" s="38"/>
      <c r="CEH62" s="36"/>
      <c r="CEI62" s="65"/>
      <c r="CEJ62" s="65"/>
      <c r="CEK62" s="65"/>
      <c r="CEL62" s="37"/>
      <c r="CEM62" s="133"/>
      <c r="CEN62" s="37"/>
      <c r="CEO62" s="37"/>
      <c r="CEP62" s="37"/>
      <c r="CEQ62" s="37"/>
      <c r="CER62" s="37"/>
      <c r="CES62" s="138"/>
      <c r="CET62" s="37"/>
      <c r="CEU62" s="37"/>
      <c r="CEV62" s="37"/>
      <c r="CEW62" s="37"/>
      <c r="CEX62" s="37"/>
      <c r="CEY62" s="75"/>
      <c r="CEZ62" s="37"/>
      <c r="CFA62" s="37"/>
      <c r="CFB62" s="37"/>
      <c r="CFC62" s="37"/>
      <c r="CFD62" s="37"/>
      <c r="CFE62" s="138"/>
      <c r="CFF62" s="37"/>
      <c r="CFG62" s="37"/>
      <c r="CFH62" s="37"/>
      <c r="CFI62" s="37"/>
      <c r="CFJ62" s="37"/>
      <c r="CFK62" s="75"/>
      <c r="CFL62" s="65"/>
      <c r="CFM62" s="65"/>
      <c r="CFN62" s="65"/>
      <c r="CFO62" s="65"/>
      <c r="CFP62" s="37"/>
      <c r="CFQ62" s="138"/>
      <c r="CFR62" s="37"/>
      <c r="CFS62" s="37"/>
      <c r="CFT62" s="37"/>
      <c r="CFU62" s="37"/>
      <c r="CFV62" s="37"/>
      <c r="CFW62" s="75"/>
      <c r="CFX62" s="37"/>
      <c r="CFY62" s="37"/>
      <c r="CFZ62" s="37"/>
      <c r="CGA62" s="37"/>
      <c r="CGB62" s="37"/>
      <c r="CGC62" s="138"/>
      <c r="CGD62" s="37"/>
      <c r="CGE62" s="37"/>
      <c r="CGF62" s="37"/>
      <c r="CGG62" s="37"/>
      <c r="CGH62" s="37"/>
      <c r="CGI62" s="75"/>
      <c r="CGJ62" s="37"/>
      <c r="CGK62" s="37"/>
      <c r="CGL62" s="37"/>
      <c r="CGM62" s="37"/>
      <c r="CGN62" s="37"/>
      <c r="CGO62" s="38"/>
      <c r="CGP62" s="36"/>
      <c r="CGQ62" s="65"/>
      <c r="CGR62" s="65"/>
      <c r="CGS62" s="65"/>
      <c r="CGT62" s="37"/>
      <c r="CGU62" s="133"/>
      <c r="CGV62" s="37"/>
      <c r="CGW62" s="37"/>
      <c r="CGX62" s="37"/>
      <c r="CGY62" s="37"/>
      <c r="CGZ62" s="37"/>
      <c r="CHA62" s="138"/>
      <c r="CHB62" s="37"/>
      <c r="CHC62" s="37"/>
      <c r="CHD62" s="37"/>
      <c r="CHE62" s="37"/>
      <c r="CHF62" s="37"/>
      <c r="CHG62" s="75"/>
      <c r="CHH62" s="37"/>
      <c r="CHI62" s="37"/>
      <c r="CHJ62" s="37"/>
      <c r="CHK62" s="37"/>
      <c r="CHL62" s="37"/>
      <c r="CHM62" s="138"/>
      <c r="CHN62" s="37"/>
      <c r="CHO62" s="37"/>
      <c r="CHP62" s="37"/>
      <c r="CHQ62" s="37"/>
      <c r="CHR62" s="37"/>
      <c r="CHS62" s="75"/>
      <c r="CHT62" s="65"/>
      <c r="CHU62" s="65"/>
      <c r="CHV62" s="65"/>
      <c r="CHW62" s="65"/>
      <c r="CHX62" s="37"/>
      <c r="CHY62" s="138"/>
      <c r="CHZ62" s="37"/>
      <c r="CIA62" s="37"/>
      <c r="CIB62" s="37"/>
      <c r="CIC62" s="37"/>
      <c r="CID62" s="37"/>
      <c r="CIE62" s="75"/>
      <c r="CIF62" s="37"/>
      <c r="CIG62" s="37"/>
      <c r="CIH62" s="37"/>
      <c r="CII62" s="37"/>
      <c r="CIJ62" s="37"/>
      <c r="CIK62" s="138"/>
      <c r="CIL62" s="37"/>
      <c r="CIM62" s="37"/>
      <c r="CIN62" s="37"/>
      <c r="CIO62" s="37"/>
      <c r="CIP62" s="37"/>
      <c r="CIQ62" s="75"/>
      <c r="CIR62" s="37"/>
      <c r="CIS62" s="37"/>
      <c r="CIT62" s="37"/>
      <c r="CIU62" s="37"/>
      <c r="CIV62" s="37"/>
      <c r="CIW62" s="38"/>
      <c r="CIX62" s="36"/>
      <c r="CIY62" s="65"/>
      <c r="CIZ62" s="65"/>
      <c r="CJA62" s="65"/>
      <c r="CJB62" s="37"/>
      <c r="CJC62" s="133"/>
      <c r="CJD62" s="37"/>
      <c r="CJE62" s="37"/>
      <c r="CJF62" s="37"/>
      <c r="CJG62" s="37"/>
      <c r="CJH62" s="37"/>
      <c r="CJI62" s="138"/>
      <c r="CJJ62" s="37"/>
      <c r="CJK62" s="37"/>
      <c r="CJL62" s="37"/>
      <c r="CJM62" s="37"/>
      <c r="CJN62" s="37"/>
      <c r="CJO62" s="75"/>
      <c r="CJP62" s="37"/>
      <c r="CJQ62" s="37"/>
      <c r="CJR62" s="37"/>
      <c r="CJS62" s="37"/>
      <c r="CJT62" s="37"/>
      <c r="CJU62" s="138"/>
      <c r="CJV62" s="37"/>
      <c r="CJW62" s="37"/>
      <c r="CJX62" s="37"/>
      <c r="CJY62" s="37"/>
      <c r="CJZ62" s="37"/>
      <c r="CKA62" s="75"/>
      <c r="CKB62" s="65"/>
      <c r="CKC62" s="65"/>
      <c r="CKD62" s="65"/>
      <c r="CKE62" s="65"/>
      <c r="CKF62" s="37"/>
      <c r="CKG62" s="138"/>
      <c r="CKH62" s="37"/>
      <c r="CKI62" s="37"/>
      <c r="CKJ62" s="37"/>
      <c r="CKK62" s="37"/>
      <c r="CKL62" s="37"/>
      <c r="CKM62" s="75"/>
      <c r="CKN62" s="37"/>
      <c r="CKO62" s="37"/>
      <c r="CKP62" s="37"/>
      <c r="CKQ62" s="37"/>
      <c r="CKR62" s="37"/>
      <c r="CKS62" s="138"/>
      <c r="CKT62" s="37"/>
      <c r="CKU62" s="37"/>
      <c r="CKV62" s="37"/>
      <c r="CKW62" s="37"/>
      <c r="CKX62" s="37"/>
      <c r="CKY62" s="75"/>
      <c r="CKZ62" s="37"/>
      <c r="CLA62" s="37"/>
      <c r="CLB62" s="37"/>
      <c r="CLC62" s="37"/>
      <c r="CLD62" s="37"/>
      <c r="CLE62" s="38"/>
      <c r="CLF62" s="36"/>
      <c r="CLG62" s="65"/>
      <c r="CLH62" s="65"/>
      <c r="CLI62" s="65"/>
      <c r="CLJ62" s="37"/>
      <c r="CLK62" s="133"/>
      <c r="CLL62" s="37"/>
      <c r="CLM62" s="37"/>
      <c r="CLN62" s="37"/>
      <c r="CLO62" s="37"/>
      <c r="CLP62" s="37"/>
      <c r="CLQ62" s="138"/>
      <c r="CLR62" s="37"/>
      <c r="CLS62" s="37"/>
      <c r="CLT62" s="37"/>
      <c r="CLU62" s="37"/>
      <c r="CLV62" s="37"/>
      <c r="CLW62" s="75"/>
      <c r="CLX62" s="37"/>
      <c r="CLY62" s="37"/>
      <c r="CLZ62" s="37"/>
      <c r="CMA62" s="37"/>
      <c r="CMB62" s="37"/>
      <c r="CMC62" s="138"/>
      <c r="CMD62" s="37"/>
      <c r="CME62" s="37"/>
      <c r="CMF62" s="37"/>
      <c r="CMG62" s="37"/>
      <c r="CMH62" s="37"/>
      <c r="CMI62" s="75"/>
      <c r="CMJ62" s="65"/>
      <c r="CMK62" s="65"/>
      <c r="CML62" s="65"/>
      <c r="CMM62" s="65"/>
      <c r="CMN62" s="37"/>
      <c r="CMO62" s="138"/>
      <c r="CMP62" s="37"/>
      <c r="CMQ62" s="37"/>
      <c r="CMR62" s="37"/>
      <c r="CMS62" s="37"/>
      <c r="CMT62" s="37"/>
      <c r="CMU62" s="75"/>
      <c r="CMV62" s="37"/>
      <c r="CMW62" s="37"/>
      <c r="CMX62" s="37"/>
      <c r="CMY62" s="37"/>
      <c r="CMZ62" s="37"/>
      <c r="CNA62" s="138"/>
      <c r="CNB62" s="37"/>
      <c r="CNC62" s="37"/>
      <c r="CND62" s="37"/>
      <c r="CNE62" s="37"/>
      <c r="CNF62" s="37"/>
      <c r="CNG62" s="75"/>
      <c r="CNH62" s="37"/>
      <c r="CNI62" s="37"/>
      <c r="CNJ62" s="37"/>
      <c r="CNK62" s="37"/>
      <c r="CNL62" s="37"/>
      <c r="CNM62" s="38"/>
      <c r="CNN62" s="36"/>
      <c r="CNO62" s="65"/>
      <c r="CNP62" s="65"/>
      <c r="CNQ62" s="65"/>
      <c r="CNR62" s="37"/>
      <c r="CNS62" s="133"/>
      <c r="CNT62" s="37"/>
      <c r="CNU62" s="37"/>
      <c r="CNV62" s="37"/>
      <c r="CNW62" s="37"/>
      <c r="CNX62" s="37"/>
      <c r="CNY62" s="138"/>
      <c r="CNZ62" s="37"/>
      <c r="COA62" s="37"/>
      <c r="COB62" s="37"/>
      <c r="COC62" s="37"/>
      <c r="COD62" s="37"/>
      <c r="COE62" s="75"/>
      <c r="COF62" s="37"/>
      <c r="COG62" s="37"/>
      <c r="COH62" s="37"/>
      <c r="COI62" s="37"/>
      <c r="COJ62" s="37"/>
      <c r="COK62" s="138"/>
      <c r="COL62" s="37"/>
      <c r="COM62" s="37"/>
      <c r="CON62" s="37"/>
      <c r="COO62" s="37"/>
      <c r="COP62" s="37"/>
      <c r="COQ62" s="75"/>
      <c r="COR62" s="65"/>
      <c r="COS62" s="65"/>
      <c r="COT62" s="65"/>
      <c r="COU62" s="65"/>
      <c r="COV62" s="37"/>
      <c r="COW62" s="138"/>
      <c r="COX62" s="37"/>
      <c r="COY62" s="37"/>
      <c r="COZ62" s="37"/>
      <c r="CPA62" s="37"/>
      <c r="CPB62" s="37"/>
      <c r="CPC62" s="75"/>
      <c r="CPD62" s="37"/>
      <c r="CPE62" s="37"/>
      <c r="CPF62" s="37"/>
      <c r="CPG62" s="37"/>
      <c r="CPH62" s="37"/>
      <c r="CPI62" s="138"/>
      <c r="CPJ62" s="37"/>
      <c r="CPK62" s="37"/>
      <c r="CPL62" s="37"/>
      <c r="CPM62" s="37"/>
      <c r="CPN62" s="37"/>
      <c r="CPO62" s="75"/>
      <c r="CPP62" s="37"/>
      <c r="CPQ62" s="37"/>
      <c r="CPR62" s="37"/>
      <c r="CPS62" s="37"/>
      <c r="CPT62" s="37"/>
      <c r="CPU62" s="38"/>
      <c r="CPV62" s="36"/>
      <c r="CPW62" s="65"/>
      <c r="CPX62" s="65"/>
      <c r="CPY62" s="65"/>
      <c r="CPZ62" s="37"/>
      <c r="CQA62" s="133"/>
      <c r="CQB62" s="37"/>
      <c r="CQC62" s="37"/>
      <c r="CQD62" s="37"/>
      <c r="CQE62" s="37"/>
      <c r="CQF62" s="37"/>
      <c r="CQG62" s="138"/>
      <c r="CQH62" s="37"/>
      <c r="CQI62" s="37"/>
      <c r="CQJ62" s="37"/>
      <c r="CQK62" s="37"/>
      <c r="CQL62" s="37"/>
      <c r="CQM62" s="75"/>
      <c r="CQN62" s="37"/>
      <c r="CQO62" s="37"/>
      <c r="CQP62" s="37"/>
      <c r="CQQ62" s="37"/>
      <c r="CQR62" s="37"/>
      <c r="CQS62" s="138"/>
      <c r="CQT62" s="37"/>
      <c r="CQU62" s="37"/>
      <c r="CQV62" s="37"/>
      <c r="CQW62" s="37"/>
      <c r="CQX62" s="37"/>
      <c r="CQY62" s="75"/>
      <c r="CQZ62" s="65"/>
      <c r="CRA62" s="65"/>
      <c r="CRB62" s="65"/>
      <c r="CRC62" s="65"/>
      <c r="CRD62" s="37"/>
      <c r="CRE62" s="138"/>
      <c r="CRF62" s="37"/>
      <c r="CRG62" s="37"/>
      <c r="CRH62" s="37"/>
      <c r="CRI62" s="37"/>
      <c r="CRJ62" s="37"/>
      <c r="CRK62" s="75"/>
      <c r="CRL62" s="37"/>
      <c r="CRM62" s="37"/>
      <c r="CRN62" s="37"/>
      <c r="CRO62" s="37"/>
      <c r="CRP62" s="37"/>
      <c r="CRQ62" s="138"/>
      <c r="CRR62" s="37"/>
      <c r="CRS62" s="37"/>
      <c r="CRT62" s="37"/>
      <c r="CRU62" s="37"/>
      <c r="CRV62" s="37"/>
      <c r="CRW62" s="75"/>
      <c r="CRX62" s="37"/>
      <c r="CRY62" s="37"/>
      <c r="CRZ62" s="37"/>
      <c r="CSA62" s="37"/>
      <c r="CSB62" s="37"/>
      <c r="CSC62" s="38"/>
      <c r="CSD62" s="90"/>
    </row>
    <row r="63" spans="1:2526" ht="20.100000000000001" customHeight="1" x14ac:dyDescent="0.25">
      <c r="A63" s="100" t="s">
        <v>18</v>
      </c>
      <c r="B63" s="63"/>
      <c r="C63" s="211"/>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40"/>
      <c r="BLW63" s="66"/>
      <c r="BLX63" s="66"/>
      <c r="BLY63" s="66"/>
      <c r="BLZ63" s="41"/>
      <c r="BMA63" s="134"/>
      <c r="BMB63" s="41"/>
      <c r="BMC63" s="41"/>
      <c r="BMD63" s="41"/>
      <c r="BME63" s="41"/>
      <c r="BMF63" s="41"/>
      <c r="BMG63" s="139"/>
      <c r="BMH63" s="41"/>
      <c r="BMI63" s="41"/>
      <c r="BMJ63" s="41"/>
      <c r="BMK63" s="41"/>
      <c r="BML63" s="41"/>
      <c r="BMM63" s="76"/>
      <c r="BMN63" s="41"/>
      <c r="BMO63" s="41"/>
      <c r="BMP63" s="41"/>
      <c r="BMQ63" s="41"/>
      <c r="BMR63" s="41"/>
      <c r="BMS63" s="139"/>
      <c r="BMT63" s="41"/>
      <c r="BMU63" s="41"/>
      <c r="BMV63" s="41"/>
      <c r="BMW63" s="41"/>
      <c r="BMX63" s="41"/>
      <c r="BMY63" s="76"/>
      <c r="BMZ63" s="66"/>
      <c r="BNA63" s="66"/>
      <c r="BNB63" s="66"/>
      <c r="BNC63" s="66"/>
      <c r="BND63" s="41"/>
      <c r="BNE63" s="139"/>
      <c r="BNF63" s="41"/>
      <c r="BNG63" s="41"/>
      <c r="BNH63" s="41"/>
      <c r="BNI63" s="41"/>
      <c r="BNJ63" s="41"/>
      <c r="BNK63" s="76"/>
      <c r="BNL63" s="41"/>
      <c r="BNM63" s="41"/>
      <c r="BNN63" s="41"/>
      <c r="BNO63" s="41"/>
      <c r="BNP63" s="41"/>
      <c r="BNQ63" s="139"/>
      <c r="BNR63" s="41"/>
      <c r="BNS63" s="41"/>
      <c r="BNT63" s="41"/>
      <c r="BNU63" s="41"/>
      <c r="BNV63" s="41"/>
      <c r="BNW63" s="76"/>
      <c r="BNX63" s="41"/>
      <c r="BNY63" s="41"/>
      <c r="BNZ63" s="41"/>
      <c r="BOA63" s="41"/>
      <c r="BOB63" s="41"/>
      <c r="BOC63" s="42"/>
      <c r="BOD63" s="40"/>
      <c r="BOE63" s="66"/>
      <c r="BOF63" s="66"/>
      <c r="BOG63" s="66"/>
      <c r="BOH63" s="41"/>
      <c r="BOI63" s="134"/>
      <c r="BOJ63" s="41"/>
      <c r="BOK63" s="41"/>
      <c r="BOL63" s="41"/>
      <c r="BOM63" s="41"/>
      <c r="BON63" s="41"/>
      <c r="BOO63" s="139"/>
      <c r="BOP63" s="41"/>
      <c r="BOQ63" s="41"/>
      <c r="BOR63" s="41"/>
      <c r="BOS63" s="41"/>
      <c r="BOT63" s="41"/>
      <c r="BOU63" s="76"/>
      <c r="BOV63" s="41"/>
      <c r="BOW63" s="41"/>
      <c r="BOX63" s="41"/>
      <c r="BOY63" s="41"/>
      <c r="BOZ63" s="41"/>
      <c r="BPA63" s="139"/>
      <c r="BPB63" s="41"/>
      <c r="BPC63" s="41"/>
      <c r="BPD63" s="41"/>
      <c r="BPE63" s="41"/>
      <c r="BPF63" s="41"/>
      <c r="BPG63" s="76"/>
      <c r="BPH63" s="66"/>
      <c r="BPI63" s="66"/>
      <c r="BPJ63" s="66"/>
      <c r="BPK63" s="66"/>
      <c r="BPL63" s="41"/>
      <c r="BPM63" s="139"/>
      <c r="BPN63" s="41"/>
      <c r="BPO63" s="41"/>
      <c r="BPP63" s="41"/>
      <c r="BPQ63" s="41"/>
      <c r="BPR63" s="41"/>
      <c r="BPS63" s="76"/>
      <c r="BPT63" s="41"/>
      <c r="BPU63" s="41"/>
      <c r="BPV63" s="41"/>
      <c r="BPW63" s="41"/>
      <c r="BPX63" s="41"/>
      <c r="BPY63" s="139"/>
      <c r="BPZ63" s="41"/>
      <c r="BQA63" s="41"/>
      <c r="BQB63" s="41"/>
      <c r="BQC63" s="41"/>
      <c r="BQD63" s="41"/>
      <c r="BQE63" s="76"/>
      <c r="BQF63" s="41"/>
      <c r="BQG63" s="41"/>
      <c r="BQH63" s="41"/>
      <c r="BQI63" s="41"/>
      <c r="BQJ63" s="41"/>
      <c r="BQK63" s="42"/>
      <c r="BQL63" s="40"/>
      <c r="BQM63" s="66"/>
      <c r="BQN63" s="66"/>
      <c r="BQO63" s="66"/>
      <c r="BQP63" s="41"/>
      <c r="BQQ63" s="134"/>
      <c r="BQR63" s="41"/>
      <c r="BQS63" s="41"/>
      <c r="BQT63" s="41"/>
      <c r="BQU63" s="41"/>
      <c r="BQV63" s="41"/>
      <c r="BQW63" s="139"/>
      <c r="BQX63" s="41"/>
      <c r="BQY63" s="41"/>
      <c r="BQZ63" s="41"/>
      <c r="BRA63" s="41"/>
      <c r="BRB63" s="41"/>
      <c r="BRC63" s="76"/>
      <c r="BRD63" s="41"/>
      <c r="BRE63" s="41"/>
      <c r="BRF63" s="41"/>
      <c r="BRG63" s="41"/>
      <c r="BRH63" s="41"/>
      <c r="BRI63" s="139"/>
      <c r="BRJ63" s="41"/>
      <c r="BRK63" s="41"/>
      <c r="BRL63" s="41"/>
      <c r="BRM63" s="41"/>
      <c r="BRN63" s="41"/>
      <c r="BRO63" s="76"/>
      <c r="BRP63" s="66"/>
      <c r="BRQ63" s="66"/>
      <c r="BRR63" s="66"/>
      <c r="BRS63" s="66"/>
      <c r="BRT63" s="41"/>
      <c r="BRU63" s="139"/>
      <c r="BRV63" s="41"/>
      <c r="BRW63" s="41"/>
      <c r="BRX63" s="41"/>
      <c r="BRY63" s="41"/>
      <c r="BRZ63" s="41"/>
      <c r="BSA63" s="76"/>
      <c r="BSB63" s="41"/>
      <c r="BSC63" s="41"/>
      <c r="BSD63" s="41"/>
      <c r="BSE63" s="41"/>
      <c r="BSF63" s="41"/>
      <c r="BSG63" s="139"/>
      <c r="BSH63" s="41"/>
      <c r="BSI63" s="41"/>
      <c r="BSJ63" s="41"/>
      <c r="BSK63" s="41"/>
      <c r="BSL63" s="41"/>
      <c r="BSM63" s="76"/>
      <c r="BSN63" s="41"/>
      <c r="BSO63" s="41"/>
      <c r="BSP63" s="41"/>
      <c r="BSQ63" s="41"/>
      <c r="BSR63" s="41"/>
      <c r="BSS63" s="42"/>
      <c r="BST63" s="40"/>
      <c r="BSU63" s="66"/>
      <c r="BSV63" s="66"/>
      <c r="BSW63" s="66"/>
      <c r="BSX63" s="41"/>
      <c r="BSY63" s="134"/>
      <c r="BSZ63" s="41"/>
      <c r="BTA63" s="41"/>
      <c r="BTB63" s="41"/>
      <c r="BTC63" s="41"/>
      <c r="BTD63" s="41"/>
      <c r="BTE63" s="139"/>
      <c r="BTF63" s="41"/>
      <c r="BTG63" s="41"/>
      <c r="BTH63" s="41"/>
      <c r="BTI63" s="41"/>
      <c r="BTJ63" s="41"/>
      <c r="BTK63" s="76"/>
      <c r="BTL63" s="41"/>
      <c r="BTM63" s="41"/>
      <c r="BTN63" s="41"/>
      <c r="BTO63" s="41"/>
      <c r="BTP63" s="41"/>
      <c r="BTQ63" s="139"/>
      <c r="BTR63" s="41"/>
      <c r="BTS63" s="41"/>
      <c r="BTT63" s="41"/>
      <c r="BTU63" s="41"/>
      <c r="BTV63" s="41"/>
      <c r="BTW63" s="76"/>
      <c r="BTX63" s="66"/>
      <c r="BTY63" s="66"/>
      <c r="BTZ63" s="66"/>
      <c r="BUA63" s="66"/>
      <c r="BUB63" s="41"/>
      <c r="BUC63" s="139"/>
      <c r="BUD63" s="41"/>
      <c r="BUE63" s="41"/>
      <c r="BUF63" s="41"/>
      <c r="BUG63" s="41"/>
      <c r="BUH63" s="41"/>
      <c r="BUI63" s="76"/>
      <c r="BUJ63" s="41"/>
      <c r="BUK63" s="41"/>
      <c r="BUL63" s="41"/>
      <c r="BUM63" s="41"/>
      <c r="BUN63" s="41"/>
      <c r="BUO63" s="139"/>
      <c r="BUP63" s="41"/>
      <c r="BUQ63" s="41"/>
      <c r="BUR63" s="41"/>
      <c r="BUS63" s="41"/>
      <c r="BUT63" s="41"/>
      <c r="BUU63" s="76"/>
      <c r="BUV63" s="41"/>
      <c r="BUW63" s="41"/>
      <c r="BUX63" s="41"/>
      <c r="BUY63" s="41"/>
      <c r="BUZ63" s="41"/>
      <c r="BVA63" s="42"/>
      <c r="BVB63" s="40"/>
      <c r="BVC63" s="66"/>
      <c r="BVD63" s="66"/>
      <c r="BVE63" s="66"/>
      <c r="BVF63" s="41"/>
      <c r="BVG63" s="134"/>
      <c r="BVH63" s="41"/>
      <c r="BVI63" s="41"/>
      <c r="BVJ63" s="41"/>
      <c r="BVK63" s="41"/>
      <c r="BVL63" s="41"/>
      <c r="BVM63" s="139"/>
      <c r="BVN63" s="41"/>
      <c r="BVO63" s="41"/>
      <c r="BVP63" s="41"/>
      <c r="BVQ63" s="41"/>
      <c r="BVR63" s="41"/>
      <c r="BVS63" s="76"/>
      <c r="BVT63" s="41"/>
      <c r="BVU63" s="41"/>
      <c r="BVV63" s="41"/>
      <c r="BVW63" s="41"/>
      <c r="BVX63" s="41"/>
      <c r="BVY63" s="139"/>
      <c r="BVZ63" s="41"/>
      <c r="BWA63" s="41"/>
      <c r="BWB63" s="41"/>
      <c r="BWC63" s="41"/>
      <c r="BWD63" s="41"/>
      <c r="BWE63" s="76"/>
      <c r="BWF63" s="66"/>
      <c r="BWG63" s="66"/>
      <c r="BWH63" s="66"/>
      <c r="BWI63" s="66"/>
      <c r="BWJ63" s="41"/>
      <c r="BWK63" s="139"/>
      <c r="BWL63" s="41"/>
      <c r="BWM63" s="41"/>
      <c r="BWN63" s="41"/>
      <c r="BWO63" s="41"/>
      <c r="BWP63" s="41"/>
      <c r="BWQ63" s="76"/>
      <c r="BWR63" s="41"/>
      <c r="BWS63" s="41"/>
      <c r="BWT63" s="41"/>
      <c r="BWU63" s="41"/>
      <c r="BWV63" s="41"/>
      <c r="BWW63" s="139"/>
      <c r="BWX63" s="41"/>
      <c r="BWY63" s="41"/>
      <c r="BWZ63" s="41"/>
      <c r="BXA63" s="41"/>
      <c r="BXB63" s="41"/>
      <c r="BXC63" s="76"/>
      <c r="BXD63" s="41"/>
      <c r="BXE63" s="41"/>
      <c r="BXF63" s="41"/>
      <c r="BXG63" s="41"/>
      <c r="BXH63" s="41"/>
      <c r="BXI63" s="42"/>
      <c r="BXJ63" s="40"/>
      <c r="BXK63" s="66"/>
      <c r="BXL63" s="66"/>
      <c r="BXM63" s="66"/>
      <c r="BXN63" s="41"/>
      <c r="BXO63" s="134"/>
      <c r="BXP63" s="41"/>
      <c r="BXQ63" s="41"/>
      <c r="BXR63" s="41"/>
      <c r="BXS63" s="41"/>
      <c r="BXT63" s="41"/>
      <c r="BXU63" s="139"/>
      <c r="BXV63" s="41"/>
      <c r="BXW63" s="41"/>
      <c r="BXX63" s="41"/>
      <c r="BXY63" s="41"/>
      <c r="BXZ63" s="41"/>
      <c r="BYA63" s="76"/>
      <c r="BYB63" s="41"/>
      <c r="BYC63" s="41"/>
      <c r="BYD63" s="41"/>
      <c r="BYE63" s="41"/>
      <c r="BYF63" s="41"/>
      <c r="BYG63" s="139"/>
      <c r="BYH63" s="41"/>
      <c r="BYI63" s="41"/>
      <c r="BYJ63" s="41"/>
      <c r="BYK63" s="41"/>
      <c r="BYL63" s="41"/>
      <c r="BYM63" s="76"/>
      <c r="BYN63" s="66"/>
      <c r="BYO63" s="66"/>
      <c r="BYP63" s="66"/>
      <c r="BYQ63" s="66"/>
      <c r="BYR63" s="41"/>
      <c r="BYS63" s="139"/>
      <c r="BYT63" s="41"/>
      <c r="BYU63" s="41"/>
      <c r="BYV63" s="41"/>
      <c r="BYW63" s="41"/>
      <c r="BYX63" s="41"/>
      <c r="BYY63" s="76"/>
      <c r="BYZ63" s="41"/>
      <c r="BZA63" s="41"/>
      <c r="BZB63" s="41"/>
      <c r="BZC63" s="41"/>
      <c r="BZD63" s="41"/>
      <c r="BZE63" s="139"/>
      <c r="BZF63" s="41"/>
      <c r="BZG63" s="41"/>
      <c r="BZH63" s="41"/>
      <c r="BZI63" s="41"/>
      <c r="BZJ63" s="41"/>
      <c r="BZK63" s="76"/>
      <c r="BZL63" s="41"/>
      <c r="BZM63" s="41"/>
      <c r="BZN63" s="41"/>
      <c r="BZO63" s="41"/>
      <c r="BZP63" s="41"/>
      <c r="BZQ63" s="42"/>
      <c r="BZR63" s="40"/>
      <c r="BZS63" s="66"/>
      <c r="BZT63" s="66"/>
      <c r="BZU63" s="66"/>
      <c r="BZV63" s="41"/>
      <c r="BZW63" s="134"/>
      <c r="BZX63" s="41"/>
      <c r="BZY63" s="41"/>
      <c r="BZZ63" s="41"/>
      <c r="CAA63" s="41"/>
      <c r="CAB63" s="41"/>
      <c r="CAC63" s="139"/>
      <c r="CAD63" s="41"/>
      <c r="CAE63" s="41"/>
      <c r="CAF63" s="41"/>
      <c r="CAG63" s="41"/>
      <c r="CAH63" s="41"/>
      <c r="CAI63" s="76"/>
      <c r="CAJ63" s="41"/>
      <c r="CAK63" s="41"/>
      <c r="CAL63" s="41"/>
      <c r="CAM63" s="41"/>
      <c r="CAN63" s="41"/>
      <c r="CAO63" s="139"/>
      <c r="CAP63" s="41"/>
      <c r="CAQ63" s="41"/>
      <c r="CAR63" s="41"/>
      <c r="CAS63" s="41"/>
      <c r="CAT63" s="41"/>
      <c r="CAU63" s="76"/>
      <c r="CAV63" s="66"/>
      <c r="CAW63" s="66"/>
      <c r="CAX63" s="66"/>
      <c r="CAY63" s="66"/>
      <c r="CAZ63" s="41"/>
      <c r="CBA63" s="139"/>
      <c r="CBB63" s="41"/>
      <c r="CBC63" s="41"/>
      <c r="CBD63" s="41"/>
      <c r="CBE63" s="41"/>
      <c r="CBF63" s="41"/>
      <c r="CBG63" s="76"/>
      <c r="CBH63" s="41"/>
      <c r="CBI63" s="41"/>
      <c r="CBJ63" s="41"/>
      <c r="CBK63" s="41"/>
      <c r="CBL63" s="41"/>
      <c r="CBM63" s="139"/>
      <c r="CBN63" s="41"/>
      <c r="CBO63" s="41"/>
      <c r="CBP63" s="41"/>
      <c r="CBQ63" s="41"/>
      <c r="CBR63" s="41"/>
      <c r="CBS63" s="76"/>
      <c r="CBT63" s="41"/>
      <c r="CBU63" s="41"/>
      <c r="CBV63" s="41"/>
      <c r="CBW63" s="41"/>
      <c r="CBX63" s="41"/>
      <c r="CBY63" s="42"/>
      <c r="CBZ63" s="40"/>
      <c r="CCA63" s="66"/>
      <c r="CCB63" s="66"/>
      <c r="CCC63" s="66"/>
      <c r="CCD63" s="41"/>
      <c r="CCE63" s="134"/>
      <c r="CCF63" s="41"/>
      <c r="CCG63" s="41"/>
      <c r="CCH63" s="41"/>
      <c r="CCI63" s="41"/>
      <c r="CCJ63" s="41"/>
      <c r="CCK63" s="139"/>
      <c r="CCL63" s="41"/>
      <c r="CCM63" s="41"/>
      <c r="CCN63" s="41"/>
      <c r="CCO63" s="41"/>
      <c r="CCP63" s="41"/>
      <c r="CCQ63" s="76"/>
      <c r="CCR63" s="41"/>
      <c r="CCS63" s="41"/>
      <c r="CCT63" s="41"/>
      <c r="CCU63" s="41"/>
      <c r="CCV63" s="41"/>
      <c r="CCW63" s="139"/>
      <c r="CCX63" s="41"/>
      <c r="CCY63" s="41"/>
      <c r="CCZ63" s="41"/>
      <c r="CDA63" s="41"/>
      <c r="CDB63" s="41"/>
      <c r="CDC63" s="76"/>
      <c r="CDD63" s="66"/>
      <c r="CDE63" s="66"/>
      <c r="CDF63" s="66"/>
      <c r="CDG63" s="66"/>
      <c r="CDH63" s="41"/>
      <c r="CDI63" s="139"/>
      <c r="CDJ63" s="41"/>
      <c r="CDK63" s="41"/>
      <c r="CDL63" s="41"/>
      <c r="CDM63" s="41"/>
      <c r="CDN63" s="41"/>
      <c r="CDO63" s="76"/>
      <c r="CDP63" s="41"/>
      <c r="CDQ63" s="41"/>
      <c r="CDR63" s="41"/>
      <c r="CDS63" s="41"/>
      <c r="CDT63" s="41"/>
      <c r="CDU63" s="139"/>
      <c r="CDV63" s="41"/>
      <c r="CDW63" s="41"/>
      <c r="CDX63" s="41"/>
      <c r="CDY63" s="41"/>
      <c r="CDZ63" s="41"/>
      <c r="CEA63" s="76"/>
      <c r="CEB63" s="41"/>
      <c r="CEC63" s="41"/>
      <c r="CED63" s="41"/>
      <c r="CEE63" s="41"/>
      <c r="CEF63" s="41"/>
      <c r="CEG63" s="42"/>
      <c r="CEH63" s="40"/>
      <c r="CEI63" s="66"/>
      <c r="CEJ63" s="66"/>
      <c r="CEK63" s="66"/>
      <c r="CEL63" s="41"/>
      <c r="CEM63" s="134"/>
      <c r="CEN63" s="41"/>
      <c r="CEO63" s="41"/>
      <c r="CEP63" s="41"/>
      <c r="CEQ63" s="41"/>
      <c r="CER63" s="41"/>
      <c r="CES63" s="139"/>
      <c r="CET63" s="41"/>
      <c r="CEU63" s="41"/>
      <c r="CEV63" s="41"/>
      <c r="CEW63" s="41"/>
      <c r="CEX63" s="41"/>
      <c r="CEY63" s="76"/>
      <c r="CEZ63" s="41"/>
      <c r="CFA63" s="41"/>
      <c r="CFB63" s="41"/>
      <c r="CFC63" s="41"/>
      <c r="CFD63" s="41"/>
      <c r="CFE63" s="139"/>
      <c r="CFF63" s="41"/>
      <c r="CFG63" s="41"/>
      <c r="CFH63" s="41"/>
      <c r="CFI63" s="41"/>
      <c r="CFJ63" s="41"/>
      <c r="CFK63" s="76"/>
      <c r="CFL63" s="66"/>
      <c r="CFM63" s="66"/>
      <c r="CFN63" s="66"/>
      <c r="CFO63" s="66"/>
      <c r="CFP63" s="41"/>
      <c r="CFQ63" s="139"/>
      <c r="CFR63" s="41"/>
      <c r="CFS63" s="41"/>
      <c r="CFT63" s="41"/>
      <c r="CFU63" s="41"/>
      <c r="CFV63" s="41"/>
      <c r="CFW63" s="76"/>
      <c r="CFX63" s="41"/>
      <c r="CFY63" s="41"/>
      <c r="CFZ63" s="41"/>
      <c r="CGA63" s="41"/>
      <c r="CGB63" s="41"/>
      <c r="CGC63" s="139"/>
      <c r="CGD63" s="41"/>
      <c r="CGE63" s="41"/>
      <c r="CGF63" s="41"/>
      <c r="CGG63" s="41"/>
      <c r="CGH63" s="41"/>
      <c r="CGI63" s="76"/>
      <c r="CGJ63" s="41"/>
      <c r="CGK63" s="41"/>
      <c r="CGL63" s="41"/>
      <c r="CGM63" s="41"/>
      <c r="CGN63" s="41"/>
      <c r="CGO63" s="42"/>
      <c r="CGP63" s="40"/>
      <c r="CGQ63" s="66"/>
      <c r="CGR63" s="66"/>
      <c r="CGS63" s="66"/>
      <c r="CGT63" s="41"/>
      <c r="CGU63" s="134"/>
      <c r="CGV63" s="41"/>
      <c r="CGW63" s="41"/>
      <c r="CGX63" s="41"/>
      <c r="CGY63" s="41"/>
      <c r="CGZ63" s="41"/>
      <c r="CHA63" s="139"/>
      <c r="CHB63" s="41"/>
      <c r="CHC63" s="41"/>
      <c r="CHD63" s="41"/>
      <c r="CHE63" s="41"/>
      <c r="CHF63" s="41"/>
      <c r="CHG63" s="76"/>
      <c r="CHH63" s="41"/>
      <c r="CHI63" s="41"/>
      <c r="CHJ63" s="41"/>
      <c r="CHK63" s="41"/>
      <c r="CHL63" s="41"/>
      <c r="CHM63" s="139"/>
      <c r="CHN63" s="41"/>
      <c r="CHO63" s="41"/>
      <c r="CHP63" s="41"/>
      <c r="CHQ63" s="41"/>
      <c r="CHR63" s="41"/>
      <c r="CHS63" s="76"/>
      <c r="CHT63" s="66"/>
      <c r="CHU63" s="66"/>
      <c r="CHV63" s="66"/>
      <c r="CHW63" s="66"/>
      <c r="CHX63" s="41"/>
      <c r="CHY63" s="139"/>
      <c r="CHZ63" s="41"/>
      <c r="CIA63" s="41"/>
      <c r="CIB63" s="41"/>
      <c r="CIC63" s="41"/>
      <c r="CID63" s="41"/>
      <c r="CIE63" s="76"/>
      <c r="CIF63" s="41"/>
      <c r="CIG63" s="41"/>
      <c r="CIH63" s="41"/>
      <c r="CII63" s="41"/>
      <c r="CIJ63" s="41"/>
      <c r="CIK63" s="139"/>
      <c r="CIL63" s="41"/>
      <c r="CIM63" s="41"/>
      <c r="CIN63" s="41"/>
      <c r="CIO63" s="41"/>
      <c r="CIP63" s="41"/>
      <c r="CIQ63" s="76"/>
      <c r="CIR63" s="41"/>
      <c r="CIS63" s="41"/>
      <c r="CIT63" s="41"/>
      <c r="CIU63" s="41"/>
      <c r="CIV63" s="41"/>
      <c r="CIW63" s="42"/>
      <c r="CIX63" s="40"/>
      <c r="CIY63" s="66"/>
      <c r="CIZ63" s="66"/>
      <c r="CJA63" s="66"/>
      <c r="CJB63" s="41"/>
      <c r="CJC63" s="134"/>
      <c r="CJD63" s="41"/>
      <c r="CJE63" s="41"/>
      <c r="CJF63" s="41"/>
      <c r="CJG63" s="41"/>
      <c r="CJH63" s="41"/>
      <c r="CJI63" s="139"/>
      <c r="CJJ63" s="41"/>
      <c r="CJK63" s="41"/>
      <c r="CJL63" s="41"/>
      <c r="CJM63" s="41"/>
      <c r="CJN63" s="41"/>
      <c r="CJO63" s="76"/>
      <c r="CJP63" s="41"/>
      <c r="CJQ63" s="41"/>
      <c r="CJR63" s="41"/>
      <c r="CJS63" s="41"/>
      <c r="CJT63" s="41"/>
      <c r="CJU63" s="139"/>
      <c r="CJV63" s="41"/>
      <c r="CJW63" s="41"/>
      <c r="CJX63" s="41"/>
      <c r="CJY63" s="41"/>
      <c r="CJZ63" s="41"/>
      <c r="CKA63" s="76"/>
      <c r="CKB63" s="66"/>
      <c r="CKC63" s="66"/>
      <c r="CKD63" s="66"/>
      <c r="CKE63" s="66"/>
      <c r="CKF63" s="41"/>
      <c r="CKG63" s="139"/>
      <c r="CKH63" s="41"/>
      <c r="CKI63" s="41"/>
      <c r="CKJ63" s="41"/>
      <c r="CKK63" s="41"/>
      <c r="CKL63" s="41"/>
      <c r="CKM63" s="76"/>
      <c r="CKN63" s="41"/>
      <c r="CKO63" s="41"/>
      <c r="CKP63" s="41"/>
      <c r="CKQ63" s="41"/>
      <c r="CKR63" s="41"/>
      <c r="CKS63" s="139"/>
      <c r="CKT63" s="41"/>
      <c r="CKU63" s="41"/>
      <c r="CKV63" s="41"/>
      <c r="CKW63" s="41"/>
      <c r="CKX63" s="41"/>
      <c r="CKY63" s="76"/>
      <c r="CKZ63" s="41"/>
      <c r="CLA63" s="41"/>
      <c r="CLB63" s="41"/>
      <c r="CLC63" s="41"/>
      <c r="CLD63" s="41"/>
      <c r="CLE63" s="42"/>
      <c r="CLF63" s="40"/>
      <c r="CLG63" s="66"/>
      <c r="CLH63" s="66"/>
      <c r="CLI63" s="66"/>
      <c r="CLJ63" s="41"/>
      <c r="CLK63" s="134"/>
      <c r="CLL63" s="41"/>
      <c r="CLM63" s="41"/>
      <c r="CLN63" s="41"/>
      <c r="CLO63" s="41"/>
      <c r="CLP63" s="41"/>
      <c r="CLQ63" s="139"/>
      <c r="CLR63" s="41"/>
      <c r="CLS63" s="41"/>
      <c r="CLT63" s="41"/>
      <c r="CLU63" s="41"/>
      <c r="CLV63" s="41"/>
      <c r="CLW63" s="76"/>
      <c r="CLX63" s="41"/>
      <c r="CLY63" s="41"/>
      <c r="CLZ63" s="41"/>
      <c r="CMA63" s="41"/>
      <c r="CMB63" s="41"/>
      <c r="CMC63" s="139"/>
      <c r="CMD63" s="41"/>
      <c r="CME63" s="41"/>
      <c r="CMF63" s="41"/>
      <c r="CMG63" s="41"/>
      <c r="CMH63" s="41"/>
      <c r="CMI63" s="76"/>
      <c r="CMJ63" s="66"/>
      <c r="CMK63" s="66"/>
      <c r="CML63" s="66"/>
      <c r="CMM63" s="66"/>
      <c r="CMN63" s="41"/>
      <c r="CMO63" s="139"/>
      <c r="CMP63" s="41"/>
      <c r="CMQ63" s="41"/>
      <c r="CMR63" s="41"/>
      <c r="CMS63" s="41"/>
      <c r="CMT63" s="41"/>
      <c r="CMU63" s="76"/>
      <c r="CMV63" s="41"/>
      <c r="CMW63" s="41"/>
      <c r="CMX63" s="41"/>
      <c r="CMY63" s="41"/>
      <c r="CMZ63" s="41"/>
      <c r="CNA63" s="139"/>
      <c r="CNB63" s="41"/>
      <c r="CNC63" s="41"/>
      <c r="CND63" s="41"/>
      <c r="CNE63" s="41"/>
      <c r="CNF63" s="41"/>
      <c r="CNG63" s="76"/>
      <c r="CNH63" s="41"/>
      <c r="CNI63" s="41"/>
      <c r="CNJ63" s="41"/>
      <c r="CNK63" s="41"/>
      <c r="CNL63" s="41"/>
      <c r="CNM63" s="42"/>
      <c r="CNN63" s="40"/>
      <c r="CNO63" s="66"/>
      <c r="CNP63" s="66"/>
      <c r="CNQ63" s="66"/>
      <c r="CNR63" s="41"/>
      <c r="CNS63" s="134"/>
      <c r="CNT63" s="41"/>
      <c r="CNU63" s="41"/>
      <c r="CNV63" s="41"/>
      <c r="CNW63" s="41"/>
      <c r="CNX63" s="41"/>
      <c r="CNY63" s="139"/>
      <c r="CNZ63" s="41"/>
      <c r="COA63" s="41"/>
      <c r="COB63" s="41"/>
      <c r="COC63" s="41"/>
      <c r="COD63" s="41"/>
      <c r="COE63" s="76"/>
      <c r="COF63" s="41"/>
      <c r="COG63" s="41"/>
      <c r="COH63" s="41"/>
      <c r="COI63" s="41"/>
      <c r="COJ63" s="41"/>
      <c r="COK63" s="139"/>
      <c r="COL63" s="41"/>
      <c r="COM63" s="41"/>
      <c r="CON63" s="41"/>
      <c r="COO63" s="41"/>
      <c r="COP63" s="41"/>
      <c r="COQ63" s="76"/>
      <c r="COR63" s="66"/>
      <c r="COS63" s="66"/>
      <c r="COT63" s="66"/>
      <c r="COU63" s="66"/>
      <c r="COV63" s="41"/>
      <c r="COW63" s="139"/>
      <c r="COX63" s="41"/>
      <c r="COY63" s="41"/>
      <c r="COZ63" s="41"/>
      <c r="CPA63" s="41"/>
      <c r="CPB63" s="41"/>
      <c r="CPC63" s="76"/>
      <c r="CPD63" s="41"/>
      <c r="CPE63" s="41"/>
      <c r="CPF63" s="41"/>
      <c r="CPG63" s="41"/>
      <c r="CPH63" s="41"/>
      <c r="CPI63" s="139"/>
      <c r="CPJ63" s="41"/>
      <c r="CPK63" s="41"/>
      <c r="CPL63" s="41"/>
      <c r="CPM63" s="41"/>
      <c r="CPN63" s="41"/>
      <c r="CPO63" s="76"/>
      <c r="CPP63" s="41"/>
      <c r="CPQ63" s="41"/>
      <c r="CPR63" s="41"/>
      <c r="CPS63" s="41"/>
      <c r="CPT63" s="41"/>
      <c r="CPU63" s="42"/>
      <c r="CPV63" s="40"/>
      <c r="CPW63" s="66"/>
      <c r="CPX63" s="66"/>
      <c r="CPY63" s="66"/>
      <c r="CPZ63" s="41"/>
      <c r="CQA63" s="134"/>
      <c r="CQB63" s="41"/>
      <c r="CQC63" s="41"/>
      <c r="CQD63" s="41"/>
      <c r="CQE63" s="41"/>
      <c r="CQF63" s="41"/>
      <c r="CQG63" s="139"/>
      <c r="CQH63" s="41"/>
      <c r="CQI63" s="41"/>
      <c r="CQJ63" s="41"/>
      <c r="CQK63" s="41"/>
      <c r="CQL63" s="41"/>
      <c r="CQM63" s="76"/>
      <c r="CQN63" s="41"/>
      <c r="CQO63" s="41"/>
      <c r="CQP63" s="41"/>
      <c r="CQQ63" s="41"/>
      <c r="CQR63" s="41"/>
      <c r="CQS63" s="139"/>
      <c r="CQT63" s="41"/>
      <c r="CQU63" s="41"/>
      <c r="CQV63" s="41"/>
      <c r="CQW63" s="41"/>
      <c r="CQX63" s="41"/>
      <c r="CQY63" s="76"/>
      <c r="CQZ63" s="66"/>
      <c r="CRA63" s="66"/>
      <c r="CRB63" s="66"/>
      <c r="CRC63" s="66"/>
      <c r="CRD63" s="41"/>
      <c r="CRE63" s="139"/>
      <c r="CRF63" s="41"/>
      <c r="CRG63" s="41"/>
      <c r="CRH63" s="41"/>
      <c r="CRI63" s="41"/>
      <c r="CRJ63" s="41"/>
      <c r="CRK63" s="76"/>
      <c r="CRL63" s="41"/>
      <c r="CRM63" s="41"/>
      <c r="CRN63" s="41"/>
      <c r="CRO63" s="41"/>
      <c r="CRP63" s="41"/>
      <c r="CRQ63" s="139"/>
      <c r="CRR63" s="41"/>
      <c r="CRS63" s="41"/>
      <c r="CRT63" s="41"/>
      <c r="CRU63" s="41"/>
      <c r="CRV63" s="41"/>
      <c r="CRW63" s="76"/>
      <c r="CRX63" s="41"/>
      <c r="CRY63" s="41"/>
      <c r="CRZ63" s="41"/>
      <c r="CSA63" s="41"/>
      <c r="CSB63" s="41"/>
      <c r="CSC63" s="42"/>
      <c r="CSD63" s="90"/>
    </row>
    <row r="64" spans="1:2526" ht="20.100000000000001" customHeight="1" x14ac:dyDescent="0.3">
      <c r="A64" s="100" t="s">
        <v>19</v>
      </c>
      <c r="B64" s="63"/>
      <c r="C64" s="213"/>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28"/>
      <c r="BLW64" s="67"/>
      <c r="BLX64" s="67"/>
      <c r="BLY64" s="67"/>
      <c r="BLZ64" s="29"/>
      <c r="BMA64" s="131"/>
      <c r="BMB64" s="29"/>
      <c r="BMC64" s="29"/>
      <c r="BMD64" s="29"/>
      <c r="BME64" s="29"/>
      <c r="BMF64" s="29"/>
      <c r="BMG64" s="136"/>
      <c r="BMH64" s="29"/>
      <c r="BMI64" s="29"/>
      <c r="BMJ64" s="29"/>
      <c r="BMK64" s="29"/>
      <c r="BML64" s="29"/>
      <c r="BMM64" s="73"/>
      <c r="BMN64" s="29"/>
      <c r="BMO64" s="29"/>
      <c r="BMP64" s="29"/>
      <c r="BMQ64" s="29"/>
      <c r="BMR64" s="29"/>
      <c r="BMS64" s="136"/>
      <c r="BMT64" s="29"/>
      <c r="BMU64" s="29"/>
      <c r="BMV64" s="29"/>
      <c r="BMW64" s="29"/>
      <c r="BMX64" s="29"/>
      <c r="BMY64" s="73"/>
      <c r="BMZ64" s="67"/>
      <c r="BNA64" s="67"/>
      <c r="BNB64" s="67"/>
      <c r="BNC64" s="67"/>
      <c r="BND64" s="29"/>
      <c r="BNE64" s="136"/>
      <c r="BNF64" s="29"/>
      <c r="BNG64" s="29"/>
      <c r="BNH64" s="29"/>
      <c r="BNI64" s="29"/>
      <c r="BNJ64" s="29"/>
      <c r="BNK64" s="73"/>
      <c r="BNL64" s="29"/>
      <c r="BNM64" s="29"/>
      <c r="BNN64" s="29"/>
      <c r="BNO64" s="29"/>
      <c r="BNP64" s="29"/>
      <c r="BNQ64" s="136"/>
      <c r="BNR64" s="29"/>
      <c r="BNS64" s="29"/>
      <c r="BNT64" s="29"/>
      <c r="BNU64" s="29"/>
      <c r="BNV64" s="29"/>
      <c r="BNW64" s="73"/>
      <c r="BNX64" s="29"/>
      <c r="BNY64" s="29"/>
      <c r="BNZ64" s="29"/>
      <c r="BOA64" s="29"/>
      <c r="BOB64" s="29"/>
      <c r="BOC64" s="30"/>
      <c r="BOD64" s="28"/>
      <c r="BOE64" s="67"/>
      <c r="BOF64" s="67"/>
      <c r="BOG64" s="67"/>
      <c r="BOH64" s="29"/>
      <c r="BOI64" s="131"/>
      <c r="BOJ64" s="29"/>
      <c r="BOK64" s="29"/>
      <c r="BOL64" s="29"/>
      <c r="BOM64" s="29"/>
      <c r="BON64" s="29"/>
      <c r="BOO64" s="136"/>
      <c r="BOP64" s="29"/>
      <c r="BOQ64" s="29"/>
      <c r="BOR64" s="29"/>
      <c r="BOS64" s="29"/>
      <c r="BOT64" s="29"/>
      <c r="BOU64" s="73"/>
      <c r="BOV64" s="29"/>
      <c r="BOW64" s="29"/>
      <c r="BOX64" s="29"/>
      <c r="BOY64" s="29"/>
      <c r="BOZ64" s="29"/>
      <c r="BPA64" s="136"/>
      <c r="BPB64" s="29"/>
      <c r="BPC64" s="29"/>
      <c r="BPD64" s="29"/>
      <c r="BPE64" s="29"/>
      <c r="BPF64" s="29"/>
      <c r="BPG64" s="73"/>
      <c r="BPH64" s="67"/>
      <c r="BPI64" s="67"/>
      <c r="BPJ64" s="67"/>
      <c r="BPK64" s="67"/>
      <c r="BPL64" s="29"/>
      <c r="BPM64" s="136"/>
      <c r="BPN64" s="29"/>
      <c r="BPO64" s="29"/>
      <c r="BPP64" s="29"/>
      <c r="BPQ64" s="29"/>
      <c r="BPR64" s="29"/>
      <c r="BPS64" s="73"/>
      <c r="BPT64" s="29"/>
      <c r="BPU64" s="29"/>
      <c r="BPV64" s="29"/>
      <c r="BPW64" s="29"/>
      <c r="BPX64" s="29"/>
      <c r="BPY64" s="136"/>
      <c r="BPZ64" s="29"/>
      <c r="BQA64" s="29"/>
      <c r="BQB64" s="29"/>
      <c r="BQC64" s="29"/>
      <c r="BQD64" s="29"/>
      <c r="BQE64" s="73"/>
      <c r="BQF64" s="29"/>
      <c r="BQG64" s="29"/>
      <c r="BQH64" s="29"/>
      <c r="BQI64" s="29"/>
      <c r="BQJ64" s="29"/>
      <c r="BQK64" s="30"/>
      <c r="BQL64" s="28"/>
      <c r="BQM64" s="67"/>
      <c r="BQN64" s="67"/>
      <c r="BQO64" s="67"/>
      <c r="BQP64" s="29"/>
      <c r="BQQ64" s="131"/>
      <c r="BQR64" s="29"/>
      <c r="BQS64" s="29"/>
      <c r="BQT64" s="29"/>
      <c r="BQU64" s="29"/>
      <c r="BQV64" s="29"/>
      <c r="BQW64" s="136"/>
      <c r="BQX64" s="29"/>
      <c r="BQY64" s="29"/>
      <c r="BQZ64" s="29"/>
      <c r="BRA64" s="29"/>
      <c r="BRB64" s="29"/>
      <c r="BRC64" s="73"/>
      <c r="BRD64" s="29"/>
      <c r="BRE64" s="29"/>
      <c r="BRF64" s="29"/>
      <c r="BRG64" s="29"/>
      <c r="BRH64" s="29"/>
      <c r="BRI64" s="136"/>
      <c r="BRJ64" s="29"/>
      <c r="BRK64" s="29"/>
      <c r="BRL64" s="29"/>
      <c r="BRM64" s="29"/>
      <c r="BRN64" s="29"/>
      <c r="BRO64" s="73"/>
      <c r="BRP64" s="67"/>
      <c r="BRQ64" s="67"/>
      <c r="BRR64" s="67"/>
      <c r="BRS64" s="67"/>
      <c r="BRT64" s="29"/>
      <c r="BRU64" s="136"/>
      <c r="BRV64" s="29"/>
      <c r="BRW64" s="29"/>
      <c r="BRX64" s="29"/>
      <c r="BRY64" s="29"/>
      <c r="BRZ64" s="29"/>
      <c r="BSA64" s="73"/>
      <c r="BSB64" s="29"/>
      <c r="BSC64" s="29"/>
      <c r="BSD64" s="29"/>
      <c r="BSE64" s="29"/>
      <c r="BSF64" s="29"/>
      <c r="BSG64" s="136"/>
      <c r="BSH64" s="29"/>
      <c r="BSI64" s="29"/>
      <c r="BSJ64" s="29"/>
      <c r="BSK64" s="29"/>
      <c r="BSL64" s="29"/>
      <c r="BSM64" s="73"/>
      <c r="BSN64" s="29"/>
      <c r="BSO64" s="29"/>
      <c r="BSP64" s="29"/>
      <c r="BSQ64" s="29"/>
      <c r="BSR64" s="29"/>
      <c r="BSS64" s="30"/>
      <c r="BST64" s="28"/>
      <c r="BSU64" s="67"/>
      <c r="BSV64" s="67"/>
      <c r="BSW64" s="67"/>
      <c r="BSX64" s="29"/>
      <c r="BSY64" s="131"/>
      <c r="BSZ64" s="29"/>
      <c r="BTA64" s="29"/>
      <c r="BTB64" s="29"/>
      <c r="BTC64" s="29"/>
      <c r="BTD64" s="29"/>
      <c r="BTE64" s="136"/>
      <c r="BTF64" s="29"/>
      <c r="BTG64" s="29"/>
      <c r="BTH64" s="29"/>
      <c r="BTI64" s="29"/>
      <c r="BTJ64" s="29"/>
      <c r="BTK64" s="73"/>
      <c r="BTL64" s="29"/>
      <c r="BTM64" s="29"/>
      <c r="BTN64" s="29"/>
      <c r="BTO64" s="29"/>
      <c r="BTP64" s="29"/>
      <c r="BTQ64" s="136"/>
      <c r="BTR64" s="29"/>
      <c r="BTS64" s="29"/>
      <c r="BTT64" s="29"/>
      <c r="BTU64" s="29"/>
      <c r="BTV64" s="29"/>
      <c r="BTW64" s="73"/>
      <c r="BTX64" s="67"/>
      <c r="BTY64" s="67"/>
      <c r="BTZ64" s="67"/>
      <c r="BUA64" s="67"/>
      <c r="BUB64" s="29"/>
      <c r="BUC64" s="136"/>
      <c r="BUD64" s="29"/>
      <c r="BUE64" s="29"/>
      <c r="BUF64" s="29"/>
      <c r="BUG64" s="29"/>
      <c r="BUH64" s="29"/>
      <c r="BUI64" s="73"/>
      <c r="BUJ64" s="29"/>
      <c r="BUK64" s="29"/>
      <c r="BUL64" s="29"/>
      <c r="BUM64" s="29"/>
      <c r="BUN64" s="29"/>
      <c r="BUO64" s="136"/>
      <c r="BUP64" s="29"/>
      <c r="BUQ64" s="29"/>
      <c r="BUR64" s="29"/>
      <c r="BUS64" s="29"/>
      <c r="BUT64" s="29"/>
      <c r="BUU64" s="73"/>
      <c r="BUV64" s="29"/>
      <c r="BUW64" s="29"/>
      <c r="BUX64" s="29"/>
      <c r="BUY64" s="29"/>
      <c r="BUZ64" s="29"/>
      <c r="BVA64" s="30"/>
      <c r="BVB64" s="28"/>
      <c r="BVC64" s="67"/>
      <c r="BVD64" s="67"/>
      <c r="BVE64" s="67"/>
      <c r="BVF64" s="29"/>
      <c r="BVG64" s="131"/>
      <c r="BVH64" s="29"/>
      <c r="BVI64" s="29"/>
      <c r="BVJ64" s="29"/>
      <c r="BVK64" s="29"/>
      <c r="BVL64" s="29"/>
      <c r="BVM64" s="136"/>
      <c r="BVN64" s="29"/>
      <c r="BVO64" s="29"/>
      <c r="BVP64" s="29"/>
      <c r="BVQ64" s="29"/>
      <c r="BVR64" s="29"/>
      <c r="BVS64" s="73"/>
      <c r="BVT64" s="29"/>
      <c r="BVU64" s="29"/>
      <c r="BVV64" s="29"/>
      <c r="BVW64" s="29"/>
      <c r="BVX64" s="29"/>
      <c r="BVY64" s="136"/>
      <c r="BVZ64" s="29"/>
      <c r="BWA64" s="29"/>
      <c r="BWB64" s="29"/>
      <c r="BWC64" s="29"/>
      <c r="BWD64" s="29"/>
      <c r="BWE64" s="73"/>
      <c r="BWF64" s="67"/>
      <c r="BWG64" s="67"/>
      <c r="BWH64" s="67"/>
      <c r="BWI64" s="67"/>
      <c r="BWJ64" s="29"/>
      <c r="BWK64" s="136"/>
      <c r="BWL64" s="29"/>
      <c r="BWM64" s="29"/>
      <c r="BWN64" s="29"/>
      <c r="BWO64" s="29"/>
      <c r="BWP64" s="29"/>
      <c r="BWQ64" s="73"/>
      <c r="BWR64" s="29"/>
      <c r="BWS64" s="29"/>
      <c r="BWT64" s="29"/>
      <c r="BWU64" s="29"/>
      <c r="BWV64" s="29"/>
      <c r="BWW64" s="136"/>
      <c r="BWX64" s="29"/>
      <c r="BWY64" s="29"/>
      <c r="BWZ64" s="29"/>
      <c r="BXA64" s="29"/>
      <c r="BXB64" s="29"/>
      <c r="BXC64" s="73"/>
      <c r="BXD64" s="29"/>
      <c r="BXE64" s="29"/>
      <c r="BXF64" s="29"/>
      <c r="BXG64" s="29"/>
      <c r="BXH64" s="29"/>
      <c r="BXI64" s="30"/>
      <c r="BXJ64" s="28"/>
      <c r="BXK64" s="67"/>
      <c r="BXL64" s="67"/>
      <c r="BXM64" s="67"/>
      <c r="BXN64" s="29"/>
      <c r="BXO64" s="131"/>
      <c r="BXP64" s="29"/>
      <c r="BXQ64" s="29"/>
      <c r="BXR64" s="29"/>
      <c r="BXS64" s="29"/>
      <c r="BXT64" s="29"/>
      <c r="BXU64" s="136"/>
      <c r="BXV64" s="29"/>
      <c r="BXW64" s="29"/>
      <c r="BXX64" s="29"/>
      <c r="BXY64" s="29"/>
      <c r="BXZ64" s="29"/>
      <c r="BYA64" s="73"/>
      <c r="BYB64" s="29"/>
      <c r="BYC64" s="29"/>
      <c r="BYD64" s="29"/>
      <c r="BYE64" s="29"/>
      <c r="BYF64" s="29"/>
      <c r="BYG64" s="136"/>
      <c r="BYH64" s="29"/>
      <c r="BYI64" s="29"/>
      <c r="BYJ64" s="29"/>
      <c r="BYK64" s="29"/>
      <c r="BYL64" s="29"/>
      <c r="BYM64" s="73"/>
      <c r="BYN64" s="67"/>
      <c r="BYO64" s="67"/>
      <c r="BYP64" s="67"/>
      <c r="BYQ64" s="67"/>
      <c r="BYR64" s="29"/>
      <c r="BYS64" s="136"/>
      <c r="BYT64" s="29"/>
      <c r="BYU64" s="29"/>
      <c r="BYV64" s="29"/>
      <c r="BYW64" s="29"/>
      <c r="BYX64" s="29"/>
      <c r="BYY64" s="73"/>
      <c r="BYZ64" s="29"/>
      <c r="BZA64" s="29"/>
      <c r="BZB64" s="29"/>
      <c r="BZC64" s="29"/>
      <c r="BZD64" s="29"/>
      <c r="BZE64" s="136"/>
      <c r="BZF64" s="29"/>
      <c r="BZG64" s="29"/>
      <c r="BZH64" s="29"/>
      <c r="BZI64" s="29"/>
      <c r="BZJ64" s="29"/>
      <c r="BZK64" s="73"/>
      <c r="BZL64" s="29"/>
      <c r="BZM64" s="29"/>
      <c r="BZN64" s="29"/>
      <c r="BZO64" s="29"/>
      <c r="BZP64" s="29"/>
      <c r="BZQ64" s="30"/>
      <c r="BZR64" s="28"/>
      <c r="BZS64" s="67"/>
      <c r="BZT64" s="67"/>
      <c r="BZU64" s="67"/>
      <c r="BZV64" s="29"/>
      <c r="BZW64" s="131"/>
      <c r="BZX64" s="29"/>
      <c r="BZY64" s="29"/>
      <c r="BZZ64" s="29"/>
      <c r="CAA64" s="29"/>
      <c r="CAB64" s="29"/>
      <c r="CAC64" s="136"/>
      <c r="CAD64" s="29"/>
      <c r="CAE64" s="29"/>
      <c r="CAF64" s="29"/>
      <c r="CAG64" s="29"/>
      <c r="CAH64" s="29"/>
      <c r="CAI64" s="73"/>
      <c r="CAJ64" s="29"/>
      <c r="CAK64" s="29"/>
      <c r="CAL64" s="29"/>
      <c r="CAM64" s="29"/>
      <c r="CAN64" s="29"/>
      <c r="CAO64" s="136"/>
      <c r="CAP64" s="29"/>
      <c r="CAQ64" s="29"/>
      <c r="CAR64" s="29"/>
      <c r="CAS64" s="29"/>
      <c r="CAT64" s="29"/>
      <c r="CAU64" s="73"/>
      <c r="CAV64" s="67"/>
      <c r="CAW64" s="67"/>
      <c r="CAX64" s="67"/>
      <c r="CAY64" s="67"/>
      <c r="CAZ64" s="29"/>
      <c r="CBA64" s="136"/>
      <c r="CBB64" s="29"/>
      <c r="CBC64" s="29"/>
      <c r="CBD64" s="29"/>
      <c r="CBE64" s="29"/>
      <c r="CBF64" s="29"/>
      <c r="CBG64" s="73"/>
      <c r="CBH64" s="29"/>
      <c r="CBI64" s="29"/>
      <c r="CBJ64" s="29"/>
      <c r="CBK64" s="29"/>
      <c r="CBL64" s="29"/>
      <c r="CBM64" s="136"/>
      <c r="CBN64" s="29"/>
      <c r="CBO64" s="29"/>
      <c r="CBP64" s="29"/>
      <c r="CBQ64" s="29"/>
      <c r="CBR64" s="29"/>
      <c r="CBS64" s="73"/>
      <c r="CBT64" s="29"/>
      <c r="CBU64" s="29"/>
      <c r="CBV64" s="29"/>
      <c r="CBW64" s="29"/>
      <c r="CBX64" s="29"/>
      <c r="CBY64" s="30"/>
      <c r="CBZ64" s="28"/>
      <c r="CCA64" s="67"/>
      <c r="CCB64" s="67"/>
      <c r="CCC64" s="67"/>
      <c r="CCD64" s="29"/>
      <c r="CCE64" s="131"/>
      <c r="CCF64" s="29"/>
      <c r="CCG64" s="29"/>
      <c r="CCH64" s="29"/>
      <c r="CCI64" s="29"/>
      <c r="CCJ64" s="29"/>
      <c r="CCK64" s="136"/>
      <c r="CCL64" s="29"/>
      <c r="CCM64" s="29"/>
      <c r="CCN64" s="29"/>
      <c r="CCO64" s="29"/>
      <c r="CCP64" s="29"/>
      <c r="CCQ64" s="73"/>
      <c r="CCR64" s="29"/>
      <c r="CCS64" s="29"/>
      <c r="CCT64" s="29"/>
      <c r="CCU64" s="29"/>
      <c r="CCV64" s="29"/>
      <c r="CCW64" s="136"/>
      <c r="CCX64" s="29"/>
      <c r="CCY64" s="29"/>
      <c r="CCZ64" s="29"/>
      <c r="CDA64" s="29"/>
      <c r="CDB64" s="29"/>
      <c r="CDC64" s="73"/>
      <c r="CDD64" s="67"/>
      <c r="CDE64" s="67"/>
      <c r="CDF64" s="67"/>
      <c r="CDG64" s="67"/>
      <c r="CDH64" s="29"/>
      <c r="CDI64" s="136"/>
      <c r="CDJ64" s="29"/>
      <c r="CDK64" s="29"/>
      <c r="CDL64" s="29"/>
      <c r="CDM64" s="29"/>
      <c r="CDN64" s="29"/>
      <c r="CDO64" s="73"/>
      <c r="CDP64" s="29"/>
      <c r="CDQ64" s="29"/>
      <c r="CDR64" s="29"/>
      <c r="CDS64" s="29"/>
      <c r="CDT64" s="29"/>
      <c r="CDU64" s="136"/>
      <c r="CDV64" s="29"/>
      <c r="CDW64" s="29"/>
      <c r="CDX64" s="29"/>
      <c r="CDY64" s="29"/>
      <c r="CDZ64" s="29"/>
      <c r="CEA64" s="73"/>
      <c r="CEB64" s="29"/>
      <c r="CEC64" s="29"/>
      <c r="CED64" s="29"/>
      <c r="CEE64" s="29"/>
      <c r="CEF64" s="29"/>
      <c r="CEG64" s="30"/>
      <c r="CEH64" s="28"/>
      <c r="CEI64" s="67"/>
      <c r="CEJ64" s="67"/>
      <c r="CEK64" s="67"/>
      <c r="CEL64" s="29"/>
      <c r="CEM64" s="131"/>
      <c r="CEN64" s="29"/>
      <c r="CEO64" s="29"/>
      <c r="CEP64" s="29"/>
      <c r="CEQ64" s="29"/>
      <c r="CER64" s="29"/>
      <c r="CES64" s="136"/>
      <c r="CET64" s="29"/>
      <c r="CEU64" s="29"/>
      <c r="CEV64" s="29"/>
      <c r="CEW64" s="29"/>
      <c r="CEX64" s="29"/>
      <c r="CEY64" s="73"/>
      <c r="CEZ64" s="29"/>
      <c r="CFA64" s="29"/>
      <c r="CFB64" s="29"/>
      <c r="CFC64" s="29"/>
      <c r="CFD64" s="29"/>
      <c r="CFE64" s="136"/>
      <c r="CFF64" s="29"/>
      <c r="CFG64" s="29"/>
      <c r="CFH64" s="29"/>
      <c r="CFI64" s="29"/>
      <c r="CFJ64" s="29"/>
      <c r="CFK64" s="73"/>
      <c r="CFL64" s="67"/>
      <c r="CFM64" s="67"/>
      <c r="CFN64" s="67"/>
      <c r="CFO64" s="67"/>
      <c r="CFP64" s="29"/>
      <c r="CFQ64" s="136"/>
      <c r="CFR64" s="29"/>
      <c r="CFS64" s="29"/>
      <c r="CFT64" s="29"/>
      <c r="CFU64" s="29"/>
      <c r="CFV64" s="29"/>
      <c r="CFW64" s="73"/>
      <c r="CFX64" s="29"/>
      <c r="CFY64" s="29"/>
      <c r="CFZ64" s="29"/>
      <c r="CGA64" s="29"/>
      <c r="CGB64" s="29"/>
      <c r="CGC64" s="136"/>
      <c r="CGD64" s="29"/>
      <c r="CGE64" s="29"/>
      <c r="CGF64" s="29"/>
      <c r="CGG64" s="29"/>
      <c r="CGH64" s="29"/>
      <c r="CGI64" s="73"/>
      <c r="CGJ64" s="29"/>
      <c r="CGK64" s="29"/>
      <c r="CGL64" s="29"/>
      <c r="CGM64" s="29"/>
      <c r="CGN64" s="29"/>
      <c r="CGO64" s="30"/>
      <c r="CGP64" s="28"/>
      <c r="CGQ64" s="67"/>
      <c r="CGR64" s="67"/>
      <c r="CGS64" s="67"/>
      <c r="CGT64" s="29"/>
      <c r="CGU64" s="131"/>
      <c r="CGV64" s="29"/>
      <c r="CGW64" s="29"/>
      <c r="CGX64" s="29"/>
      <c r="CGY64" s="29"/>
      <c r="CGZ64" s="29"/>
      <c r="CHA64" s="136"/>
      <c r="CHB64" s="29"/>
      <c r="CHC64" s="29"/>
      <c r="CHD64" s="29"/>
      <c r="CHE64" s="29"/>
      <c r="CHF64" s="29"/>
      <c r="CHG64" s="73"/>
      <c r="CHH64" s="29"/>
      <c r="CHI64" s="29"/>
      <c r="CHJ64" s="29"/>
      <c r="CHK64" s="29"/>
      <c r="CHL64" s="29"/>
      <c r="CHM64" s="136"/>
      <c r="CHN64" s="29"/>
      <c r="CHO64" s="29"/>
      <c r="CHP64" s="29"/>
      <c r="CHQ64" s="29"/>
      <c r="CHR64" s="29"/>
      <c r="CHS64" s="73"/>
      <c r="CHT64" s="67"/>
      <c r="CHU64" s="67"/>
      <c r="CHV64" s="67"/>
      <c r="CHW64" s="67"/>
      <c r="CHX64" s="29"/>
      <c r="CHY64" s="136"/>
      <c r="CHZ64" s="29"/>
      <c r="CIA64" s="29"/>
      <c r="CIB64" s="29"/>
      <c r="CIC64" s="29"/>
      <c r="CID64" s="29"/>
      <c r="CIE64" s="73"/>
      <c r="CIF64" s="29"/>
      <c r="CIG64" s="29"/>
      <c r="CIH64" s="29"/>
      <c r="CII64" s="29"/>
      <c r="CIJ64" s="29"/>
      <c r="CIK64" s="136"/>
      <c r="CIL64" s="29"/>
      <c r="CIM64" s="29"/>
      <c r="CIN64" s="29"/>
      <c r="CIO64" s="29"/>
      <c r="CIP64" s="29"/>
      <c r="CIQ64" s="73"/>
      <c r="CIR64" s="29"/>
      <c r="CIS64" s="29"/>
      <c r="CIT64" s="29"/>
      <c r="CIU64" s="29"/>
      <c r="CIV64" s="29"/>
      <c r="CIW64" s="30"/>
      <c r="CIX64" s="28"/>
      <c r="CIY64" s="67"/>
      <c r="CIZ64" s="67"/>
      <c r="CJA64" s="67"/>
      <c r="CJB64" s="29"/>
      <c r="CJC64" s="131"/>
      <c r="CJD64" s="29"/>
      <c r="CJE64" s="29"/>
      <c r="CJF64" s="29"/>
      <c r="CJG64" s="29"/>
      <c r="CJH64" s="29"/>
      <c r="CJI64" s="136"/>
      <c r="CJJ64" s="29"/>
      <c r="CJK64" s="29"/>
      <c r="CJL64" s="29"/>
      <c r="CJM64" s="29"/>
      <c r="CJN64" s="29"/>
      <c r="CJO64" s="73"/>
      <c r="CJP64" s="29"/>
      <c r="CJQ64" s="29"/>
      <c r="CJR64" s="29"/>
      <c r="CJS64" s="29"/>
      <c r="CJT64" s="29"/>
      <c r="CJU64" s="136"/>
      <c r="CJV64" s="29"/>
      <c r="CJW64" s="29"/>
      <c r="CJX64" s="29"/>
      <c r="CJY64" s="29"/>
      <c r="CJZ64" s="29"/>
      <c r="CKA64" s="73"/>
      <c r="CKB64" s="67"/>
      <c r="CKC64" s="67"/>
      <c r="CKD64" s="67"/>
      <c r="CKE64" s="67"/>
      <c r="CKF64" s="29"/>
      <c r="CKG64" s="136"/>
      <c r="CKH64" s="29"/>
      <c r="CKI64" s="29"/>
      <c r="CKJ64" s="29"/>
      <c r="CKK64" s="29"/>
      <c r="CKL64" s="29"/>
      <c r="CKM64" s="73"/>
      <c r="CKN64" s="29"/>
      <c r="CKO64" s="29"/>
      <c r="CKP64" s="29"/>
      <c r="CKQ64" s="29"/>
      <c r="CKR64" s="29"/>
      <c r="CKS64" s="136"/>
      <c r="CKT64" s="29"/>
      <c r="CKU64" s="29"/>
      <c r="CKV64" s="29"/>
      <c r="CKW64" s="29"/>
      <c r="CKX64" s="29"/>
      <c r="CKY64" s="73"/>
      <c r="CKZ64" s="29"/>
      <c r="CLA64" s="29"/>
      <c r="CLB64" s="29"/>
      <c r="CLC64" s="29"/>
      <c r="CLD64" s="29"/>
      <c r="CLE64" s="30"/>
      <c r="CLF64" s="28"/>
      <c r="CLG64" s="67"/>
      <c r="CLH64" s="67"/>
      <c r="CLI64" s="67"/>
      <c r="CLJ64" s="29"/>
      <c r="CLK64" s="131"/>
      <c r="CLL64" s="29"/>
      <c r="CLM64" s="29"/>
      <c r="CLN64" s="29"/>
      <c r="CLO64" s="29"/>
      <c r="CLP64" s="29"/>
      <c r="CLQ64" s="136"/>
      <c r="CLR64" s="29"/>
      <c r="CLS64" s="29"/>
      <c r="CLT64" s="29"/>
      <c r="CLU64" s="29"/>
      <c r="CLV64" s="29"/>
      <c r="CLW64" s="73"/>
      <c r="CLX64" s="29"/>
      <c r="CLY64" s="29"/>
      <c r="CLZ64" s="29"/>
      <c r="CMA64" s="29"/>
      <c r="CMB64" s="29"/>
      <c r="CMC64" s="136"/>
      <c r="CMD64" s="29"/>
      <c r="CME64" s="29"/>
      <c r="CMF64" s="29"/>
      <c r="CMG64" s="29"/>
      <c r="CMH64" s="29"/>
      <c r="CMI64" s="73"/>
      <c r="CMJ64" s="67"/>
      <c r="CMK64" s="67"/>
      <c r="CML64" s="67"/>
      <c r="CMM64" s="67"/>
      <c r="CMN64" s="29"/>
      <c r="CMO64" s="136"/>
      <c r="CMP64" s="29"/>
      <c r="CMQ64" s="29"/>
      <c r="CMR64" s="29"/>
      <c r="CMS64" s="29"/>
      <c r="CMT64" s="29"/>
      <c r="CMU64" s="73"/>
      <c r="CMV64" s="29"/>
      <c r="CMW64" s="29"/>
      <c r="CMX64" s="29"/>
      <c r="CMY64" s="29"/>
      <c r="CMZ64" s="29"/>
      <c r="CNA64" s="136"/>
      <c r="CNB64" s="29"/>
      <c r="CNC64" s="29"/>
      <c r="CND64" s="29"/>
      <c r="CNE64" s="29"/>
      <c r="CNF64" s="29"/>
      <c r="CNG64" s="73"/>
      <c r="CNH64" s="29"/>
      <c r="CNI64" s="29"/>
      <c r="CNJ64" s="29"/>
      <c r="CNK64" s="29"/>
      <c r="CNL64" s="29"/>
      <c r="CNM64" s="30"/>
      <c r="CNN64" s="28"/>
      <c r="CNO64" s="67"/>
      <c r="CNP64" s="67"/>
      <c r="CNQ64" s="67"/>
      <c r="CNR64" s="29"/>
      <c r="CNS64" s="131"/>
      <c r="CNT64" s="29"/>
      <c r="CNU64" s="29"/>
      <c r="CNV64" s="29"/>
      <c r="CNW64" s="29"/>
      <c r="CNX64" s="29"/>
      <c r="CNY64" s="136"/>
      <c r="CNZ64" s="29"/>
      <c r="COA64" s="29"/>
      <c r="COB64" s="29"/>
      <c r="COC64" s="29"/>
      <c r="COD64" s="29"/>
      <c r="COE64" s="73"/>
      <c r="COF64" s="29"/>
      <c r="COG64" s="29"/>
      <c r="COH64" s="29"/>
      <c r="COI64" s="29"/>
      <c r="COJ64" s="29"/>
      <c r="COK64" s="136"/>
      <c r="COL64" s="29"/>
      <c r="COM64" s="29"/>
      <c r="CON64" s="29"/>
      <c r="COO64" s="29"/>
      <c r="COP64" s="29"/>
      <c r="COQ64" s="73"/>
      <c r="COR64" s="67"/>
      <c r="COS64" s="67"/>
      <c r="COT64" s="67"/>
      <c r="COU64" s="67"/>
      <c r="COV64" s="29"/>
      <c r="COW64" s="136"/>
      <c r="COX64" s="29"/>
      <c r="COY64" s="29"/>
      <c r="COZ64" s="29"/>
      <c r="CPA64" s="29"/>
      <c r="CPB64" s="29"/>
      <c r="CPC64" s="73"/>
      <c r="CPD64" s="29"/>
      <c r="CPE64" s="29"/>
      <c r="CPF64" s="29"/>
      <c r="CPG64" s="29"/>
      <c r="CPH64" s="29"/>
      <c r="CPI64" s="136"/>
      <c r="CPJ64" s="29"/>
      <c r="CPK64" s="29"/>
      <c r="CPL64" s="29"/>
      <c r="CPM64" s="29"/>
      <c r="CPN64" s="29"/>
      <c r="CPO64" s="73"/>
      <c r="CPP64" s="29"/>
      <c r="CPQ64" s="29"/>
      <c r="CPR64" s="29"/>
      <c r="CPS64" s="29"/>
      <c r="CPT64" s="29"/>
      <c r="CPU64" s="30"/>
      <c r="CPV64" s="28"/>
      <c r="CPW64" s="67"/>
      <c r="CPX64" s="67"/>
      <c r="CPY64" s="67"/>
      <c r="CPZ64" s="29"/>
      <c r="CQA64" s="131"/>
      <c r="CQB64" s="29"/>
      <c r="CQC64" s="29"/>
      <c r="CQD64" s="29"/>
      <c r="CQE64" s="29"/>
      <c r="CQF64" s="29"/>
      <c r="CQG64" s="136"/>
      <c r="CQH64" s="29"/>
      <c r="CQI64" s="29"/>
      <c r="CQJ64" s="29"/>
      <c r="CQK64" s="29"/>
      <c r="CQL64" s="29"/>
      <c r="CQM64" s="73"/>
      <c r="CQN64" s="29"/>
      <c r="CQO64" s="29"/>
      <c r="CQP64" s="29"/>
      <c r="CQQ64" s="29"/>
      <c r="CQR64" s="29"/>
      <c r="CQS64" s="136"/>
      <c r="CQT64" s="29"/>
      <c r="CQU64" s="29"/>
      <c r="CQV64" s="29"/>
      <c r="CQW64" s="29"/>
      <c r="CQX64" s="29"/>
      <c r="CQY64" s="73"/>
      <c r="CQZ64" s="67"/>
      <c r="CRA64" s="67"/>
      <c r="CRB64" s="67"/>
      <c r="CRC64" s="67"/>
      <c r="CRD64" s="29"/>
      <c r="CRE64" s="136"/>
      <c r="CRF64" s="29"/>
      <c r="CRG64" s="29"/>
      <c r="CRH64" s="29"/>
      <c r="CRI64" s="29"/>
      <c r="CRJ64" s="29"/>
      <c r="CRK64" s="73"/>
      <c r="CRL64" s="29"/>
      <c r="CRM64" s="29"/>
      <c r="CRN64" s="29"/>
      <c r="CRO64" s="29"/>
      <c r="CRP64" s="29"/>
      <c r="CRQ64" s="136"/>
      <c r="CRR64" s="29"/>
      <c r="CRS64" s="29"/>
      <c r="CRT64" s="29"/>
      <c r="CRU64" s="29"/>
      <c r="CRV64" s="29"/>
      <c r="CRW64" s="73"/>
      <c r="CRX64" s="29"/>
      <c r="CRY64" s="29"/>
      <c r="CRZ64" s="29"/>
      <c r="CSA64" s="29"/>
      <c r="CSB64" s="29"/>
      <c r="CSC64" s="30"/>
      <c r="CSD64" s="90"/>
    </row>
    <row r="65" spans="1:2526" ht="20.100000000000001" customHeight="1" x14ac:dyDescent="0.25">
      <c r="A65" s="100" t="s">
        <v>18</v>
      </c>
      <c r="B65" s="63"/>
      <c r="C65" s="211"/>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32"/>
      <c r="BLW65" s="64"/>
      <c r="BLX65" s="64"/>
      <c r="BLY65" s="64"/>
      <c r="BLZ65" s="33"/>
      <c r="BMA65" s="132"/>
      <c r="BMB65" s="33"/>
      <c r="BMC65" s="33"/>
      <c r="BMD65" s="33"/>
      <c r="BME65" s="33"/>
      <c r="BMF65" s="33"/>
      <c r="BMG65" s="137"/>
      <c r="BMH65" s="33"/>
      <c r="BMI65" s="33"/>
      <c r="BMJ65" s="33"/>
      <c r="BMK65" s="33"/>
      <c r="BML65" s="33"/>
      <c r="BMM65" s="74"/>
      <c r="BMN65" s="33"/>
      <c r="BMO65" s="33"/>
      <c r="BMP65" s="33"/>
      <c r="BMQ65" s="33"/>
      <c r="BMR65" s="33"/>
      <c r="BMS65" s="137"/>
      <c r="BMT65" s="33"/>
      <c r="BMU65" s="33"/>
      <c r="BMV65" s="33"/>
      <c r="BMW65" s="33"/>
      <c r="BMX65" s="33"/>
      <c r="BMY65" s="74"/>
      <c r="BMZ65" s="64"/>
      <c r="BNA65" s="64"/>
      <c r="BNB65" s="64"/>
      <c r="BNC65" s="64"/>
      <c r="BND65" s="33"/>
      <c r="BNE65" s="137"/>
      <c r="BNF65" s="33"/>
      <c r="BNG65" s="33"/>
      <c r="BNH65" s="33"/>
      <c r="BNI65" s="33"/>
      <c r="BNJ65" s="33"/>
      <c r="BNK65" s="74"/>
      <c r="BNL65" s="33"/>
      <c r="BNM65" s="33"/>
      <c r="BNN65" s="33"/>
      <c r="BNO65" s="33"/>
      <c r="BNP65" s="33"/>
      <c r="BNQ65" s="137"/>
      <c r="BNR65" s="33"/>
      <c r="BNS65" s="33"/>
      <c r="BNT65" s="33"/>
      <c r="BNU65" s="33"/>
      <c r="BNV65" s="33"/>
      <c r="BNW65" s="74"/>
      <c r="BNX65" s="33"/>
      <c r="BNY65" s="33"/>
      <c r="BNZ65" s="33"/>
      <c r="BOA65" s="33"/>
      <c r="BOB65" s="33"/>
      <c r="BOC65" s="34"/>
      <c r="BOD65" s="32"/>
      <c r="BOE65" s="64"/>
      <c r="BOF65" s="64"/>
      <c r="BOG65" s="64"/>
      <c r="BOH65" s="33"/>
      <c r="BOI65" s="132"/>
      <c r="BOJ65" s="33"/>
      <c r="BOK65" s="33"/>
      <c r="BOL65" s="33"/>
      <c r="BOM65" s="33"/>
      <c r="BON65" s="33"/>
      <c r="BOO65" s="137"/>
      <c r="BOP65" s="33"/>
      <c r="BOQ65" s="33"/>
      <c r="BOR65" s="33"/>
      <c r="BOS65" s="33"/>
      <c r="BOT65" s="33"/>
      <c r="BOU65" s="74"/>
      <c r="BOV65" s="33"/>
      <c r="BOW65" s="33"/>
      <c r="BOX65" s="33"/>
      <c r="BOY65" s="33"/>
      <c r="BOZ65" s="33"/>
      <c r="BPA65" s="137"/>
      <c r="BPB65" s="33"/>
      <c r="BPC65" s="33"/>
      <c r="BPD65" s="33"/>
      <c r="BPE65" s="33"/>
      <c r="BPF65" s="33"/>
      <c r="BPG65" s="74"/>
      <c r="BPH65" s="64"/>
      <c r="BPI65" s="64"/>
      <c r="BPJ65" s="64"/>
      <c r="BPK65" s="64"/>
      <c r="BPL65" s="33"/>
      <c r="BPM65" s="137"/>
      <c r="BPN65" s="33"/>
      <c r="BPO65" s="33"/>
      <c r="BPP65" s="33"/>
      <c r="BPQ65" s="33"/>
      <c r="BPR65" s="33"/>
      <c r="BPS65" s="74"/>
      <c r="BPT65" s="33"/>
      <c r="BPU65" s="33"/>
      <c r="BPV65" s="33"/>
      <c r="BPW65" s="33"/>
      <c r="BPX65" s="33"/>
      <c r="BPY65" s="137"/>
      <c r="BPZ65" s="33"/>
      <c r="BQA65" s="33"/>
      <c r="BQB65" s="33"/>
      <c r="BQC65" s="33"/>
      <c r="BQD65" s="33"/>
      <c r="BQE65" s="74"/>
      <c r="BQF65" s="33"/>
      <c r="BQG65" s="33"/>
      <c r="BQH65" s="33"/>
      <c r="BQI65" s="33"/>
      <c r="BQJ65" s="33"/>
      <c r="BQK65" s="34"/>
      <c r="BQL65" s="32"/>
      <c r="BQM65" s="64"/>
      <c r="BQN65" s="64"/>
      <c r="BQO65" s="64"/>
      <c r="BQP65" s="33"/>
      <c r="BQQ65" s="132"/>
      <c r="BQR65" s="33"/>
      <c r="BQS65" s="33"/>
      <c r="BQT65" s="33"/>
      <c r="BQU65" s="33"/>
      <c r="BQV65" s="33"/>
      <c r="BQW65" s="137"/>
      <c r="BQX65" s="33"/>
      <c r="BQY65" s="33"/>
      <c r="BQZ65" s="33"/>
      <c r="BRA65" s="33"/>
      <c r="BRB65" s="33"/>
      <c r="BRC65" s="74"/>
      <c r="BRD65" s="33"/>
      <c r="BRE65" s="33"/>
      <c r="BRF65" s="33"/>
      <c r="BRG65" s="33"/>
      <c r="BRH65" s="33"/>
      <c r="BRI65" s="137"/>
      <c r="BRJ65" s="33"/>
      <c r="BRK65" s="33"/>
      <c r="BRL65" s="33"/>
      <c r="BRM65" s="33"/>
      <c r="BRN65" s="33"/>
      <c r="BRO65" s="74"/>
      <c r="BRP65" s="64"/>
      <c r="BRQ65" s="64"/>
      <c r="BRR65" s="64"/>
      <c r="BRS65" s="64"/>
      <c r="BRT65" s="33"/>
      <c r="BRU65" s="137"/>
      <c r="BRV65" s="33"/>
      <c r="BRW65" s="33"/>
      <c r="BRX65" s="33"/>
      <c r="BRY65" s="33"/>
      <c r="BRZ65" s="33"/>
      <c r="BSA65" s="74"/>
      <c r="BSB65" s="33"/>
      <c r="BSC65" s="33"/>
      <c r="BSD65" s="33"/>
      <c r="BSE65" s="33"/>
      <c r="BSF65" s="33"/>
      <c r="BSG65" s="137"/>
      <c r="BSH65" s="33"/>
      <c r="BSI65" s="33"/>
      <c r="BSJ65" s="33"/>
      <c r="BSK65" s="33"/>
      <c r="BSL65" s="33"/>
      <c r="BSM65" s="74"/>
      <c r="BSN65" s="33"/>
      <c r="BSO65" s="33"/>
      <c r="BSP65" s="33"/>
      <c r="BSQ65" s="33"/>
      <c r="BSR65" s="33"/>
      <c r="BSS65" s="34"/>
      <c r="BST65" s="32"/>
      <c r="BSU65" s="64"/>
      <c r="BSV65" s="64"/>
      <c r="BSW65" s="64"/>
      <c r="BSX65" s="33"/>
      <c r="BSY65" s="132"/>
      <c r="BSZ65" s="33"/>
      <c r="BTA65" s="33"/>
      <c r="BTB65" s="33"/>
      <c r="BTC65" s="33"/>
      <c r="BTD65" s="33"/>
      <c r="BTE65" s="137"/>
      <c r="BTF65" s="33"/>
      <c r="BTG65" s="33"/>
      <c r="BTH65" s="33"/>
      <c r="BTI65" s="33"/>
      <c r="BTJ65" s="33"/>
      <c r="BTK65" s="74"/>
      <c r="BTL65" s="33"/>
      <c r="BTM65" s="33"/>
      <c r="BTN65" s="33"/>
      <c r="BTO65" s="33"/>
      <c r="BTP65" s="33"/>
      <c r="BTQ65" s="137"/>
      <c r="BTR65" s="33"/>
      <c r="BTS65" s="33"/>
      <c r="BTT65" s="33"/>
      <c r="BTU65" s="33"/>
      <c r="BTV65" s="33"/>
      <c r="BTW65" s="74"/>
      <c r="BTX65" s="64"/>
      <c r="BTY65" s="64"/>
      <c r="BTZ65" s="64"/>
      <c r="BUA65" s="64"/>
      <c r="BUB65" s="33"/>
      <c r="BUC65" s="137"/>
      <c r="BUD65" s="33"/>
      <c r="BUE65" s="33"/>
      <c r="BUF65" s="33"/>
      <c r="BUG65" s="33"/>
      <c r="BUH65" s="33"/>
      <c r="BUI65" s="74"/>
      <c r="BUJ65" s="33"/>
      <c r="BUK65" s="33"/>
      <c r="BUL65" s="33"/>
      <c r="BUM65" s="33"/>
      <c r="BUN65" s="33"/>
      <c r="BUO65" s="137"/>
      <c r="BUP65" s="33"/>
      <c r="BUQ65" s="33"/>
      <c r="BUR65" s="33"/>
      <c r="BUS65" s="33"/>
      <c r="BUT65" s="33"/>
      <c r="BUU65" s="74"/>
      <c r="BUV65" s="33"/>
      <c r="BUW65" s="33"/>
      <c r="BUX65" s="33"/>
      <c r="BUY65" s="33"/>
      <c r="BUZ65" s="33"/>
      <c r="BVA65" s="34"/>
      <c r="BVB65" s="32"/>
      <c r="BVC65" s="64"/>
      <c r="BVD65" s="64"/>
      <c r="BVE65" s="64"/>
      <c r="BVF65" s="33"/>
      <c r="BVG65" s="132"/>
      <c r="BVH65" s="33"/>
      <c r="BVI65" s="33"/>
      <c r="BVJ65" s="33"/>
      <c r="BVK65" s="33"/>
      <c r="BVL65" s="33"/>
      <c r="BVM65" s="137"/>
      <c r="BVN65" s="33"/>
      <c r="BVO65" s="33"/>
      <c r="BVP65" s="33"/>
      <c r="BVQ65" s="33"/>
      <c r="BVR65" s="33"/>
      <c r="BVS65" s="74"/>
      <c r="BVT65" s="33"/>
      <c r="BVU65" s="33"/>
      <c r="BVV65" s="33"/>
      <c r="BVW65" s="33"/>
      <c r="BVX65" s="33"/>
      <c r="BVY65" s="137"/>
      <c r="BVZ65" s="33"/>
      <c r="BWA65" s="33"/>
      <c r="BWB65" s="33"/>
      <c r="BWC65" s="33"/>
      <c r="BWD65" s="33"/>
      <c r="BWE65" s="74"/>
      <c r="BWF65" s="64"/>
      <c r="BWG65" s="64"/>
      <c r="BWH65" s="64"/>
      <c r="BWI65" s="64"/>
      <c r="BWJ65" s="33"/>
      <c r="BWK65" s="137"/>
      <c r="BWL65" s="33"/>
      <c r="BWM65" s="33"/>
      <c r="BWN65" s="33"/>
      <c r="BWO65" s="33"/>
      <c r="BWP65" s="33"/>
      <c r="BWQ65" s="74"/>
      <c r="BWR65" s="33"/>
      <c r="BWS65" s="33"/>
      <c r="BWT65" s="33"/>
      <c r="BWU65" s="33"/>
      <c r="BWV65" s="33"/>
      <c r="BWW65" s="137"/>
      <c r="BWX65" s="33"/>
      <c r="BWY65" s="33"/>
      <c r="BWZ65" s="33"/>
      <c r="BXA65" s="33"/>
      <c r="BXB65" s="33"/>
      <c r="BXC65" s="74"/>
      <c r="BXD65" s="33"/>
      <c r="BXE65" s="33"/>
      <c r="BXF65" s="33"/>
      <c r="BXG65" s="33"/>
      <c r="BXH65" s="33"/>
      <c r="BXI65" s="34"/>
      <c r="BXJ65" s="32"/>
      <c r="BXK65" s="64"/>
      <c r="BXL65" s="64"/>
      <c r="BXM65" s="64"/>
      <c r="BXN65" s="33"/>
      <c r="BXO65" s="132"/>
      <c r="BXP65" s="33"/>
      <c r="BXQ65" s="33"/>
      <c r="BXR65" s="33"/>
      <c r="BXS65" s="33"/>
      <c r="BXT65" s="33"/>
      <c r="BXU65" s="137"/>
      <c r="BXV65" s="33"/>
      <c r="BXW65" s="33"/>
      <c r="BXX65" s="33"/>
      <c r="BXY65" s="33"/>
      <c r="BXZ65" s="33"/>
      <c r="BYA65" s="74"/>
      <c r="BYB65" s="33"/>
      <c r="BYC65" s="33"/>
      <c r="BYD65" s="33"/>
      <c r="BYE65" s="33"/>
      <c r="BYF65" s="33"/>
      <c r="BYG65" s="137"/>
      <c r="BYH65" s="33"/>
      <c r="BYI65" s="33"/>
      <c r="BYJ65" s="33"/>
      <c r="BYK65" s="33"/>
      <c r="BYL65" s="33"/>
      <c r="BYM65" s="74"/>
      <c r="BYN65" s="64"/>
      <c r="BYO65" s="64"/>
      <c r="BYP65" s="64"/>
      <c r="BYQ65" s="64"/>
      <c r="BYR65" s="33"/>
      <c r="BYS65" s="137"/>
      <c r="BYT65" s="33"/>
      <c r="BYU65" s="33"/>
      <c r="BYV65" s="33"/>
      <c r="BYW65" s="33"/>
      <c r="BYX65" s="33"/>
      <c r="BYY65" s="74"/>
      <c r="BYZ65" s="33"/>
      <c r="BZA65" s="33"/>
      <c r="BZB65" s="33"/>
      <c r="BZC65" s="33"/>
      <c r="BZD65" s="33"/>
      <c r="BZE65" s="137"/>
      <c r="BZF65" s="33"/>
      <c r="BZG65" s="33"/>
      <c r="BZH65" s="33"/>
      <c r="BZI65" s="33"/>
      <c r="BZJ65" s="33"/>
      <c r="BZK65" s="74"/>
      <c r="BZL65" s="33"/>
      <c r="BZM65" s="33"/>
      <c r="BZN65" s="33"/>
      <c r="BZO65" s="33"/>
      <c r="BZP65" s="33"/>
      <c r="BZQ65" s="34"/>
      <c r="BZR65" s="32"/>
      <c r="BZS65" s="64"/>
      <c r="BZT65" s="64"/>
      <c r="BZU65" s="64"/>
      <c r="BZV65" s="33"/>
      <c r="BZW65" s="132"/>
      <c r="BZX65" s="33"/>
      <c r="BZY65" s="33"/>
      <c r="BZZ65" s="33"/>
      <c r="CAA65" s="33"/>
      <c r="CAB65" s="33"/>
      <c r="CAC65" s="137"/>
      <c r="CAD65" s="33"/>
      <c r="CAE65" s="33"/>
      <c r="CAF65" s="33"/>
      <c r="CAG65" s="33"/>
      <c r="CAH65" s="33"/>
      <c r="CAI65" s="74"/>
      <c r="CAJ65" s="33"/>
      <c r="CAK65" s="33"/>
      <c r="CAL65" s="33"/>
      <c r="CAM65" s="33"/>
      <c r="CAN65" s="33"/>
      <c r="CAO65" s="137"/>
      <c r="CAP65" s="33"/>
      <c r="CAQ65" s="33"/>
      <c r="CAR65" s="33"/>
      <c r="CAS65" s="33"/>
      <c r="CAT65" s="33"/>
      <c r="CAU65" s="74"/>
      <c r="CAV65" s="64"/>
      <c r="CAW65" s="64"/>
      <c r="CAX65" s="64"/>
      <c r="CAY65" s="64"/>
      <c r="CAZ65" s="33"/>
      <c r="CBA65" s="137"/>
      <c r="CBB65" s="33"/>
      <c r="CBC65" s="33"/>
      <c r="CBD65" s="33"/>
      <c r="CBE65" s="33"/>
      <c r="CBF65" s="33"/>
      <c r="CBG65" s="74"/>
      <c r="CBH65" s="33"/>
      <c r="CBI65" s="33"/>
      <c r="CBJ65" s="33"/>
      <c r="CBK65" s="33"/>
      <c r="CBL65" s="33"/>
      <c r="CBM65" s="137"/>
      <c r="CBN65" s="33"/>
      <c r="CBO65" s="33"/>
      <c r="CBP65" s="33"/>
      <c r="CBQ65" s="33"/>
      <c r="CBR65" s="33"/>
      <c r="CBS65" s="74"/>
      <c r="CBT65" s="33"/>
      <c r="CBU65" s="33"/>
      <c r="CBV65" s="33"/>
      <c r="CBW65" s="33"/>
      <c r="CBX65" s="33"/>
      <c r="CBY65" s="34"/>
      <c r="CBZ65" s="32"/>
      <c r="CCA65" s="64"/>
      <c r="CCB65" s="64"/>
      <c r="CCC65" s="64"/>
      <c r="CCD65" s="33"/>
      <c r="CCE65" s="132"/>
      <c r="CCF65" s="33"/>
      <c r="CCG65" s="33"/>
      <c r="CCH65" s="33"/>
      <c r="CCI65" s="33"/>
      <c r="CCJ65" s="33"/>
      <c r="CCK65" s="137"/>
      <c r="CCL65" s="33"/>
      <c r="CCM65" s="33"/>
      <c r="CCN65" s="33"/>
      <c r="CCO65" s="33"/>
      <c r="CCP65" s="33"/>
      <c r="CCQ65" s="74"/>
      <c r="CCR65" s="33"/>
      <c r="CCS65" s="33"/>
      <c r="CCT65" s="33"/>
      <c r="CCU65" s="33"/>
      <c r="CCV65" s="33"/>
      <c r="CCW65" s="137"/>
      <c r="CCX65" s="33"/>
      <c r="CCY65" s="33"/>
      <c r="CCZ65" s="33"/>
      <c r="CDA65" s="33"/>
      <c r="CDB65" s="33"/>
      <c r="CDC65" s="74"/>
      <c r="CDD65" s="64"/>
      <c r="CDE65" s="64"/>
      <c r="CDF65" s="64"/>
      <c r="CDG65" s="64"/>
      <c r="CDH65" s="33"/>
      <c r="CDI65" s="137"/>
      <c r="CDJ65" s="33"/>
      <c r="CDK65" s="33"/>
      <c r="CDL65" s="33"/>
      <c r="CDM65" s="33"/>
      <c r="CDN65" s="33"/>
      <c r="CDO65" s="74"/>
      <c r="CDP65" s="33"/>
      <c r="CDQ65" s="33"/>
      <c r="CDR65" s="33"/>
      <c r="CDS65" s="33"/>
      <c r="CDT65" s="33"/>
      <c r="CDU65" s="137"/>
      <c r="CDV65" s="33"/>
      <c r="CDW65" s="33"/>
      <c r="CDX65" s="33"/>
      <c r="CDY65" s="33"/>
      <c r="CDZ65" s="33"/>
      <c r="CEA65" s="74"/>
      <c r="CEB65" s="33"/>
      <c r="CEC65" s="33"/>
      <c r="CED65" s="33"/>
      <c r="CEE65" s="33"/>
      <c r="CEF65" s="33"/>
      <c r="CEG65" s="34"/>
      <c r="CEH65" s="32"/>
      <c r="CEI65" s="64"/>
      <c r="CEJ65" s="64"/>
      <c r="CEK65" s="64"/>
      <c r="CEL65" s="33"/>
      <c r="CEM65" s="132"/>
      <c r="CEN65" s="33"/>
      <c r="CEO65" s="33"/>
      <c r="CEP65" s="33"/>
      <c r="CEQ65" s="33"/>
      <c r="CER65" s="33"/>
      <c r="CES65" s="137"/>
      <c r="CET65" s="33"/>
      <c r="CEU65" s="33"/>
      <c r="CEV65" s="33"/>
      <c r="CEW65" s="33"/>
      <c r="CEX65" s="33"/>
      <c r="CEY65" s="74"/>
      <c r="CEZ65" s="33"/>
      <c r="CFA65" s="33"/>
      <c r="CFB65" s="33"/>
      <c r="CFC65" s="33"/>
      <c r="CFD65" s="33"/>
      <c r="CFE65" s="137"/>
      <c r="CFF65" s="33"/>
      <c r="CFG65" s="33"/>
      <c r="CFH65" s="33"/>
      <c r="CFI65" s="33"/>
      <c r="CFJ65" s="33"/>
      <c r="CFK65" s="74"/>
      <c r="CFL65" s="64"/>
      <c r="CFM65" s="64"/>
      <c r="CFN65" s="64"/>
      <c r="CFO65" s="64"/>
      <c r="CFP65" s="33"/>
      <c r="CFQ65" s="137"/>
      <c r="CFR65" s="33"/>
      <c r="CFS65" s="33"/>
      <c r="CFT65" s="33"/>
      <c r="CFU65" s="33"/>
      <c r="CFV65" s="33"/>
      <c r="CFW65" s="74"/>
      <c r="CFX65" s="33"/>
      <c r="CFY65" s="33"/>
      <c r="CFZ65" s="33"/>
      <c r="CGA65" s="33"/>
      <c r="CGB65" s="33"/>
      <c r="CGC65" s="137"/>
      <c r="CGD65" s="33"/>
      <c r="CGE65" s="33"/>
      <c r="CGF65" s="33"/>
      <c r="CGG65" s="33"/>
      <c r="CGH65" s="33"/>
      <c r="CGI65" s="74"/>
      <c r="CGJ65" s="33"/>
      <c r="CGK65" s="33"/>
      <c r="CGL65" s="33"/>
      <c r="CGM65" s="33"/>
      <c r="CGN65" s="33"/>
      <c r="CGO65" s="34"/>
      <c r="CGP65" s="32"/>
      <c r="CGQ65" s="64"/>
      <c r="CGR65" s="64"/>
      <c r="CGS65" s="64"/>
      <c r="CGT65" s="33"/>
      <c r="CGU65" s="132"/>
      <c r="CGV65" s="33"/>
      <c r="CGW65" s="33"/>
      <c r="CGX65" s="33"/>
      <c r="CGY65" s="33"/>
      <c r="CGZ65" s="33"/>
      <c r="CHA65" s="137"/>
      <c r="CHB65" s="33"/>
      <c r="CHC65" s="33"/>
      <c r="CHD65" s="33"/>
      <c r="CHE65" s="33"/>
      <c r="CHF65" s="33"/>
      <c r="CHG65" s="74"/>
      <c r="CHH65" s="33"/>
      <c r="CHI65" s="33"/>
      <c r="CHJ65" s="33"/>
      <c r="CHK65" s="33"/>
      <c r="CHL65" s="33"/>
      <c r="CHM65" s="137"/>
      <c r="CHN65" s="33"/>
      <c r="CHO65" s="33"/>
      <c r="CHP65" s="33"/>
      <c r="CHQ65" s="33"/>
      <c r="CHR65" s="33"/>
      <c r="CHS65" s="74"/>
      <c r="CHT65" s="64"/>
      <c r="CHU65" s="64"/>
      <c r="CHV65" s="64"/>
      <c r="CHW65" s="64"/>
      <c r="CHX65" s="33"/>
      <c r="CHY65" s="137"/>
      <c r="CHZ65" s="33"/>
      <c r="CIA65" s="33"/>
      <c r="CIB65" s="33"/>
      <c r="CIC65" s="33"/>
      <c r="CID65" s="33"/>
      <c r="CIE65" s="74"/>
      <c r="CIF65" s="33"/>
      <c r="CIG65" s="33"/>
      <c r="CIH65" s="33"/>
      <c r="CII65" s="33"/>
      <c r="CIJ65" s="33"/>
      <c r="CIK65" s="137"/>
      <c r="CIL65" s="33"/>
      <c r="CIM65" s="33"/>
      <c r="CIN65" s="33"/>
      <c r="CIO65" s="33"/>
      <c r="CIP65" s="33"/>
      <c r="CIQ65" s="74"/>
      <c r="CIR65" s="33"/>
      <c r="CIS65" s="33"/>
      <c r="CIT65" s="33"/>
      <c r="CIU65" s="33"/>
      <c r="CIV65" s="33"/>
      <c r="CIW65" s="34"/>
      <c r="CIX65" s="32"/>
      <c r="CIY65" s="64"/>
      <c r="CIZ65" s="64"/>
      <c r="CJA65" s="64"/>
      <c r="CJB65" s="33"/>
      <c r="CJC65" s="132"/>
      <c r="CJD65" s="33"/>
      <c r="CJE65" s="33"/>
      <c r="CJF65" s="33"/>
      <c r="CJG65" s="33"/>
      <c r="CJH65" s="33"/>
      <c r="CJI65" s="137"/>
      <c r="CJJ65" s="33"/>
      <c r="CJK65" s="33"/>
      <c r="CJL65" s="33"/>
      <c r="CJM65" s="33"/>
      <c r="CJN65" s="33"/>
      <c r="CJO65" s="74"/>
      <c r="CJP65" s="33"/>
      <c r="CJQ65" s="33"/>
      <c r="CJR65" s="33"/>
      <c r="CJS65" s="33"/>
      <c r="CJT65" s="33"/>
      <c r="CJU65" s="137"/>
      <c r="CJV65" s="33"/>
      <c r="CJW65" s="33"/>
      <c r="CJX65" s="33"/>
      <c r="CJY65" s="33"/>
      <c r="CJZ65" s="33"/>
      <c r="CKA65" s="74"/>
      <c r="CKB65" s="64"/>
      <c r="CKC65" s="64"/>
      <c r="CKD65" s="64"/>
      <c r="CKE65" s="64"/>
      <c r="CKF65" s="33"/>
      <c r="CKG65" s="137"/>
      <c r="CKH65" s="33"/>
      <c r="CKI65" s="33"/>
      <c r="CKJ65" s="33"/>
      <c r="CKK65" s="33"/>
      <c r="CKL65" s="33"/>
      <c r="CKM65" s="74"/>
      <c r="CKN65" s="33"/>
      <c r="CKO65" s="33"/>
      <c r="CKP65" s="33"/>
      <c r="CKQ65" s="33"/>
      <c r="CKR65" s="33"/>
      <c r="CKS65" s="137"/>
      <c r="CKT65" s="33"/>
      <c r="CKU65" s="33"/>
      <c r="CKV65" s="33"/>
      <c r="CKW65" s="33"/>
      <c r="CKX65" s="33"/>
      <c r="CKY65" s="74"/>
      <c r="CKZ65" s="33"/>
      <c r="CLA65" s="33"/>
      <c r="CLB65" s="33"/>
      <c r="CLC65" s="33"/>
      <c r="CLD65" s="33"/>
      <c r="CLE65" s="34"/>
      <c r="CLF65" s="32"/>
      <c r="CLG65" s="64"/>
      <c r="CLH65" s="64"/>
      <c r="CLI65" s="64"/>
      <c r="CLJ65" s="33"/>
      <c r="CLK65" s="132"/>
      <c r="CLL65" s="33"/>
      <c r="CLM65" s="33"/>
      <c r="CLN65" s="33"/>
      <c r="CLO65" s="33"/>
      <c r="CLP65" s="33"/>
      <c r="CLQ65" s="137"/>
      <c r="CLR65" s="33"/>
      <c r="CLS65" s="33"/>
      <c r="CLT65" s="33"/>
      <c r="CLU65" s="33"/>
      <c r="CLV65" s="33"/>
      <c r="CLW65" s="74"/>
      <c r="CLX65" s="33"/>
      <c r="CLY65" s="33"/>
      <c r="CLZ65" s="33"/>
      <c r="CMA65" s="33"/>
      <c r="CMB65" s="33"/>
      <c r="CMC65" s="137"/>
      <c r="CMD65" s="33"/>
      <c r="CME65" s="33"/>
      <c r="CMF65" s="33"/>
      <c r="CMG65" s="33"/>
      <c r="CMH65" s="33"/>
      <c r="CMI65" s="74"/>
      <c r="CMJ65" s="64"/>
      <c r="CMK65" s="64"/>
      <c r="CML65" s="64"/>
      <c r="CMM65" s="64"/>
      <c r="CMN65" s="33"/>
      <c r="CMO65" s="137"/>
      <c r="CMP65" s="33"/>
      <c r="CMQ65" s="33"/>
      <c r="CMR65" s="33"/>
      <c r="CMS65" s="33"/>
      <c r="CMT65" s="33"/>
      <c r="CMU65" s="74"/>
      <c r="CMV65" s="33"/>
      <c r="CMW65" s="33"/>
      <c r="CMX65" s="33"/>
      <c r="CMY65" s="33"/>
      <c r="CMZ65" s="33"/>
      <c r="CNA65" s="137"/>
      <c r="CNB65" s="33"/>
      <c r="CNC65" s="33"/>
      <c r="CND65" s="33"/>
      <c r="CNE65" s="33"/>
      <c r="CNF65" s="33"/>
      <c r="CNG65" s="74"/>
      <c r="CNH65" s="33"/>
      <c r="CNI65" s="33"/>
      <c r="CNJ65" s="33"/>
      <c r="CNK65" s="33"/>
      <c r="CNL65" s="33"/>
      <c r="CNM65" s="34"/>
      <c r="CNN65" s="32"/>
      <c r="CNO65" s="64"/>
      <c r="CNP65" s="64"/>
      <c r="CNQ65" s="64"/>
      <c r="CNR65" s="33"/>
      <c r="CNS65" s="132"/>
      <c r="CNT65" s="33"/>
      <c r="CNU65" s="33"/>
      <c r="CNV65" s="33"/>
      <c r="CNW65" s="33"/>
      <c r="CNX65" s="33"/>
      <c r="CNY65" s="137"/>
      <c r="CNZ65" s="33"/>
      <c r="COA65" s="33"/>
      <c r="COB65" s="33"/>
      <c r="COC65" s="33"/>
      <c r="COD65" s="33"/>
      <c r="COE65" s="74"/>
      <c r="COF65" s="33"/>
      <c r="COG65" s="33"/>
      <c r="COH65" s="33"/>
      <c r="COI65" s="33"/>
      <c r="COJ65" s="33"/>
      <c r="COK65" s="137"/>
      <c r="COL65" s="33"/>
      <c r="COM65" s="33"/>
      <c r="CON65" s="33"/>
      <c r="COO65" s="33"/>
      <c r="COP65" s="33"/>
      <c r="COQ65" s="74"/>
      <c r="COR65" s="64"/>
      <c r="COS65" s="64"/>
      <c r="COT65" s="64"/>
      <c r="COU65" s="64"/>
      <c r="COV65" s="33"/>
      <c r="COW65" s="137"/>
      <c r="COX65" s="33"/>
      <c r="COY65" s="33"/>
      <c r="COZ65" s="33"/>
      <c r="CPA65" s="33"/>
      <c r="CPB65" s="33"/>
      <c r="CPC65" s="74"/>
      <c r="CPD65" s="33"/>
      <c r="CPE65" s="33"/>
      <c r="CPF65" s="33"/>
      <c r="CPG65" s="33"/>
      <c r="CPH65" s="33"/>
      <c r="CPI65" s="137"/>
      <c r="CPJ65" s="33"/>
      <c r="CPK65" s="33"/>
      <c r="CPL65" s="33"/>
      <c r="CPM65" s="33"/>
      <c r="CPN65" s="33"/>
      <c r="CPO65" s="74"/>
      <c r="CPP65" s="33"/>
      <c r="CPQ65" s="33"/>
      <c r="CPR65" s="33"/>
      <c r="CPS65" s="33"/>
      <c r="CPT65" s="33"/>
      <c r="CPU65" s="34"/>
      <c r="CPV65" s="32"/>
      <c r="CPW65" s="64"/>
      <c r="CPX65" s="64"/>
      <c r="CPY65" s="64"/>
      <c r="CPZ65" s="33"/>
      <c r="CQA65" s="132"/>
      <c r="CQB65" s="33"/>
      <c r="CQC65" s="33"/>
      <c r="CQD65" s="33"/>
      <c r="CQE65" s="33"/>
      <c r="CQF65" s="33"/>
      <c r="CQG65" s="137"/>
      <c r="CQH65" s="33"/>
      <c r="CQI65" s="33"/>
      <c r="CQJ65" s="33"/>
      <c r="CQK65" s="33"/>
      <c r="CQL65" s="33"/>
      <c r="CQM65" s="74"/>
      <c r="CQN65" s="33"/>
      <c r="CQO65" s="33"/>
      <c r="CQP65" s="33"/>
      <c r="CQQ65" s="33"/>
      <c r="CQR65" s="33"/>
      <c r="CQS65" s="137"/>
      <c r="CQT65" s="33"/>
      <c r="CQU65" s="33"/>
      <c r="CQV65" s="33"/>
      <c r="CQW65" s="33"/>
      <c r="CQX65" s="33"/>
      <c r="CQY65" s="74"/>
      <c r="CQZ65" s="64"/>
      <c r="CRA65" s="64"/>
      <c r="CRB65" s="64"/>
      <c r="CRC65" s="64"/>
      <c r="CRD65" s="33"/>
      <c r="CRE65" s="137"/>
      <c r="CRF65" s="33"/>
      <c r="CRG65" s="33"/>
      <c r="CRH65" s="33"/>
      <c r="CRI65" s="33"/>
      <c r="CRJ65" s="33"/>
      <c r="CRK65" s="74"/>
      <c r="CRL65" s="33"/>
      <c r="CRM65" s="33"/>
      <c r="CRN65" s="33"/>
      <c r="CRO65" s="33"/>
      <c r="CRP65" s="33"/>
      <c r="CRQ65" s="137"/>
      <c r="CRR65" s="33"/>
      <c r="CRS65" s="33"/>
      <c r="CRT65" s="33"/>
      <c r="CRU65" s="33"/>
      <c r="CRV65" s="33"/>
      <c r="CRW65" s="74"/>
      <c r="CRX65" s="33"/>
      <c r="CRY65" s="33"/>
      <c r="CRZ65" s="33"/>
      <c r="CSA65" s="33"/>
      <c r="CSB65" s="33"/>
      <c r="CSC65" s="34"/>
      <c r="CSD65" s="90"/>
    </row>
    <row r="66" spans="1:2526" ht="20.100000000000001" customHeight="1" x14ac:dyDescent="0.3">
      <c r="A66" s="100" t="s">
        <v>19</v>
      </c>
      <c r="B66" s="63"/>
      <c r="C66" s="213"/>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36"/>
      <c r="BLW66" s="65"/>
      <c r="BLX66" s="65"/>
      <c r="BLY66" s="65"/>
      <c r="BLZ66" s="37"/>
      <c r="BMA66" s="133"/>
      <c r="BMB66" s="37"/>
      <c r="BMC66" s="37"/>
      <c r="BMD66" s="37"/>
      <c r="BME66" s="37"/>
      <c r="BMF66" s="37"/>
      <c r="BMG66" s="138"/>
      <c r="BMH66" s="37"/>
      <c r="BMI66" s="37"/>
      <c r="BMJ66" s="37"/>
      <c r="BMK66" s="37"/>
      <c r="BML66" s="37"/>
      <c r="BMM66" s="75"/>
      <c r="BMN66" s="37"/>
      <c r="BMO66" s="37"/>
      <c r="BMP66" s="37"/>
      <c r="BMQ66" s="37"/>
      <c r="BMR66" s="37"/>
      <c r="BMS66" s="138"/>
      <c r="BMT66" s="37"/>
      <c r="BMU66" s="37"/>
      <c r="BMV66" s="37"/>
      <c r="BMW66" s="37"/>
      <c r="BMX66" s="37"/>
      <c r="BMY66" s="75"/>
      <c r="BMZ66" s="65"/>
      <c r="BNA66" s="65"/>
      <c r="BNB66" s="65"/>
      <c r="BNC66" s="65"/>
      <c r="BND66" s="37"/>
      <c r="BNE66" s="138"/>
      <c r="BNF66" s="37"/>
      <c r="BNG66" s="37"/>
      <c r="BNH66" s="37"/>
      <c r="BNI66" s="37"/>
      <c r="BNJ66" s="37"/>
      <c r="BNK66" s="75"/>
      <c r="BNL66" s="37"/>
      <c r="BNM66" s="37"/>
      <c r="BNN66" s="37"/>
      <c r="BNO66" s="37"/>
      <c r="BNP66" s="37"/>
      <c r="BNQ66" s="138"/>
      <c r="BNR66" s="37"/>
      <c r="BNS66" s="37"/>
      <c r="BNT66" s="37"/>
      <c r="BNU66" s="37"/>
      <c r="BNV66" s="37"/>
      <c r="BNW66" s="75"/>
      <c r="BNX66" s="37"/>
      <c r="BNY66" s="37"/>
      <c r="BNZ66" s="37"/>
      <c r="BOA66" s="37"/>
      <c r="BOB66" s="37"/>
      <c r="BOC66" s="38"/>
      <c r="BOD66" s="36"/>
      <c r="BOE66" s="65"/>
      <c r="BOF66" s="65"/>
      <c r="BOG66" s="65"/>
      <c r="BOH66" s="37"/>
      <c r="BOI66" s="133"/>
      <c r="BOJ66" s="37"/>
      <c r="BOK66" s="37"/>
      <c r="BOL66" s="37"/>
      <c r="BOM66" s="37"/>
      <c r="BON66" s="37"/>
      <c r="BOO66" s="138"/>
      <c r="BOP66" s="37"/>
      <c r="BOQ66" s="37"/>
      <c r="BOR66" s="37"/>
      <c r="BOS66" s="37"/>
      <c r="BOT66" s="37"/>
      <c r="BOU66" s="75"/>
      <c r="BOV66" s="37"/>
      <c r="BOW66" s="37"/>
      <c r="BOX66" s="37"/>
      <c r="BOY66" s="37"/>
      <c r="BOZ66" s="37"/>
      <c r="BPA66" s="138"/>
      <c r="BPB66" s="37"/>
      <c r="BPC66" s="37"/>
      <c r="BPD66" s="37"/>
      <c r="BPE66" s="37"/>
      <c r="BPF66" s="37"/>
      <c r="BPG66" s="75"/>
      <c r="BPH66" s="65"/>
      <c r="BPI66" s="65"/>
      <c r="BPJ66" s="65"/>
      <c r="BPK66" s="65"/>
      <c r="BPL66" s="37"/>
      <c r="BPM66" s="138"/>
      <c r="BPN66" s="37"/>
      <c r="BPO66" s="37"/>
      <c r="BPP66" s="37"/>
      <c r="BPQ66" s="37"/>
      <c r="BPR66" s="37"/>
      <c r="BPS66" s="75"/>
      <c r="BPT66" s="37"/>
      <c r="BPU66" s="37"/>
      <c r="BPV66" s="37"/>
      <c r="BPW66" s="37"/>
      <c r="BPX66" s="37"/>
      <c r="BPY66" s="138"/>
      <c r="BPZ66" s="37"/>
      <c r="BQA66" s="37"/>
      <c r="BQB66" s="37"/>
      <c r="BQC66" s="37"/>
      <c r="BQD66" s="37"/>
      <c r="BQE66" s="75"/>
      <c r="BQF66" s="37"/>
      <c r="BQG66" s="37"/>
      <c r="BQH66" s="37"/>
      <c r="BQI66" s="37"/>
      <c r="BQJ66" s="37"/>
      <c r="BQK66" s="38"/>
      <c r="BQL66" s="36"/>
      <c r="BQM66" s="65"/>
      <c r="BQN66" s="65"/>
      <c r="BQO66" s="65"/>
      <c r="BQP66" s="37"/>
      <c r="BQQ66" s="133"/>
      <c r="BQR66" s="37"/>
      <c r="BQS66" s="37"/>
      <c r="BQT66" s="37"/>
      <c r="BQU66" s="37"/>
      <c r="BQV66" s="37"/>
      <c r="BQW66" s="138"/>
      <c r="BQX66" s="37"/>
      <c r="BQY66" s="37"/>
      <c r="BQZ66" s="37"/>
      <c r="BRA66" s="37"/>
      <c r="BRB66" s="37"/>
      <c r="BRC66" s="75"/>
      <c r="BRD66" s="37"/>
      <c r="BRE66" s="37"/>
      <c r="BRF66" s="37"/>
      <c r="BRG66" s="37"/>
      <c r="BRH66" s="37"/>
      <c r="BRI66" s="138"/>
      <c r="BRJ66" s="37"/>
      <c r="BRK66" s="37"/>
      <c r="BRL66" s="37"/>
      <c r="BRM66" s="37"/>
      <c r="BRN66" s="37"/>
      <c r="BRO66" s="75"/>
      <c r="BRP66" s="65"/>
      <c r="BRQ66" s="65"/>
      <c r="BRR66" s="65"/>
      <c r="BRS66" s="65"/>
      <c r="BRT66" s="37"/>
      <c r="BRU66" s="138"/>
      <c r="BRV66" s="37"/>
      <c r="BRW66" s="37"/>
      <c r="BRX66" s="37"/>
      <c r="BRY66" s="37"/>
      <c r="BRZ66" s="37"/>
      <c r="BSA66" s="75"/>
      <c r="BSB66" s="37"/>
      <c r="BSC66" s="37"/>
      <c r="BSD66" s="37"/>
      <c r="BSE66" s="37"/>
      <c r="BSF66" s="37"/>
      <c r="BSG66" s="138"/>
      <c r="BSH66" s="37"/>
      <c r="BSI66" s="37"/>
      <c r="BSJ66" s="37"/>
      <c r="BSK66" s="37"/>
      <c r="BSL66" s="37"/>
      <c r="BSM66" s="75"/>
      <c r="BSN66" s="37"/>
      <c r="BSO66" s="37"/>
      <c r="BSP66" s="37"/>
      <c r="BSQ66" s="37"/>
      <c r="BSR66" s="37"/>
      <c r="BSS66" s="38"/>
      <c r="BST66" s="36"/>
      <c r="BSU66" s="65"/>
      <c r="BSV66" s="65"/>
      <c r="BSW66" s="65"/>
      <c r="BSX66" s="37"/>
      <c r="BSY66" s="133"/>
      <c r="BSZ66" s="37"/>
      <c r="BTA66" s="37"/>
      <c r="BTB66" s="37"/>
      <c r="BTC66" s="37"/>
      <c r="BTD66" s="37"/>
      <c r="BTE66" s="138"/>
      <c r="BTF66" s="37"/>
      <c r="BTG66" s="37"/>
      <c r="BTH66" s="37"/>
      <c r="BTI66" s="37"/>
      <c r="BTJ66" s="37"/>
      <c r="BTK66" s="75"/>
      <c r="BTL66" s="37"/>
      <c r="BTM66" s="37"/>
      <c r="BTN66" s="37"/>
      <c r="BTO66" s="37"/>
      <c r="BTP66" s="37"/>
      <c r="BTQ66" s="138"/>
      <c r="BTR66" s="37"/>
      <c r="BTS66" s="37"/>
      <c r="BTT66" s="37"/>
      <c r="BTU66" s="37"/>
      <c r="BTV66" s="37"/>
      <c r="BTW66" s="75"/>
      <c r="BTX66" s="65"/>
      <c r="BTY66" s="65"/>
      <c r="BTZ66" s="65"/>
      <c r="BUA66" s="65"/>
      <c r="BUB66" s="37"/>
      <c r="BUC66" s="138"/>
      <c r="BUD66" s="37"/>
      <c r="BUE66" s="37"/>
      <c r="BUF66" s="37"/>
      <c r="BUG66" s="37"/>
      <c r="BUH66" s="37"/>
      <c r="BUI66" s="75"/>
      <c r="BUJ66" s="37"/>
      <c r="BUK66" s="37"/>
      <c r="BUL66" s="37"/>
      <c r="BUM66" s="37"/>
      <c r="BUN66" s="37"/>
      <c r="BUO66" s="138"/>
      <c r="BUP66" s="37"/>
      <c r="BUQ66" s="37"/>
      <c r="BUR66" s="37"/>
      <c r="BUS66" s="37"/>
      <c r="BUT66" s="37"/>
      <c r="BUU66" s="75"/>
      <c r="BUV66" s="37"/>
      <c r="BUW66" s="37"/>
      <c r="BUX66" s="37"/>
      <c r="BUY66" s="37"/>
      <c r="BUZ66" s="37"/>
      <c r="BVA66" s="38"/>
      <c r="BVB66" s="36"/>
      <c r="BVC66" s="65"/>
      <c r="BVD66" s="65"/>
      <c r="BVE66" s="65"/>
      <c r="BVF66" s="37"/>
      <c r="BVG66" s="133"/>
      <c r="BVH66" s="37"/>
      <c r="BVI66" s="37"/>
      <c r="BVJ66" s="37"/>
      <c r="BVK66" s="37"/>
      <c r="BVL66" s="37"/>
      <c r="BVM66" s="138"/>
      <c r="BVN66" s="37"/>
      <c r="BVO66" s="37"/>
      <c r="BVP66" s="37"/>
      <c r="BVQ66" s="37"/>
      <c r="BVR66" s="37"/>
      <c r="BVS66" s="75"/>
      <c r="BVT66" s="37"/>
      <c r="BVU66" s="37"/>
      <c r="BVV66" s="37"/>
      <c r="BVW66" s="37"/>
      <c r="BVX66" s="37"/>
      <c r="BVY66" s="138"/>
      <c r="BVZ66" s="37"/>
      <c r="BWA66" s="37"/>
      <c r="BWB66" s="37"/>
      <c r="BWC66" s="37"/>
      <c r="BWD66" s="37"/>
      <c r="BWE66" s="75"/>
      <c r="BWF66" s="65"/>
      <c r="BWG66" s="65"/>
      <c r="BWH66" s="65"/>
      <c r="BWI66" s="65"/>
      <c r="BWJ66" s="37"/>
      <c r="BWK66" s="138"/>
      <c r="BWL66" s="37"/>
      <c r="BWM66" s="37"/>
      <c r="BWN66" s="37"/>
      <c r="BWO66" s="37"/>
      <c r="BWP66" s="37"/>
      <c r="BWQ66" s="75"/>
      <c r="BWR66" s="37"/>
      <c r="BWS66" s="37"/>
      <c r="BWT66" s="37"/>
      <c r="BWU66" s="37"/>
      <c r="BWV66" s="37"/>
      <c r="BWW66" s="138"/>
      <c r="BWX66" s="37"/>
      <c r="BWY66" s="37"/>
      <c r="BWZ66" s="37"/>
      <c r="BXA66" s="37"/>
      <c r="BXB66" s="37"/>
      <c r="BXC66" s="75"/>
      <c r="BXD66" s="37"/>
      <c r="BXE66" s="37"/>
      <c r="BXF66" s="37"/>
      <c r="BXG66" s="37"/>
      <c r="BXH66" s="37"/>
      <c r="BXI66" s="38"/>
      <c r="BXJ66" s="36"/>
      <c r="BXK66" s="65"/>
      <c r="BXL66" s="65"/>
      <c r="BXM66" s="65"/>
      <c r="BXN66" s="37"/>
      <c r="BXO66" s="133"/>
      <c r="BXP66" s="37"/>
      <c r="BXQ66" s="37"/>
      <c r="BXR66" s="37"/>
      <c r="BXS66" s="37"/>
      <c r="BXT66" s="37"/>
      <c r="BXU66" s="138"/>
      <c r="BXV66" s="37"/>
      <c r="BXW66" s="37"/>
      <c r="BXX66" s="37"/>
      <c r="BXY66" s="37"/>
      <c r="BXZ66" s="37"/>
      <c r="BYA66" s="75"/>
      <c r="BYB66" s="37"/>
      <c r="BYC66" s="37"/>
      <c r="BYD66" s="37"/>
      <c r="BYE66" s="37"/>
      <c r="BYF66" s="37"/>
      <c r="BYG66" s="138"/>
      <c r="BYH66" s="37"/>
      <c r="BYI66" s="37"/>
      <c r="BYJ66" s="37"/>
      <c r="BYK66" s="37"/>
      <c r="BYL66" s="37"/>
      <c r="BYM66" s="75"/>
      <c r="BYN66" s="65"/>
      <c r="BYO66" s="65"/>
      <c r="BYP66" s="65"/>
      <c r="BYQ66" s="65"/>
      <c r="BYR66" s="37"/>
      <c r="BYS66" s="138"/>
      <c r="BYT66" s="37"/>
      <c r="BYU66" s="37"/>
      <c r="BYV66" s="37"/>
      <c r="BYW66" s="37"/>
      <c r="BYX66" s="37"/>
      <c r="BYY66" s="75"/>
      <c r="BYZ66" s="37"/>
      <c r="BZA66" s="37"/>
      <c r="BZB66" s="37"/>
      <c r="BZC66" s="37"/>
      <c r="BZD66" s="37"/>
      <c r="BZE66" s="138"/>
      <c r="BZF66" s="37"/>
      <c r="BZG66" s="37"/>
      <c r="BZH66" s="37"/>
      <c r="BZI66" s="37"/>
      <c r="BZJ66" s="37"/>
      <c r="BZK66" s="75"/>
      <c r="BZL66" s="37"/>
      <c r="BZM66" s="37"/>
      <c r="BZN66" s="37"/>
      <c r="BZO66" s="37"/>
      <c r="BZP66" s="37"/>
      <c r="BZQ66" s="38"/>
      <c r="BZR66" s="36"/>
      <c r="BZS66" s="65"/>
      <c r="BZT66" s="65"/>
      <c r="BZU66" s="65"/>
      <c r="BZV66" s="37"/>
      <c r="BZW66" s="133"/>
      <c r="BZX66" s="37"/>
      <c r="BZY66" s="37"/>
      <c r="BZZ66" s="37"/>
      <c r="CAA66" s="37"/>
      <c r="CAB66" s="37"/>
      <c r="CAC66" s="138"/>
      <c r="CAD66" s="37"/>
      <c r="CAE66" s="37"/>
      <c r="CAF66" s="37"/>
      <c r="CAG66" s="37"/>
      <c r="CAH66" s="37"/>
      <c r="CAI66" s="75"/>
      <c r="CAJ66" s="37"/>
      <c r="CAK66" s="37"/>
      <c r="CAL66" s="37"/>
      <c r="CAM66" s="37"/>
      <c r="CAN66" s="37"/>
      <c r="CAO66" s="138"/>
      <c r="CAP66" s="37"/>
      <c r="CAQ66" s="37"/>
      <c r="CAR66" s="37"/>
      <c r="CAS66" s="37"/>
      <c r="CAT66" s="37"/>
      <c r="CAU66" s="75"/>
      <c r="CAV66" s="65"/>
      <c r="CAW66" s="65"/>
      <c r="CAX66" s="65"/>
      <c r="CAY66" s="65"/>
      <c r="CAZ66" s="37"/>
      <c r="CBA66" s="138"/>
      <c r="CBB66" s="37"/>
      <c r="CBC66" s="37"/>
      <c r="CBD66" s="37"/>
      <c r="CBE66" s="37"/>
      <c r="CBF66" s="37"/>
      <c r="CBG66" s="75"/>
      <c r="CBH66" s="37"/>
      <c r="CBI66" s="37"/>
      <c r="CBJ66" s="37"/>
      <c r="CBK66" s="37"/>
      <c r="CBL66" s="37"/>
      <c r="CBM66" s="138"/>
      <c r="CBN66" s="37"/>
      <c r="CBO66" s="37"/>
      <c r="CBP66" s="37"/>
      <c r="CBQ66" s="37"/>
      <c r="CBR66" s="37"/>
      <c r="CBS66" s="75"/>
      <c r="CBT66" s="37"/>
      <c r="CBU66" s="37"/>
      <c r="CBV66" s="37"/>
      <c r="CBW66" s="37"/>
      <c r="CBX66" s="37"/>
      <c r="CBY66" s="38"/>
      <c r="CBZ66" s="36"/>
      <c r="CCA66" s="65"/>
      <c r="CCB66" s="65"/>
      <c r="CCC66" s="65"/>
      <c r="CCD66" s="37"/>
      <c r="CCE66" s="133"/>
      <c r="CCF66" s="37"/>
      <c r="CCG66" s="37"/>
      <c r="CCH66" s="37"/>
      <c r="CCI66" s="37"/>
      <c r="CCJ66" s="37"/>
      <c r="CCK66" s="138"/>
      <c r="CCL66" s="37"/>
      <c r="CCM66" s="37"/>
      <c r="CCN66" s="37"/>
      <c r="CCO66" s="37"/>
      <c r="CCP66" s="37"/>
      <c r="CCQ66" s="75"/>
      <c r="CCR66" s="37"/>
      <c r="CCS66" s="37"/>
      <c r="CCT66" s="37"/>
      <c r="CCU66" s="37"/>
      <c r="CCV66" s="37"/>
      <c r="CCW66" s="138"/>
      <c r="CCX66" s="37"/>
      <c r="CCY66" s="37"/>
      <c r="CCZ66" s="37"/>
      <c r="CDA66" s="37"/>
      <c r="CDB66" s="37"/>
      <c r="CDC66" s="75"/>
      <c r="CDD66" s="65"/>
      <c r="CDE66" s="65"/>
      <c r="CDF66" s="65"/>
      <c r="CDG66" s="65"/>
      <c r="CDH66" s="37"/>
      <c r="CDI66" s="138"/>
      <c r="CDJ66" s="37"/>
      <c r="CDK66" s="37"/>
      <c r="CDL66" s="37"/>
      <c r="CDM66" s="37"/>
      <c r="CDN66" s="37"/>
      <c r="CDO66" s="75"/>
      <c r="CDP66" s="37"/>
      <c r="CDQ66" s="37"/>
      <c r="CDR66" s="37"/>
      <c r="CDS66" s="37"/>
      <c r="CDT66" s="37"/>
      <c r="CDU66" s="138"/>
      <c r="CDV66" s="37"/>
      <c r="CDW66" s="37"/>
      <c r="CDX66" s="37"/>
      <c r="CDY66" s="37"/>
      <c r="CDZ66" s="37"/>
      <c r="CEA66" s="75"/>
      <c r="CEB66" s="37"/>
      <c r="CEC66" s="37"/>
      <c r="CED66" s="37"/>
      <c r="CEE66" s="37"/>
      <c r="CEF66" s="37"/>
      <c r="CEG66" s="38"/>
      <c r="CEH66" s="36"/>
      <c r="CEI66" s="65"/>
      <c r="CEJ66" s="65"/>
      <c r="CEK66" s="65"/>
      <c r="CEL66" s="37"/>
      <c r="CEM66" s="133"/>
      <c r="CEN66" s="37"/>
      <c r="CEO66" s="37"/>
      <c r="CEP66" s="37"/>
      <c r="CEQ66" s="37"/>
      <c r="CER66" s="37"/>
      <c r="CES66" s="138"/>
      <c r="CET66" s="37"/>
      <c r="CEU66" s="37"/>
      <c r="CEV66" s="37"/>
      <c r="CEW66" s="37"/>
      <c r="CEX66" s="37"/>
      <c r="CEY66" s="75"/>
      <c r="CEZ66" s="37"/>
      <c r="CFA66" s="37"/>
      <c r="CFB66" s="37"/>
      <c r="CFC66" s="37"/>
      <c r="CFD66" s="37"/>
      <c r="CFE66" s="138"/>
      <c r="CFF66" s="37"/>
      <c r="CFG66" s="37"/>
      <c r="CFH66" s="37"/>
      <c r="CFI66" s="37"/>
      <c r="CFJ66" s="37"/>
      <c r="CFK66" s="75"/>
      <c r="CFL66" s="65"/>
      <c r="CFM66" s="65"/>
      <c r="CFN66" s="65"/>
      <c r="CFO66" s="65"/>
      <c r="CFP66" s="37"/>
      <c r="CFQ66" s="138"/>
      <c r="CFR66" s="37"/>
      <c r="CFS66" s="37"/>
      <c r="CFT66" s="37"/>
      <c r="CFU66" s="37"/>
      <c r="CFV66" s="37"/>
      <c r="CFW66" s="75"/>
      <c r="CFX66" s="37"/>
      <c r="CFY66" s="37"/>
      <c r="CFZ66" s="37"/>
      <c r="CGA66" s="37"/>
      <c r="CGB66" s="37"/>
      <c r="CGC66" s="138"/>
      <c r="CGD66" s="37"/>
      <c r="CGE66" s="37"/>
      <c r="CGF66" s="37"/>
      <c r="CGG66" s="37"/>
      <c r="CGH66" s="37"/>
      <c r="CGI66" s="75"/>
      <c r="CGJ66" s="37"/>
      <c r="CGK66" s="37"/>
      <c r="CGL66" s="37"/>
      <c r="CGM66" s="37"/>
      <c r="CGN66" s="37"/>
      <c r="CGO66" s="38"/>
      <c r="CGP66" s="36"/>
      <c r="CGQ66" s="65"/>
      <c r="CGR66" s="65"/>
      <c r="CGS66" s="65"/>
      <c r="CGT66" s="37"/>
      <c r="CGU66" s="133"/>
      <c r="CGV66" s="37"/>
      <c r="CGW66" s="37"/>
      <c r="CGX66" s="37"/>
      <c r="CGY66" s="37"/>
      <c r="CGZ66" s="37"/>
      <c r="CHA66" s="138"/>
      <c r="CHB66" s="37"/>
      <c r="CHC66" s="37"/>
      <c r="CHD66" s="37"/>
      <c r="CHE66" s="37"/>
      <c r="CHF66" s="37"/>
      <c r="CHG66" s="75"/>
      <c r="CHH66" s="37"/>
      <c r="CHI66" s="37"/>
      <c r="CHJ66" s="37"/>
      <c r="CHK66" s="37"/>
      <c r="CHL66" s="37"/>
      <c r="CHM66" s="138"/>
      <c r="CHN66" s="37"/>
      <c r="CHO66" s="37"/>
      <c r="CHP66" s="37"/>
      <c r="CHQ66" s="37"/>
      <c r="CHR66" s="37"/>
      <c r="CHS66" s="75"/>
      <c r="CHT66" s="65"/>
      <c r="CHU66" s="65"/>
      <c r="CHV66" s="65"/>
      <c r="CHW66" s="65"/>
      <c r="CHX66" s="37"/>
      <c r="CHY66" s="138"/>
      <c r="CHZ66" s="37"/>
      <c r="CIA66" s="37"/>
      <c r="CIB66" s="37"/>
      <c r="CIC66" s="37"/>
      <c r="CID66" s="37"/>
      <c r="CIE66" s="75"/>
      <c r="CIF66" s="37"/>
      <c r="CIG66" s="37"/>
      <c r="CIH66" s="37"/>
      <c r="CII66" s="37"/>
      <c r="CIJ66" s="37"/>
      <c r="CIK66" s="138"/>
      <c r="CIL66" s="37"/>
      <c r="CIM66" s="37"/>
      <c r="CIN66" s="37"/>
      <c r="CIO66" s="37"/>
      <c r="CIP66" s="37"/>
      <c r="CIQ66" s="75"/>
      <c r="CIR66" s="37"/>
      <c r="CIS66" s="37"/>
      <c r="CIT66" s="37"/>
      <c r="CIU66" s="37"/>
      <c r="CIV66" s="37"/>
      <c r="CIW66" s="38"/>
      <c r="CIX66" s="36"/>
      <c r="CIY66" s="65"/>
      <c r="CIZ66" s="65"/>
      <c r="CJA66" s="65"/>
      <c r="CJB66" s="37"/>
      <c r="CJC66" s="133"/>
      <c r="CJD66" s="37"/>
      <c r="CJE66" s="37"/>
      <c r="CJF66" s="37"/>
      <c r="CJG66" s="37"/>
      <c r="CJH66" s="37"/>
      <c r="CJI66" s="138"/>
      <c r="CJJ66" s="37"/>
      <c r="CJK66" s="37"/>
      <c r="CJL66" s="37"/>
      <c r="CJM66" s="37"/>
      <c r="CJN66" s="37"/>
      <c r="CJO66" s="75"/>
      <c r="CJP66" s="37"/>
      <c r="CJQ66" s="37"/>
      <c r="CJR66" s="37"/>
      <c r="CJS66" s="37"/>
      <c r="CJT66" s="37"/>
      <c r="CJU66" s="138"/>
      <c r="CJV66" s="37"/>
      <c r="CJW66" s="37"/>
      <c r="CJX66" s="37"/>
      <c r="CJY66" s="37"/>
      <c r="CJZ66" s="37"/>
      <c r="CKA66" s="75"/>
      <c r="CKB66" s="65"/>
      <c r="CKC66" s="65"/>
      <c r="CKD66" s="65"/>
      <c r="CKE66" s="65"/>
      <c r="CKF66" s="37"/>
      <c r="CKG66" s="138"/>
      <c r="CKH66" s="37"/>
      <c r="CKI66" s="37"/>
      <c r="CKJ66" s="37"/>
      <c r="CKK66" s="37"/>
      <c r="CKL66" s="37"/>
      <c r="CKM66" s="75"/>
      <c r="CKN66" s="37"/>
      <c r="CKO66" s="37"/>
      <c r="CKP66" s="37"/>
      <c r="CKQ66" s="37"/>
      <c r="CKR66" s="37"/>
      <c r="CKS66" s="138"/>
      <c r="CKT66" s="37"/>
      <c r="CKU66" s="37"/>
      <c r="CKV66" s="37"/>
      <c r="CKW66" s="37"/>
      <c r="CKX66" s="37"/>
      <c r="CKY66" s="75"/>
      <c r="CKZ66" s="37"/>
      <c r="CLA66" s="37"/>
      <c r="CLB66" s="37"/>
      <c r="CLC66" s="37"/>
      <c r="CLD66" s="37"/>
      <c r="CLE66" s="38"/>
      <c r="CLF66" s="36"/>
      <c r="CLG66" s="65"/>
      <c r="CLH66" s="65"/>
      <c r="CLI66" s="65"/>
      <c r="CLJ66" s="37"/>
      <c r="CLK66" s="133"/>
      <c r="CLL66" s="37"/>
      <c r="CLM66" s="37"/>
      <c r="CLN66" s="37"/>
      <c r="CLO66" s="37"/>
      <c r="CLP66" s="37"/>
      <c r="CLQ66" s="138"/>
      <c r="CLR66" s="37"/>
      <c r="CLS66" s="37"/>
      <c r="CLT66" s="37"/>
      <c r="CLU66" s="37"/>
      <c r="CLV66" s="37"/>
      <c r="CLW66" s="75"/>
      <c r="CLX66" s="37"/>
      <c r="CLY66" s="37"/>
      <c r="CLZ66" s="37"/>
      <c r="CMA66" s="37"/>
      <c r="CMB66" s="37"/>
      <c r="CMC66" s="138"/>
      <c r="CMD66" s="37"/>
      <c r="CME66" s="37"/>
      <c r="CMF66" s="37"/>
      <c r="CMG66" s="37"/>
      <c r="CMH66" s="37"/>
      <c r="CMI66" s="75"/>
      <c r="CMJ66" s="65"/>
      <c r="CMK66" s="65"/>
      <c r="CML66" s="65"/>
      <c r="CMM66" s="65"/>
      <c r="CMN66" s="37"/>
      <c r="CMO66" s="138"/>
      <c r="CMP66" s="37"/>
      <c r="CMQ66" s="37"/>
      <c r="CMR66" s="37"/>
      <c r="CMS66" s="37"/>
      <c r="CMT66" s="37"/>
      <c r="CMU66" s="75"/>
      <c r="CMV66" s="37"/>
      <c r="CMW66" s="37"/>
      <c r="CMX66" s="37"/>
      <c r="CMY66" s="37"/>
      <c r="CMZ66" s="37"/>
      <c r="CNA66" s="138"/>
      <c r="CNB66" s="37"/>
      <c r="CNC66" s="37"/>
      <c r="CND66" s="37"/>
      <c r="CNE66" s="37"/>
      <c r="CNF66" s="37"/>
      <c r="CNG66" s="75"/>
      <c r="CNH66" s="37"/>
      <c r="CNI66" s="37"/>
      <c r="CNJ66" s="37"/>
      <c r="CNK66" s="37"/>
      <c r="CNL66" s="37"/>
      <c r="CNM66" s="38"/>
      <c r="CNN66" s="36"/>
      <c r="CNO66" s="65"/>
      <c r="CNP66" s="65"/>
      <c r="CNQ66" s="65"/>
      <c r="CNR66" s="37"/>
      <c r="CNS66" s="133"/>
      <c r="CNT66" s="37"/>
      <c r="CNU66" s="37"/>
      <c r="CNV66" s="37"/>
      <c r="CNW66" s="37"/>
      <c r="CNX66" s="37"/>
      <c r="CNY66" s="138"/>
      <c r="CNZ66" s="37"/>
      <c r="COA66" s="37"/>
      <c r="COB66" s="37"/>
      <c r="COC66" s="37"/>
      <c r="COD66" s="37"/>
      <c r="COE66" s="75"/>
      <c r="COF66" s="37"/>
      <c r="COG66" s="37"/>
      <c r="COH66" s="37"/>
      <c r="COI66" s="37"/>
      <c r="COJ66" s="37"/>
      <c r="COK66" s="138"/>
      <c r="COL66" s="37"/>
      <c r="COM66" s="37"/>
      <c r="CON66" s="37"/>
      <c r="COO66" s="37"/>
      <c r="COP66" s="37"/>
      <c r="COQ66" s="75"/>
      <c r="COR66" s="65"/>
      <c r="COS66" s="65"/>
      <c r="COT66" s="65"/>
      <c r="COU66" s="65"/>
      <c r="COV66" s="37"/>
      <c r="COW66" s="138"/>
      <c r="COX66" s="37"/>
      <c r="COY66" s="37"/>
      <c r="COZ66" s="37"/>
      <c r="CPA66" s="37"/>
      <c r="CPB66" s="37"/>
      <c r="CPC66" s="75"/>
      <c r="CPD66" s="37"/>
      <c r="CPE66" s="37"/>
      <c r="CPF66" s="37"/>
      <c r="CPG66" s="37"/>
      <c r="CPH66" s="37"/>
      <c r="CPI66" s="138"/>
      <c r="CPJ66" s="37"/>
      <c r="CPK66" s="37"/>
      <c r="CPL66" s="37"/>
      <c r="CPM66" s="37"/>
      <c r="CPN66" s="37"/>
      <c r="CPO66" s="75"/>
      <c r="CPP66" s="37"/>
      <c r="CPQ66" s="37"/>
      <c r="CPR66" s="37"/>
      <c r="CPS66" s="37"/>
      <c r="CPT66" s="37"/>
      <c r="CPU66" s="38"/>
      <c r="CPV66" s="36"/>
      <c r="CPW66" s="65"/>
      <c r="CPX66" s="65"/>
      <c r="CPY66" s="65"/>
      <c r="CPZ66" s="37"/>
      <c r="CQA66" s="133"/>
      <c r="CQB66" s="37"/>
      <c r="CQC66" s="37"/>
      <c r="CQD66" s="37"/>
      <c r="CQE66" s="37"/>
      <c r="CQF66" s="37"/>
      <c r="CQG66" s="138"/>
      <c r="CQH66" s="37"/>
      <c r="CQI66" s="37"/>
      <c r="CQJ66" s="37"/>
      <c r="CQK66" s="37"/>
      <c r="CQL66" s="37"/>
      <c r="CQM66" s="75"/>
      <c r="CQN66" s="37"/>
      <c r="CQO66" s="37"/>
      <c r="CQP66" s="37"/>
      <c r="CQQ66" s="37"/>
      <c r="CQR66" s="37"/>
      <c r="CQS66" s="138"/>
      <c r="CQT66" s="37"/>
      <c r="CQU66" s="37"/>
      <c r="CQV66" s="37"/>
      <c r="CQW66" s="37"/>
      <c r="CQX66" s="37"/>
      <c r="CQY66" s="75"/>
      <c r="CQZ66" s="65"/>
      <c r="CRA66" s="65"/>
      <c r="CRB66" s="65"/>
      <c r="CRC66" s="65"/>
      <c r="CRD66" s="37"/>
      <c r="CRE66" s="138"/>
      <c r="CRF66" s="37"/>
      <c r="CRG66" s="37"/>
      <c r="CRH66" s="37"/>
      <c r="CRI66" s="37"/>
      <c r="CRJ66" s="37"/>
      <c r="CRK66" s="75"/>
      <c r="CRL66" s="37"/>
      <c r="CRM66" s="37"/>
      <c r="CRN66" s="37"/>
      <c r="CRO66" s="37"/>
      <c r="CRP66" s="37"/>
      <c r="CRQ66" s="138"/>
      <c r="CRR66" s="37"/>
      <c r="CRS66" s="37"/>
      <c r="CRT66" s="37"/>
      <c r="CRU66" s="37"/>
      <c r="CRV66" s="37"/>
      <c r="CRW66" s="75"/>
      <c r="CRX66" s="37"/>
      <c r="CRY66" s="37"/>
      <c r="CRZ66" s="37"/>
      <c r="CSA66" s="37"/>
      <c r="CSB66" s="37"/>
      <c r="CSC66" s="38"/>
      <c r="CSD66" s="90"/>
    </row>
    <row r="67" spans="1:2526" ht="20.100000000000001" customHeight="1" x14ac:dyDescent="0.25">
      <c r="A67" s="100" t="s">
        <v>18</v>
      </c>
      <c r="B67" s="63"/>
      <c r="C67" s="211"/>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40"/>
      <c r="BLW67" s="66"/>
      <c r="BLX67" s="66"/>
      <c r="BLY67" s="66"/>
      <c r="BLZ67" s="41"/>
      <c r="BMA67" s="134"/>
      <c r="BMB67" s="41"/>
      <c r="BMC67" s="41"/>
      <c r="BMD67" s="41"/>
      <c r="BME67" s="41"/>
      <c r="BMF67" s="41"/>
      <c r="BMG67" s="139"/>
      <c r="BMH67" s="41"/>
      <c r="BMI67" s="41"/>
      <c r="BMJ67" s="41"/>
      <c r="BMK67" s="41"/>
      <c r="BML67" s="41"/>
      <c r="BMM67" s="76"/>
      <c r="BMN67" s="41"/>
      <c r="BMO67" s="41"/>
      <c r="BMP67" s="41"/>
      <c r="BMQ67" s="41"/>
      <c r="BMR67" s="41"/>
      <c r="BMS67" s="139"/>
      <c r="BMT67" s="41"/>
      <c r="BMU67" s="41"/>
      <c r="BMV67" s="41"/>
      <c r="BMW67" s="41"/>
      <c r="BMX67" s="41"/>
      <c r="BMY67" s="76"/>
      <c r="BMZ67" s="66"/>
      <c r="BNA67" s="66"/>
      <c r="BNB67" s="66"/>
      <c r="BNC67" s="66"/>
      <c r="BND67" s="41"/>
      <c r="BNE67" s="139"/>
      <c r="BNF67" s="41"/>
      <c r="BNG67" s="41"/>
      <c r="BNH67" s="41"/>
      <c r="BNI67" s="41"/>
      <c r="BNJ67" s="41"/>
      <c r="BNK67" s="76"/>
      <c r="BNL67" s="41"/>
      <c r="BNM67" s="41"/>
      <c r="BNN67" s="41"/>
      <c r="BNO67" s="41"/>
      <c r="BNP67" s="41"/>
      <c r="BNQ67" s="139"/>
      <c r="BNR67" s="41"/>
      <c r="BNS67" s="41"/>
      <c r="BNT67" s="41"/>
      <c r="BNU67" s="41"/>
      <c r="BNV67" s="41"/>
      <c r="BNW67" s="76"/>
      <c r="BNX67" s="41"/>
      <c r="BNY67" s="41"/>
      <c r="BNZ67" s="41"/>
      <c r="BOA67" s="41"/>
      <c r="BOB67" s="41"/>
      <c r="BOC67" s="42"/>
      <c r="BOD67" s="40"/>
      <c r="BOE67" s="66"/>
      <c r="BOF67" s="66"/>
      <c r="BOG67" s="66"/>
      <c r="BOH67" s="41"/>
      <c r="BOI67" s="134"/>
      <c r="BOJ67" s="41"/>
      <c r="BOK67" s="41"/>
      <c r="BOL67" s="41"/>
      <c r="BOM67" s="41"/>
      <c r="BON67" s="41"/>
      <c r="BOO67" s="139"/>
      <c r="BOP67" s="41"/>
      <c r="BOQ67" s="41"/>
      <c r="BOR67" s="41"/>
      <c r="BOS67" s="41"/>
      <c r="BOT67" s="41"/>
      <c r="BOU67" s="76"/>
      <c r="BOV67" s="41"/>
      <c r="BOW67" s="41"/>
      <c r="BOX67" s="41"/>
      <c r="BOY67" s="41"/>
      <c r="BOZ67" s="41"/>
      <c r="BPA67" s="139"/>
      <c r="BPB67" s="41"/>
      <c r="BPC67" s="41"/>
      <c r="BPD67" s="41"/>
      <c r="BPE67" s="41"/>
      <c r="BPF67" s="41"/>
      <c r="BPG67" s="76"/>
      <c r="BPH67" s="66"/>
      <c r="BPI67" s="66"/>
      <c r="BPJ67" s="66"/>
      <c r="BPK67" s="66"/>
      <c r="BPL67" s="41"/>
      <c r="BPM67" s="139"/>
      <c r="BPN67" s="41"/>
      <c r="BPO67" s="41"/>
      <c r="BPP67" s="41"/>
      <c r="BPQ67" s="41"/>
      <c r="BPR67" s="41"/>
      <c r="BPS67" s="76"/>
      <c r="BPT67" s="41"/>
      <c r="BPU67" s="41"/>
      <c r="BPV67" s="41"/>
      <c r="BPW67" s="41"/>
      <c r="BPX67" s="41"/>
      <c r="BPY67" s="139"/>
      <c r="BPZ67" s="41"/>
      <c r="BQA67" s="41"/>
      <c r="BQB67" s="41"/>
      <c r="BQC67" s="41"/>
      <c r="BQD67" s="41"/>
      <c r="BQE67" s="76"/>
      <c r="BQF67" s="41"/>
      <c r="BQG67" s="41"/>
      <c r="BQH67" s="41"/>
      <c r="BQI67" s="41"/>
      <c r="BQJ67" s="41"/>
      <c r="BQK67" s="42"/>
      <c r="BQL67" s="40"/>
      <c r="BQM67" s="66"/>
      <c r="BQN67" s="66"/>
      <c r="BQO67" s="66"/>
      <c r="BQP67" s="41"/>
      <c r="BQQ67" s="134"/>
      <c r="BQR67" s="41"/>
      <c r="BQS67" s="41"/>
      <c r="BQT67" s="41"/>
      <c r="BQU67" s="41"/>
      <c r="BQV67" s="41"/>
      <c r="BQW67" s="139"/>
      <c r="BQX67" s="41"/>
      <c r="BQY67" s="41"/>
      <c r="BQZ67" s="41"/>
      <c r="BRA67" s="41"/>
      <c r="BRB67" s="41"/>
      <c r="BRC67" s="76"/>
      <c r="BRD67" s="41"/>
      <c r="BRE67" s="41"/>
      <c r="BRF67" s="41"/>
      <c r="BRG67" s="41"/>
      <c r="BRH67" s="41"/>
      <c r="BRI67" s="139"/>
      <c r="BRJ67" s="41"/>
      <c r="BRK67" s="41"/>
      <c r="BRL67" s="41"/>
      <c r="BRM67" s="41"/>
      <c r="BRN67" s="41"/>
      <c r="BRO67" s="76"/>
      <c r="BRP67" s="66"/>
      <c r="BRQ67" s="66"/>
      <c r="BRR67" s="66"/>
      <c r="BRS67" s="66"/>
      <c r="BRT67" s="41"/>
      <c r="BRU67" s="139"/>
      <c r="BRV67" s="41"/>
      <c r="BRW67" s="41"/>
      <c r="BRX67" s="41"/>
      <c r="BRY67" s="41"/>
      <c r="BRZ67" s="41"/>
      <c r="BSA67" s="76"/>
      <c r="BSB67" s="41"/>
      <c r="BSC67" s="41"/>
      <c r="BSD67" s="41"/>
      <c r="BSE67" s="41"/>
      <c r="BSF67" s="41"/>
      <c r="BSG67" s="139"/>
      <c r="BSH67" s="41"/>
      <c r="BSI67" s="41"/>
      <c r="BSJ67" s="41"/>
      <c r="BSK67" s="41"/>
      <c r="BSL67" s="41"/>
      <c r="BSM67" s="76"/>
      <c r="BSN67" s="41"/>
      <c r="BSO67" s="41"/>
      <c r="BSP67" s="41"/>
      <c r="BSQ67" s="41"/>
      <c r="BSR67" s="41"/>
      <c r="BSS67" s="42"/>
      <c r="BST67" s="40"/>
      <c r="BSU67" s="66"/>
      <c r="BSV67" s="66"/>
      <c r="BSW67" s="66"/>
      <c r="BSX67" s="41"/>
      <c r="BSY67" s="134"/>
      <c r="BSZ67" s="41"/>
      <c r="BTA67" s="41"/>
      <c r="BTB67" s="41"/>
      <c r="BTC67" s="41"/>
      <c r="BTD67" s="41"/>
      <c r="BTE67" s="139"/>
      <c r="BTF67" s="41"/>
      <c r="BTG67" s="41"/>
      <c r="BTH67" s="41"/>
      <c r="BTI67" s="41"/>
      <c r="BTJ67" s="41"/>
      <c r="BTK67" s="76"/>
      <c r="BTL67" s="41"/>
      <c r="BTM67" s="41"/>
      <c r="BTN67" s="41"/>
      <c r="BTO67" s="41"/>
      <c r="BTP67" s="41"/>
      <c r="BTQ67" s="139"/>
      <c r="BTR67" s="41"/>
      <c r="BTS67" s="41"/>
      <c r="BTT67" s="41"/>
      <c r="BTU67" s="41"/>
      <c r="BTV67" s="41"/>
      <c r="BTW67" s="76"/>
      <c r="BTX67" s="66"/>
      <c r="BTY67" s="66"/>
      <c r="BTZ67" s="66"/>
      <c r="BUA67" s="66"/>
      <c r="BUB67" s="41"/>
      <c r="BUC67" s="139"/>
      <c r="BUD67" s="41"/>
      <c r="BUE67" s="41"/>
      <c r="BUF67" s="41"/>
      <c r="BUG67" s="41"/>
      <c r="BUH67" s="41"/>
      <c r="BUI67" s="76"/>
      <c r="BUJ67" s="41"/>
      <c r="BUK67" s="41"/>
      <c r="BUL67" s="41"/>
      <c r="BUM67" s="41"/>
      <c r="BUN67" s="41"/>
      <c r="BUO67" s="139"/>
      <c r="BUP67" s="41"/>
      <c r="BUQ67" s="41"/>
      <c r="BUR67" s="41"/>
      <c r="BUS67" s="41"/>
      <c r="BUT67" s="41"/>
      <c r="BUU67" s="76"/>
      <c r="BUV67" s="41"/>
      <c r="BUW67" s="41"/>
      <c r="BUX67" s="41"/>
      <c r="BUY67" s="41"/>
      <c r="BUZ67" s="41"/>
      <c r="BVA67" s="42"/>
      <c r="BVB67" s="40"/>
      <c r="BVC67" s="66"/>
      <c r="BVD67" s="66"/>
      <c r="BVE67" s="66"/>
      <c r="BVF67" s="41"/>
      <c r="BVG67" s="134"/>
      <c r="BVH67" s="41"/>
      <c r="BVI67" s="41"/>
      <c r="BVJ67" s="41"/>
      <c r="BVK67" s="41"/>
      <c r="BVL67" s="41"/>
      <c r="BVM67" s="139"/>
      <c r="BVN67" s="41"/>
      <c r="BVO67" s="41"/>
      <c r="BVP67" s="41"/>
      <c r="BVQ67" s="41"/>
      <c r="BVR67" s="41"/>
      <c r="BVS67" s="76"/>
      <c r="BVT67" s="41"/>
      <c r="BVU67" s="41"/>
      <c r="BVV67" s="41"/>
      <c r="BVW67" s="41"/>
      <c r="BVX67" s="41"/>
      <c r="BVY67" s="139"/>
      <c r="BVZ67" s="41"/>
      <c r="BWA67" s="41"/>
      <c r="BWB67" s="41"/>
      <c r="BWC67" s="41"/>
      <c r="BWD67" s="41"/>
      <c r="BWE67" s="76"/>
      <c r="BWF67" s="66"/>
      <c r="BWG67" s="66"/>
      <c r="BWH67" s="66"/>
      <c r="BWI67" s="66"/>
      <c r="BWJ67" s="41"/>
      <c r="BWK67" s="139"/>
      <c r="BWL67" s="41"/>
      <c r="BWM67" s="41"/>
      <c r="BWN67" s="41"/>
      <c r="BWO67" s="41"/>
      <c r="BWP67" s="41"/>
      <c r="BWQ67" s="76"/>
      <c r="BWR67" s="41"/>
      <c r="BWS67" s="41"/>
      <c r="BWT67" s="41"/>
      <c r="BWU67" s="41"/>
      <c r="BWV67" s="41"/>
      <c r="BWW67" s="139"/>
      <c r="BWX67" s="41"/>
      <c r="BWY67" s="41"/>
      <c r="BWZ67" s="41"/>
      <c r="BXA67" s="41"/>
      <c r="BXB67" s="41"/>
      <c r="BXC67" s="76"/>
      <c r="BXD67" s="41"/>
      <c r="BXE67" s="41"/>
      <c r="BXF67" s="41"/>
      <c r="BXG67" s="41"/>
      <c r="BXH67" s="41"/>
      <c r="BXI67" s="42"/>
      <c r="BXJ67" s="40"/>
      <c r="BXK67" s="66"/>
      <c r="BXL67" s="66"/>
      <c r="BXM67" s="66"/>
      <c r="BXN67" s="41"/>
      <c r="BXO67" s="134"/>
      <c r="BXP67" s="41"/>
      <c r="BXQ67" s="41"/>
      <c r="BXR67" s="41"/>
      <c r="BXS67" s="41"/>
      <c r="BXT67" s="41"/>
      <c r="BXU67" s="139"/>
      <c r="BXV67" s="41"/>
      <c r="BXW67" s="41"/>
      <c r="BXX67" s="41"/>
      <c r="BXY67" s="41"/>
      <c r="BXZ67" s="41"/>
      <c r="BYA67" s="76"/>
      <c r="BYB67" s="41"/>
      <c r="BYC67" s="41"/>
      <c r="BYD67" s="41"/>
      <c r="BYE67" s="41"/>
      <c r="BYF67" s="41"/>
      <c r="BYG67" s="139"/>
      <c r="BYH67" s="41"/>
      <c r="BYI67" s="41"/>
      <c r="BYJ67" s="41"/>
      <c r="BYK67" s="41"/>
      <c r="BYL67" s="41"/>
      <c r="BYM67" s="76"/>
      <c r="BYN67" s="66"/>
      <c r="BYO67" s="66"/>
      <c r="BYP67" s="66"/>
      <c r="BYQ67" s="66"/>
      <c r="BYR67" s="41"/>
      <c r="BYS67" s="139"/>
      <c r="BYT67" s="41"/>
      <c r="BYU67" s="41"/>
      <c r="BYV67" s="41"/>
      <c r="BYW67" s="41"/>
      <c r="BYX67" s="41"/>
      <c r="BYY67" s="76"/>
      <c r="BYZ67" s="41"/>
      <c r="BZA67" s="41"/>
      <c r="BZB67" s="41"/>
      <c r="BZC67" s="41"/>
      <c r="BZD67" s="41"/>
      <c r="BZE67" s="139"/>
      <c r="BZF67" s="41"/>
      <c r="BZG67" s="41"/>
      <c r="BZH67" s="41"/>
      <c r="BZI67" s="41"/>
      <c r="BZJ67" s="41"/>
      <c r="BZK67" s="76"/>
      <c r="BZL67" s="41"/>
      <c r="BZM67" s="41"/>
      <c r="BZN67" s="41"/>
      <c r="BZO67" s="41"/>
      <c r="BZP67" s="41"/>
      <c r="BZQ67" s="42"/>
      <c r="BZR67" s="40"/>
      <c r="BZS67" s="66"/>
      <c r="BZT67" s="66"/>
      <c r="BZU67" s="66"/>
      <c r="BZV67" s="41"/>
      <c r="BZW67" s="134"/>
      <c r="BZX67" s="41"/>
      <c r="BZY67" s="41"/>
      <c r="BZZ67" s="41"/>
      <c r="CAA67" s="41"/>
      <c r="CAB67" s="41"/>
      <c r="CAC67" s="139"/>
      <c r="CAD67" s="41"/>
      <c r="CAE67" s="41"/>
      <c r="CAF67" s="41"/>
      <c r="CAG67" s="41"/>
      <c r="CAH67" s="41"/>
      <c r="CAI67" s="76"/>
      <c r="CAJ67" s="41"/>
      <c r="CAK67" s="41"/>
      <c r="CAL67" s="41"/>
      <c r="CAM67" s="41"/>
      <c r="CAN67" s="41"/>
      <c r="CAO67" s="139"/>
      <c r="CAP67" s="41"/>
      <c r="CAQ67" s="41"/>
      <c r="CAR67" s="41"/>
      <c r="CAS67" s="41"/>
      <c r="CAT67" s="41"/>
      <c r="CAU67" s="76"/>
      <c r="CAV67" s="66"/>
      <c r="CAW67" s="66"/>
      <c r="CAX67" s="66"/>
      <c r="CAY67" s="66"/>
      <c r="CAZ67" s="41"/>
      <c r="CBA67" s="139"/>
      <c r="CBB67" s="41"/>
      <c r="CBC67" s="41"/>
      <c r="CBD67" s="41"/>
      <c r="CBE67" s="41"/>
      <c r="CBF67" s="41"/>
      <c r="CBG67" s="76"/>
      <c r="CBH67" s="41"/>
      <c r="CBI67" s="41"/>
      <c r="CBJ67" s="41"/>
      <c r="CBK67" s="41"/>
      <c r="CBL67" s="41"/>
      <c r="CBM67" s="139"/>
      <c r="CBN67" s="41"/>
      <c r="CBO67" s="41"/>
      <c r="CBP67" s="41"/>
      <c r="CBQ67" s="41"/>
      <c r="CBR67" s="41"/>
      <c r="CBS67" s="76"/>
      <c r="CBT67" s="41"/>
      <c r="CBU67" s="41"/>
      <c r="CBV67" s="41"/>
      <c r="CBW67" s="41"/>
      <c r="CBX67" s="41"/>
      <c r="CBY67" s="42"/>
      <c r="CBZ67" s="40"/>
      <c r="CCA67" s="66"/>
      <c r="CCB67" s="66"/>
      <c r="CCC67" s="66"/>
      <c r="CCD67" s="41"/>
      <c r="CCE67" s="134"/>
      <c r="CCF67" s="41"/>
      <c r="CCG67" s="41"/>
      <c r="CCH67" s="41"/>
      <c r="CCI67" s="41"/>
      <c r="CCJ67" s="41"/>
      <c r="CCK67" s="139"/>
      <c r="CCL67" s="41"/>
      <c r="CCM67" s="41"/>
      <c r="CCN67" s="41"/>
      <c r="CCO67" s="41"/>
      <c r="CCP67" s="41"/>
      <c r="CCQ67" s="76"/>
      <c r="CCR67" s="41"/>
      <c r="CCS67" s="41"/>
      <c r="CCT67" s="41"/>
      <c r="CCU67" s="41"/>
      <c r="CCV67" s="41"/>
      <c r="CCW67" s="139"/>
      <c r="CCX67" s="41"/>
      <c r="CCY67" s="41"/>
      <c r="CCZ67" s="41"/>
      <c r="CDA67" s="41"/>
      <c r="CDB67" s="41"/>
      <c r="CDC67" s="76"/>
      <c r="CDD67" s="66"/>
      <c r="CDE67" s="66"/>
      <c r="CDF67" s="66"/>
      <c r="CDG67" s="66"/>
      <c r="CDH67" s="41"/>
      <c r="CDI67" s="139"/>
      <c r="CDJ67" s="41"/>
      <c r="CDK67" s="41"/>
      <c r="CDL67" s="41"/>
      <c r="CDM67" s="41"/>
      <c r="CDN67" s="41"/>
      <c r="CDO67" s="76"/>
      <c r="CDP67" s="41"/>
      <c r="CDQ67" s="41"/>
      <c r="CDR67" s="41"/>
      <c r="CDS67" s="41"/>
      <c r="CDT67" s="41"/>
      <c r="CDU67" s="139"/>
      <c r="CDV67" s="41"/>
      <c r="CDW67" s="41"/>
      <c r="CDX67" s="41"/>
      <c r="CDY67" s="41"/>
      <c r="CDZ67" s="41"/>
      <c r="CEA67" s="76"/>
      <c r="CEB67" s="41"/>
      <c r="CEC67" s="41"/>
      <c r="CED67" s="41"/>
      <c r="CEE67" s="41"/>
      <c r="CEF67" s="41"/>
      <c r="CEG67" s="42"/>
      <c r="CEH67" s="40"/>
      <c r="CEI67" s="66"/>
      <c r="CEJ67" s="66"/>
      <c r="CEK67" s="66"/>
      <c r="CEL67" s="41"/>
      <c r="CEM67" s="134"/>
      <c r="CEN67" s="41"/>
      <c r="CEO67" s="41"/>
      <c r="CEP67" s="41"/>
      <c r="CEQ67" s="41"/>
      <c r="CER67" s="41"/>
      <c r="CES67" s="139"/>
      <c r="CET67" s="41"/>
      <c r="CEU67" s="41"/>
      <c r="CEV67" s="41"/>
      <c r="CEW67" s="41"/>
      <c r="CEX67" s="41"/>
      <c r="CEY67" s="76"/>
      <c r="CEZ67" s="41"/>
      <c r="CFA67" s="41"/>
      <c r="CFB67" s="41"/>
      <c r="CFC67" s="41"/>
      <c r="CFD67" s="41"/>
      <c r="CFE67" s="139"/>
      <c r="CFF67" s="41"/>
      <c r="CFG67" s="41"/>
      <c r="CFH67" s="41"/>
      <c r="CFI67" s="41"/>
      <c r="CFJ67" s="41"/>
      <c r="CFK67" s="76"/>
      <c r="CFL67" s="66"/>
      <c r="CFM67" s="66"/>
      <c r="CFN67" s="66"/>
      <c r="CFO67" s="66"/>
      <c r="CFP67" s="41"/>
      <c r="CFQ67" s="139"/>
      <c r="CFR67" s="41"/>
      <c r="CFS67" s="41"/>
      <c r="CFT67" s="41"/>
      <c r="CFU67" s="41"/>
      <c r="CFV67" s="41"/>
      <c r="CFW67" s="76"/>
      <c r="CFX67" s="41"/>
      <c r="CFY67" s="41"/>
      <c r="CFZ67" s="41"/>
      <c r="CGA67" s="41"/>
      <c r="CGB67" s="41"/>
      <c r="CGC67" s="139"/>
      <c r="CGD67" s="41"/>
      <c r="CGE67" s="41"/>
      <c r="CGF67" s="41"/>
      <c r="CGG67" s="41"/>
      <c r="CGH67" s="41"/>
      <c r="CGI67" s="76"/>
      <c r="CGJ67" s="41"/>
      <c r="CGK67" s="41"/>
      <c r="CGL67" s="41"/>
      <c r="CGM67" s="41"/>
      <c r="CGN67" s="41"/>
      <c r="CGO67" s="42"/>
      <c r="CGP67" s="40"/>
      <c r="CGQ67" s="66"/>
      <c r="CGR67" s="66"/>
      <c r="CGS67" s="66"/>
      <c r="CGT67" s="41"/>
      <c r="CGU67" s="134"/>
      <c r="CGV67" s="41"/>
      <c r="CGW67" s="41"/>
      <c r="CGX67" s="41"/>
      <c r="CGY67" s="41"/>
      <c r="CGZ67" s="41"/>
      <c r="CHA67" s="139"/>
      <c r="CHB67" s="41"/>
      <c r="CHC67" s="41"/>
      <c r="CHD67" s="41"/>
      <c r="CHE67" s="41"/>
      <c r="CHF67" s="41"/>
      <c r="CHG67" s="76"/>
      <c r="CHH67" s="41"/>
      <c r="CHI67" s="41"/>
      <c r="CHJ67" s="41"/>
      <c r="CHK67" s="41"/>
      <c r="CHL67" s="41"/>
      <c r="CHM67" s="139"/>
      <c r="CHN67" s="41"/>
      <c r="CHO67" s="41"/>
      <c r="CHP67" s="41"/>
      <c r="CHQ67" s="41"/>
      <c r="CHR67" s="41"/>
      <c r="CHS67" s="76"/>
      <c r="CHT67" s="66"/>
      <c r="CHU67" s="66"/>
      <c r="CHV67" s="66"/>
      <c r="CHW67" s="66"/>
      <c r="CHX67" s="41"/>
      <c r="CHY67" s="139"/>
      <c r="CHZ67" s="41"/>
      <c r="CIA67" s="41"/>
      <c r="CIB67" s="41"/>
      <c r="CIC67" s="41"/>
      <c r="CID67" s="41"/>
      <c r="CIE67" s="76"/>
      <c r="CIF67" s="41"/>
      <c r="CIG67" s="41"/>
      <c r="CIH67" s="41"/>
      <c r="CII67" s="41"/>
      <c r="CIJ67" s="41"/>
      <c r="CIK67" s="139"/>
      <c r="CIL67" s="41"/>
      <c r="CIM67" s="41"/>
      <c r="CIN67" s="41"/>
      <c r="CIO67" s="41"/>
      <c r="CIP67" s="41"/>
      <c r="CIQ67" s="76"/>
      <c r="CIR67" s="41"/>
      <c r="CIS67" s="41"/>
      <c r="CIT67" s="41"/>
      <c r="CIU67" s="41"/>
      <c r="CIV67" s="41"/>
      <c r="CIW67" s="42"/>
      <c r="CIX67" s="40"/>
      <c r="CIY67" s="66"/>
      <c r="CIZ67" s="66"/>
      <c r="CJA67" s="66"/>
      <c r="CJB67" s="41"/>
      <c r="CJC67" s="134"/>
      <c r="CJD67" s="41"/>
      <c r="CJE67" s="41"/>
      <c r="CJF67" s="41"/>
      <c r="CJG67" s="41"/>
      <c r="CJH67" s="41"/>
      <c r="CJI67" s="139"/>
      <c r="CJJ67" s="41"/>
      <c r="CJK67" s="41"/>
      <c r="CJL67" s="41"/>
      <c r="CJM67" s="41"/>
      <c r="CJN67" s="41"/>
      <c r="CJO67" s="76"/>
      <c r="CJP67" s="41"/>
      <c r="CJQ67" s="41"/>
      <c r="CJR67" s="41"/>
      <c r="CJS67" s="41"/>
      <c r="CJT67" s="41"/>
      <c r="CJU67" s="139"/>
      <c r="CJV67" s="41"/>
      <c r="CJW67" s="41"/>
      <c r="CJX67" s="41"/>
      <c r="CJY67" s="41"/>
      <c r="CJZ67" s="41"/>
      <c r="CKA67" s="76"/>
      <c r="CKB67" s="66"/>
      <c r="CKC67" s="66"/>
      <c r="CKD67" s="66"/>
      <c r="CKE67" s="66"/>
      <c r="CKF67" s="41"/>
      <c r="CKG67" s="139"/>
      <c r="CKH67" s="41"/>
      <c r="CKI67" s="41"/>
      <c r="CKJ67" s="41"/>
      <c r="CKK67" s="41"/>
      <c r="CKL67" s="41"/>
      <c r="CKM67" s="76"/>
      <c r="CKN67" s="41"/>
      <c r="CKO67" s="41"/>
      <c r="CKP67" s="41"/>
      <c r="CKQ67" s="41"/>
      <c r="CKR67" s="41"/>
      <c r="CKS67" s="139"/>
      <c r="CKT67" s="41"/>
      <c r="CKU67" s="41"/>
      <c r="CKV67" s="41"/>
      <c r="CKW67" s="41"/>
      <c r="CKX67" s="41"/>
      <c r="CKY67" s="76"/>
      <c r="CKZ67" s="41"/>
      <c r="CLA67" s="41"/>
      <c r="CLB67" s="41"/>
      <c r="CLC67" s="41"/>
      <c r="CLD67" s="41"/>
      <c r="CLE67" s="42"/>
      <c r="CLF67" s="40"/>
      <c r="CLG67" s="66"/>
      <c r="CLH67" s="66"/>
      <c r="CLI67" s="66"/>
      <c r="CLJ67" s="41"/>
      <c r="CLK67" s="134"/>
      <c r="CLL67" s="41"/>
      <c r="CLM67" s="41"/>
      <c r="CLN67" s="41"/>
      <c r="CLO67" s="41"/>
      <c r="CLP67" s="41"/>
      <c r="CLQ67" s="139"/>
      <c r="CLR67" s="41"/>
      <c r="CLS67" s="41"/>
      <c r="CLT67" s="41"/>
      <c r="CLU67" s="41"/>
      <c r="CLV67" s="41"/>
      <c r="CLW67" s="76"/>
      <c r="CLX67" s="41"/>
      <c r="CLY67" s="41"/>
      <c r="CLZ67" s="41"/>
      <c r="CMA67" s="41"/>
      <c r="CMB67" s="41"/>
      <c r="CMC67" s="139"/>
      <c r="CMD67" s="41"/>
      <c r="CME67" s="41"/>
      <c r="CMF67" s="41"/>
      <c r="CMG67" s="41"/>
      <c r="CMH67" s="41"/>
      <c r="CMI67" s="76"/>
      <c r="CMJ67" s="66"/>
      <c r="CMK67" s="66"/>
      <c r="CML67" s="66"/>
      <c r="CMM67" s="66"/>
      <c r="CMN67" s="41"/>
      <c r="CMO67" s="139"/>
      <c r="CMP67" s="41"/>
      <c r="CMQ67" s="41"/>
      <c r="CMR67" s="41"/>
      <c r="CMS67" s="41"/>
      <c r="CMT67" s="41"/>
      <c r="CMU67" s="76"/>
      <c r="CMV67" s="41"/>
      <c r="CMW67" s="41"/>
      <c r="CMX67" s="41"/>
      <c r="CMY67" s="41"/>
      <c r="CMZ67" s="41"/>
      <c r="CNA67" s="139"/>
      <c r="CNB67" s="41"/>
      <c r="CNC67" s="41"/>
      <c r="CND67" s="41"/>
      <c r="CNE67" s="41"/>
      <c r="CNF67" s="41"/>
      <c r="CNG67" s="76"/>
      <c r="CNH67" s="41"/>
      <c r="CNI67" s="41"/>
      <c r="CNJ67" s="41"/>
      <c r="CNK67" s="41"/>
      <c r="CNL67" s="41"/>
      <c r="CNM67" s="42"/>
      <c r="CNN67" s="40"/>
      <c r="CNO67" s="66"/>
      <c r="CNP67" s="66"/>
      <c r="CNQ67" s="66"/>
      <c r="CNR67" s="41"/>
      <c r="CNS67" s="134"/>
      <c r="CNT67" s="41"/>
      <c r="CNU67" s="41"/>
      <c r="CNV67" s="41"/>
      <c r="CNW67" s="41"/>
      <c r="CNX67" s="41"/>
      <c r="CNY67" s="139"/>
      <c r="CNZ67" s="41"/>
      <c r="COA67" s="41"/>
      <c r="COB67" s="41"/>
      <c r="COC67" s="41"/>
      <c r="COD67" s="41"/>
      <c r="COE67" s="76"/>
      <c r="COF67" s="41"/>
      <c r="COG67" s="41"/>
      <c r="COH67" s="41"/>
      <c r="COI67" s="41"/>
      <c r="COJ67" s="41"/>
      <c r="COK67" s="139"/>
      <c r="COL67" s="41"/>
      <c r="COM67" s="41"/>
      <c r="CON67" s="41"/>
      <c r="COO67" s="41"/>
      <c r="COP67" s="41"/>
      <c r="COQ67" s="76"/>
      <c r="COR67" s="66"/>
      <c r="COS67" s="66"/>
      <c r="COT67" s="66"/>
      <c r="COU67" s="66"/>
      <c r="COV67" s="41"/>
      <c r="COW67" s="139"/>
      <c r="COX67" s="41"/>
      <c r="COY67" s="41"/>
      <c r="COZ67" s="41"/>
      <c r="CPA67" s="41"/>
      <c r="CPB67" s="41"/>
      <c r="CPC67" s="76"/>
      <c r="CPD67" s="41"/>
      <c r="CPE67" s="41"/>
      <c r="CPF67" s="41"/>
      <c r="CPG67" s="41"/>
      <c r="CPH67" s="41"/>
      <c r="CPI67" s="139"/>
      <c r="CPJ67" s="41"/>
      <c r="CPK67" s="41"/>
      <c r="CPL67" s="41"/>
      <c r="CPM67" s="41"/>
      <c r="CPN67" s="41"/>
      <c r="CPO67" s="76"/>
      <c r="CPP67" s="41"/>
      <c r="CPQ67" s="41"/>
      <c r="CPR67" s="41"/>
      <c r="CPS67" s="41"/>
      <c r="CPT67" s="41"/>
      <c r="CPU67" s="42"/>
      <c r="CPV67" s="40"/>
      <c r="CPW67" s="66"/>
      <c r="CPX67" s="66"/>
      <c r="CPY67" s="66"/>
      <c r="CPZ67" s="41"/>
      <c r="CQA67" s="134"/>
      <c r="CQB67" s="41"/>
      <c r="CQC67" s="41"/>
      <c r="CQD67" s="41"/>
      <c r="CQE67" s="41"/>
      <c r="CQF67" s="41"/>
      <c r="CQG67" s="139"/>
      <c r="CQH67" s="41"/>
      <c r="CQI67" s="41"/>
      <c r="CQJ67" s="41"/>
      <c r="CQK67" s="41"/>
      <c r="CQL67" s="41"/>
      <c r="CQM67" s="76"/>
      <c r="CQN67" s="41"/>
      <c r="CQO67" s="41"/>
      <c r="CQP67" s="41"/>
      <c r="CQQ67" s="41"/>
      <c r="CQR67" s="41"/>
      <c r="CQS67" s="139"/>
      <c r="CQT67" s="41"/>
      <c r="CQU67" s="41"/>
      <c r="CQV67" s="41"/>
      <c r="CQW67" s="41"/>
      <c r="CQX67" s="41"/>
      <c r="CQY67" s="76"/>
      <c r="CQZ67" s="66"/>
      <c r="CRA67" s="66"/>
      <c r="CRB67" s="66"/>
      <c r="CRC67" s="66"/>
      <c r="CRD67" s="41"/>
      <c r="CRE67" s="139"/>
      <c r="CRF67" s="41"/>
      <c r="CRG67" s="41"/>
      <c r="CRH67" s="41"/>
      <c r="CRI67" s="41"/>
      <c r="CRJ67" s="41"/>
      <c r="CRK67" s="76"/>
      <c r="CRL67" s="41"/>
      <c r="CRM67" s="41"/>
      <c r="CRN67" s="41"/>
      <c r="CRO67" s="41"/>
      <c r="CRP67" s="41"/>
      <c r="CRQ67" s="139"/>
      <c r="CRR67" s="41"/>
      <c r="CRS67" s="41"/>
      <c r="CRT67" s="41"/>
      <c r="CRU67" s="41"/>
      <c r="CRV67" s="41"/>
      <c r="CRW67" s="76"/>
      <c r="CRX67" s="41"/>
      <c r="CRY67" s="41"/>
      <c r="CRZ67" s="41"/>
      <c r="CSA67" s="41"/>
      <c r="CSB67" s="41"/>
      <c r="CSC67" s="42"/>
      <c r="CSD67" s="90"/>
    </row>
    <row r="68" spans="1:2526" ht="20.100000000000001" customHeight="1" x14ac:dyDescent="0.25">
      <c r="A68" s="100" t="s">
        <v>19</v>
      </c>
      <c r="B68" s="63"/>
      <c r="C68" s="212"/>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28"/>
      <c r="BLW68" s="67"/>
      <c r="BLX68" s="67"/>
      <c r="BLY68" s="67"/>
      <c r="BLZ68" s="29"/>
      <c r="BMA68" s="131"/>
      <c r="BMB68" s="29"/>
      <c r="BMC68" s="29"/>
      <c r="BMD68" s="29"/>
      <c r="BME68" s="29"/>
      <c r="BMF68" s="29"/>
      <c r="BMG68" s="136"/>
      <c r="BMH68" s="29"/>
      <c r="BMI68" s="29"/>
      <c r="BMJ68" s="29"/>
      <c r="BMK68" s="29"/>
      <c r="BML68" s="29"/>
      <c r="BMM68" s="73"/>
      <c r="BMN68" s="29"/>
      <c r="BMO68" s="29"/>
      <c r="BMP68" s="29"/>
      <c r="BMQ68" s="29"/>
      <c r="BMR68" s="29"/>
      <c r="BMS68" s="136"/>
      <c r="BMT68" s="29"/>
      <c r="BMU68" s="29"/>
      <c r="BMV68" s="29"/>
      <c r="BMW68" s="29"/>
      <c r="BMX68" s="29"/>
      <c r="BMY68" s="73"/>
      <c r="BMZ68" s="67"/>
      <c r="BNA68" s="67"/>
      <c r="BNB68" s="67"/>
      <c r="BNC68" s="67"/>
      <c r="BND68" s="29"/>
      <c r="BNE68" s="136"/>
      <c r="BNF68" s="29"/>
      <c r="BNG68" s="29"/>
      <c r="BNH68" s="29"/>
      <c r="BNI68" s="29"/>
      <c r="BNJ68" s="29"/>
      <c r="BNK68" s="73"/>
      <c r="BNL68" s="29"/>
      <c r="BNM68" s="29"/>
      <c r="BNN68" s="29"/>
      <c r="BNO68" s="29"/>
      <c r="BNP68" s="29"/>
      <c r="BNQ68" s="136"/>
      <c r="BNR68" s="29"/>
      <c r="BNS68" s="29"/>
      <c r="BNT68" s="29"/>
      <c r="BNU68" s="29"/>
      <c r="BNV68" s="29"/>
      <c r="BNW68" s="73"/>
      <c r="BNX68" s="29"/>
      <c r="BNY68" s="29"/>
      <c r="BNZ68" s="29"/>
      <c r="BOA68" s="29"/>
      <c r="BOB68" s="29"/>
      <c r="BOC68" s="30"/>
      <c r="BOD68" s="28"/>
      <c r="BOE68" s="67"/>
      <c r="BOF68" s="67"/>
      <c r="BOG68" s="67"/>
      <c r="BOH68" s="29"/>
      <c r="BOI68" s="131"/>
      <c r="BOJ68" s="29"/>
      <c r="BOK68" s="29"/>
      <c r="BOL68" s="29"/>
      <c r="BOM68" s="29"/>
      <c r="BON68" s="29"/>
      <c r="BOO68" s="136"/>
      <c r="BOP68" s="29"/>
      <c r="BOQ68" s="29"/>
      <c r="BOR68" s="29"/>
      <c r="BOS68" s="29"/>
      <c r="BOT68" s="29"/>
      <c r="BOU68" s="73"/>
      <c r="BOV68" s="29"/>
      <c r="BOW68" s="29"/>
      <c r="BOX68" s="29"/>
      <c r="BOY68" s="29"/>
      <c r="BOZ68" s="29"/>
      <c r="BPA68" s="136"/>
      <c r="BPB68" s="29"/>
      <c r="BPC68" s="29"/>
      <c r="BPD68" s="29"/>
      <c r="BPE68" s="29"/>
      <c r="BPF68" s="29"/>
      <c r="BPG68" s="73"/>
      <c r="BPH68" s="67"/>
      <c r="BPI68" s="67"/>
      <c r="BPJ68" s="67"/>
      <c r="BPK68" s="67"/>
      <c r="BPL68" s="29"/>
      <c r="BPM68" s="136"/>
      <c r="BPN68" s="29"/>
      <c r="BPO68" s="29"/>
      <c r="BPP68" s="29"/>
      <c r="BPQ68" s="29"/>
      <c r="BPR68" s="29"/>
      <c r="BPS68" s="73"/>
      <c r="BPT68" s="29"/>
      <c r="BPU68" s="29"/>
      <c r="BPV68" s="29"/>
      <c r="BPW68" s="29"/>
      <c r="BPX68" s="29"/>
      <c r="BPY68" s="136"/>
      <c r="BPZ68" s="29"/>
      <c r="BQA68" s="29"/>
      <c r="BQB68" s="29"/>
      <c r="BQC68" s="29"/>
      <c r="BQD68" s="29"/>
      <c r="BQE68" s="73"/>
      <c r="BQF68" s="29"/>
      <c r="BQG68" s="29"/>
      <c r="BQH68" s="29"/>
      <c r="BQI68" s="29"/>
      <c r="BQJ68" s="29"/>
      <c r="BQK68" s="30"/>
      <c r="BQL68" s="28"/>
      <c r="BQM68" s="67"/>
      <c r="BQN68" s="67"/>
      <c r="BQO68" s="67"/>
      <c r="BQP68" s="29"/>
      <c r="BQQ68" s="131"/>
      <c r="BQR68" s="29"/>
      <c r="BQS68" s="29"/>
      <c r="BQT68" s="29"/>
      <c r="BQU68" s="29"/>
      <c r="BQV68" s="29"/>
      <c r="BQW68" s="136"/>
      <c r="BQX68" s="29"/>
      <c r="BQY68" s="29"/>
      <c r="BQZ68" s="29"/>
      <c r="BRA68" s="29"/>
      <c r="BRB68" s="29"/>
      <c r="BRC68" s="73"/>
      <c r="BRD68" s="29"/>
      <c r="BRE68" s="29"/>
      <c r="BRF68" s="29"/>
      <c r="BRG68" s="29"/>
      <c r="BRH68" s="29"/>
      <c r="BRI68" s="136"/>
      <c r="BRJ68" s="29"/>
      <c r="BRK68" s="29"/>
      <c r="BRL68" s="29"/>
      <c r="BRM68" s="29"/>
      <c r="BRN68" s="29"/>
      <c r="BRO68" s="73"/>
      <c r="BRP68" s="67"/>
      <c r="BRQ68" s="67"/>
      <c r="BRR68" s="67"/>
      <c r="BRS68" s="67"/>
      <c r="BRT68" s="29"/>
      <c r="BRU68" s="136"/>
      <c r="BRV68" s="29"/>
      <c r="BRW68" s="29"/>
      <c r="BRX68" s="29"/>
      <c r="BRY68" s="29"/>
      <c r="BRZ68" s="29"/>
      <c r="BSA68" s="73"/>
      <c r="BSB68" s="29"/>
      <c r="BSC68" s="29"/>
      <c r="BSD68" s="29"/>
      <c r="BSE68" s="29"/>
      <c r="BSF68" s="29"/>
      <c r="BSG68" s="136"/>
      <c r="BSH68" s="29"/>
      <c r="BSI68" s="29"/>
      <c r="BSJ68" s="29"/>
      <c r="BSK68" s="29"/>
      <c r="BSL68" s="29"/>
      <c r="BSM68" s="73"/>
      <c r="BSN68" s="29"/>
      <c r="BSO68" s="29"/>
      <c r="BSP68" s="29"/>
      <c r="BSQ68" s="29"/>
      <c r="BSR68" s="29"/>
      <c r="BSS68" s="30"/>
      <c r="BST68" s="28"/>
      <c r="BSU68" s="67"/>
      <c r="BSV68" s="67"/>
      <c r="BSW68" s="67"/>
      <c r="BSX68" s="29"/>
      <c r="BSY68" s="131"/>
      <c r="BSZ68" s="29"/>
      <c r="BTA68" s="29"/>
      <c r="BTB68" s="29"/>
      <c r="BTC68" s="29"/>
      <c r="BTD68" s="29"/>
      <c r="BTE68" s="136"/>
      <c r="BTF68" s="29"/>
      <c r="BTG68" s="29"/>
      <c r="BTH68" s="29"/>
      <c r="BTI68" s="29"/>
      <c r="BTJ68" s="29"/>
      <c r="BTK68" s="73"/>
      <c r="BTL68" s="29"/>
      <c r="BTM68" s="29"/>
      <c r="BTN68" s="29"/>
      <c r="BTO68" s="29"/>
      <c r="BTP68" s="29"/>
      <c r="BTQ68" s="136"/>
      <c r="BTR68" s="29"/>
      <c r="BTS68" s="29"/>
      <c r="BTT68" s="29"/>
      <c r="BTU68" s="29"/>
      <c r="BTV68" s="29"/>
      <c r="BTW68" s="73"/>
      <c r="BTX68" s="67"/>
      <c r="BTY68" s="67"/>
      <c r="BTZ68" s="67"/>
      <c r="BUA68" s="67"/>
      <c r="BUB68" s="29"/>
      <c r="BUC68" s="136"/>
      <c r="BUD68" s="29"/>
      <c r="BUE68" s="29"/>
      <c r="BUF68" s="29"/>
      <c r="BUG68" s="29"/>
      <c r="BUH68" s="29"/>
      <c r="BUI68" s="73"/>
      <c r="BUJ68" s="29"/>
      <c r="BUK68" s="29"/>
      <c r="BUL68" s="29"/>
      <c r="BUM68" s="29"/>
      <c r="BUN68" s="29"/>
      <c r="BUO68" s="136"/>
      <c r="BUP68" s="29"/>
      <c r="BUQ68" s="29"/>
      <c r="BUR68" s="29"/>
      <c r="BUS68" s="29"/>
      <c r="BUT68" s="29"/>
      <c r="BUU68" s="73"/>
      <c r="BUV68" s="29"/>
      <c r="BUW68" s="29"/>
      <c r="BUX68" s="29"/>
      <c r="BUY68" s="29"/>
      <c r="BUZ68" s="29"/>
      <c r="BVA68" s="30"/>
      <c r="BVB68" s="28"/>
      <c r="BVC68" s="67"/>
      <c r="BVD68" s="67"/>
      <c r="BVE68" s="67"/>
      <c r="BVF68" s="29"/>
      <c r="BVG68" s="131"/>
      <c r="BVH68" s="29"/>
      <c r="BVI68" s="29"/>
      <c r="BVJ68" s="29"/>
      <c r="BVK68" s="29"/>
      <c r="BVL68" s="29"/>
      <c r="BVM68" s="136"/>
      <c r="BVN68" s="29"/>
      <c r="BVO68" s="29"/>
      <c r="BVP68" s="29"/>
      <c r="BVQ68" s="29"/>
      <c r="BVR68" s="29"/>
      <c r="BVS68" s="73"/>
      <c r="BVT68" s="29"/>
      <c r="BVU68" s="29"/>
      <c r="BVV68" s="29"/>
      <c r="BVW68" s="29"/>
      <c r="BVX68" s="29"/>
      <c r="BVY68" s="136"/>
      <c r="BVZ68" s="29"/>
      <c r="BWA68" s="29"/>
      <c r="BWB68" s="29"/>
      <c r="BWC68" s="29"/>
      <c r="BWD68" s="29"/>
      <c r="BWE68" s="73"/>
      <c r="BWF68" s="67"/>
      <c r="BWG68" s="67"/>
      <c r="BWH68" s="67"/>
      <c r="BWI68" s="67"/>
      <c r="BWJ68" s="29"/>
      <c r="BWK68" s="136"/>
      <c r="BWL68" s="29"/>
      <c r="BWM68" s="29"/>
      <c r="BWN68" s="29"/>
      <c r="BWO68" s="29"/>
      <c r="BWP68" s="29"/>
      <c r="BWQ68" s="73"/>
      <c r="BWR68" s="29"/>
      <c r="BWS68" s="29"/>
      <c r="BWT68" s="29"/>
      <c r="BWU68" s="29"/>
      <c r="BWV68" s="29"/>
      <c r="BWW68" s="136"/>
      <c r="BWX68" s="29"/>
      <c r="BWY68" s="29"/>
      <c r="BWZ68" s="29"/>
      <c r="BXA68" s="29"/>
      <c r="BXB68" s="29"/>
      <c r="BXC68" s="73"/>
      <c r="BXD68" s="29"/>
      <c r="BXE68" s="29"/>
      <c r="BXF68" s="29"/>
      <c r="BXG68" s="29"/>
      <c r="BXH68" s="29"/>
      <c r="BXI68" s="30"/>
      <c r="BXJ68" s="28"/>
      <c r="BXK68" s="67"/>
      <c r="BXL68" s="67"/>
      <c r="BXM68" s="67"/>
      <c r="BXN68" s="29"/>
      <c r="BXO68" s="131"/>
      <c r="BXP68" s="29"/>
      <c r="BXQ68" s="29"/>
      <c r="BXR68" s="29"/>
      <c r="BXS68" s="29"/>
      <c r="BXT68" s="29"/>
      <c r="BXU68" s="136"/>
      <c r="BXV68" s="29"/>
      <c r="BXW68" s="29"/>
      <c r="BXX68" s="29"/>
      <c r="BXY68" s="29"/>
      <c r="BXZ68" s="29"/>
      <c r="BYA68" s="73"/>
      <c r="BYB68" s="29"/>
      <c r="BYC68" s="29"/>
      <c r="BYD68" s="29"/>
      <c r="BYE68" s="29"/>
      <c r="BYF68" s="29"/>
      <c r="BYG68" s="136"/>
      <c r="BYH68" s="29"/>
      <c r="BYI68" s="29"/>
      <c r="BYJ68" s="29"/>
      <c r="BYK68" s="29"/>
      <c r="BYL68" s="29"/>
      <c r="BYM68" s="73"/>
      <c r="BYN68" s="67"/>
      <c r="BYO68" s="67"/>
      <c r="BYP68" s="67"/>
      <c r="BYQ68" s="67"/>
      <c r="BYR68" s="29"/>
      <c r="BYS68" s="136"/>
      <c r="BYT68" s="29"/>
      <c r="BYU68" s="29"/>
      <c r="BYV68" s="29"/>
      <c r="BYW68" s="29"/>
      <c r="BYX68" s="29"/>
      <c r="BYY68" s="73"/>
      <c r="BYZ68" s="29"/>
      <c r="BZA68" s="29"/>
      <c r="BZB68" s="29"/>
      <c r="BZC68" s="29"/>
      <c r="BZD68" s="29"/>
      <c r="BZE68" s="136"/>
      <c r="BZF68" s="29"/>
      <c r="BZG68" s="29"/>
      <c r="BZH68" s="29"/>
      <c r="BZI68" s="29"/>
      <c r="BZJ68" s="29"/>
      <c r="BZK68" s="73"/>
      <c r="BZL68" s="29"/>
      <c r="BZM68" s="29"/>
      <c r="BZN68" s="29"/>
      <c r="BZO68" s="29"/>
      <c r="BZP68" s="29"/>
      <c r="BZQ68" s="30"/>
      <c r="BZR68" s="28"/>
      <c r="BZS68" s="67"/>
      <c r="BZT68" s="67"/>
      <c r="BZU68" s="67"/>
      <c r="BZV68" s="29"/>
      <c r="BZW68" s="131"/>
      <c r="BZX68" s="29"/>
      <c r="BZY68" s="29"/>
      <c r="BZZ68" s="29"/>
      <c r="CAA68" s="29"/>
      <c r="CAB68" s="29"/>
      <c r="CAC68" s="136"/>
      <c r="CAD68" s="29"/>
      <c r="CAE68" s="29"/>
      <c r="CAF68" s="29"/>
      <c r="CAG68" s="29"/>
      <c r="CAH68" s="29"/>
      <c r="CAI68" s="73"/>
      <c r="CAJ68" s="29"/>
      <c r="CAK68" s="29"/>
      <c r="CAL68" s="29"/>
      <c r="CAM68" s="29"/>
      <c r="CAN68" s="29"/>
      <c r="CAO68" s="136"/>
      <c r="CAP68" s="29"/>
      <c r="CAQ68" s="29"/>
      <c r="CAR68" s="29"/>
      <c r="CAS68" s="29"/>
      <c r="CAT68" s="29"/>
      <c r="CAU68" s="73"/>
      <c r="CAV68" s="67"/>
      <c r="CAW68" s="67"/>
      <c r="CAX68" s="67"/>
      <c r="CAY68" s="67"/>
      <c r="CAZ68" s="29"/>
      <c r="CBA68" s="136"/>
      <c r="CBB68" s="29"/>
      <c r="CBC68" s="29"/>
      <c r="CBD68" s="29"/>
      <c r="CBE68" s="29"/>
      <c r="CBF68" s="29"/>
      <c r="CBG68" s="73"/>
      <c r="CBH68" s="29"/>
      <c r="CBI68" s="29"/>
      <c r="CBJ68" s="29"/>
      <c r="CBK68" s="29"/>
      <c r="CBL68" s="29"/>
      <c r="CBM68" s="136"/>
      <c r="CBN68" s="29"/>
      <c r="CBO68" s="29"/>
      <c r="CBP68" s="29"/>
      <c r="CBQ68" s="29"/>
      <c r="CBR68" s="29"/>
      <c r="CBS68" s="73"/>
      <c r="CBT68" s="29"/>
      <c r="CBU68" s="29"/>
      <c r="CBV68" s="29"/>
      <c r="CBW68" s="29"/>
      <c r="CBX68" s="29"/>
      <c r="CBY68" s="30"/>
      <c r="CBZ68" s="28"/>
      <c r="CCA68" s="67"/>
      <c r="CCB68" s="67"/>
      <c r="CCC68" s="67"/>
      <c r="CCD68" s="29"/>
      <c r="CCE68" s="131"/>
      <c r="CCF68" s="29"/>
      <c r="CCG68" s="29"/>
      <c r="CCH68" s="29"/>
      <c r="CCI68" s="29"/>
      <c r="CCJ68" s="29"/>
      <c r="CCK68" s="136"/>
      <c r="CCL68" s="29"/>
      <c r="CCM68" s="29"/>
      <c r="CCN68" s="29"/>
      <c r="CCO68" s="29"/>
      <c r="CCP68" s="29"/>
      <c r="CCQ68" s="73"/>
      <c r="CCR68" s="29"/>
      <c r="CCS68" s="29"/>
      <c r="CCT68" s="29"/>
      <c r="CCU68" s="29"/>
      <c r="CCV68" s="29"/>
      <c r="CCW68" s="136"/>
      <c r="CCX68" s="29"/>
      <c r="CCY68" s="29"/>
      <c r="CCZ68" s="29"/>
      <c r="CDA68" s="29"/>
      <c r="CDB68" s="29"/>
      <c r="CDC68" s="73"/>
      <c r="CDD68" s="67"/>
      <c r="CDE68" s="67"/>
      <c r="CDF68" s="67"/>
      <c r="CDG68" s="67"/>
      <c r="CDH68" s="29"/>
      <c r="CDI68" s="136"/>
      <c r="CDJ68" s="29"/>
      <c r="CDK68" s="29"/>
      <c r="CDL68" s="29"/>
      <c r="CDM68" s="29"/>
      <c r="CDN68" s="29"/>
      <c r="CDO68" s="73"/>
      <c r="CDP68" s="29"/>
      <c r="CDQ68" s="29"/>
      <c r="CDR68" s="29"/>
      <c r="CDS68" s="29"/>
      <c r="CDT68" s="29"/>
      <c r="CDU68" s="136"/>
      <c r="CDV68" s="29"/>
      <c r="CDW68" s="29"/>
      <c r="CDX68" s="29"/>
      <c r="CDY68" s="29"/>
      <c r="CDZ68" s="29"/>
      <c r="CEA68" s="73"/>
      <c r="CEB68" s="29"/>
      <c r="CEC68" s="29"/>
      <c r="CED68" s="29"/>
      <c r="CEE68" s="29"/>
      <c r="CEF68" s="29"/>
      <c r="CEG68" s="30"/>
      <c r="CEH68" s="28"/>
      <c r="CEI68" s="67"/>
      <c r="CEJ68" s="67"/>
      <c r="CEK68" s="67"/>
      <c r="CEL68" s="29"/>
      <c r="CEM68" s="131"/>
      <c r="CEN68" s="29"/>
      <c r="CEO68" s="29"/>
      <c r="CEP68" s="29"/>
      <c r="CEQ68" s="29"/>
      <c r="CER68" s="29"/>
      <c r="CES68" s="136"/>
      <c r="CET68" s="29"/>
      <c r="CEU68" s="29"/>
      <c r="CEV68" s="29"/>
      <c r="CEW68" s="29"/>
      <c r="CEX68" s="29"/>
      <c r="CEY68" s="73"/>
      <c r="CEZ68" s="29"/>
      <c r="CFA68" s="29"/>
      <c r="CFB68" s="29"/>
      <c r="CFC68" s="29"/>
      <c r="CFD68" s="29"/>
      <c r="CFE68" s="136"/>
      <c r="CFF68" s="29"/>
      <c r="CFG68" s="29"/>
      <c r="CFH68" s="29"/>
      <c r="CFI68" s="29"/>
      <c r="CFJ68" s="29"/>
      <c r="CFK68" s="73"/>
      <c r="CFL68" s="67"/>
      <c r="CFM68" s="67"/>
      <c r="CFN68" s="67"/>
      <c r="CFO68" s="67"/>
      <c r="CFP68" s="29"/>
      <c r="CFQ68" s="136"/>
      <c r="CFR68" s="29"/>
      <c r="CFS68" s="29"/>
      <c r="CFT68" s="29"/>
      <c r="CFU68" s="29"/>
      <c r="CFV68" s="29"/>
      <c r="CFW68" s="73"/>
      <c r="CFX68" s="29"/>
      <c r="CFY68" s="29"/>
      <c r="CFZ68" s="29"/>
      <c r="CGA68" s="29"/>
      <c r="CGB68" s="29"/>
      <c r="CGC68" s="136"/>
      <c r="CGD68" s="29"/>
      <c r="CGE68" s="29"/>
      <c r="CGF68" s="29"/>
      <c r="CGG68" s="29"/>
      <c r="CGH68" s="29"/>
      <c r="CGI68" s="73"/>
      <c r="CGJ68" s="29"/>
      <c r="CGK68" s="29"/>
      <c r="CGL68" s="29"/>
      <c r="CGM68" s="29"/>
      <c r="CGN68" s="29"/>
      <c r="CGO68" s="30"/>
      <c r="CGP68" s="28"/>
      <c r="CGQ68" s="67"/>
      <c r="CGR68" s="67"/>
      <c r="CGS68" s="67"/>
      <c r="CGT68" s="29"/>
      <c r="CGU68" s="131"/>
      <c r="CGV68" s="29"/>
      <c r="CGW68" s="29"/>
      <c r="CGX68" s="29"/>
      <c r="CGY68" s="29"/>
      <c r="CGZ68" s="29"/>
      <c r="CHA68" s="136"/>
      <c r="CHB68" s="29"/>
      <c r="CHC68" s="29"/>
      <c r="CHD68" s="29"/>
      <c r="CHE68" s="29"/>
      <c r="CHF68" s="29"/>
      <c r="CHG68" s="73"/>
      <c r="CHH68" s="29"/>
      <c r="CHI68" s="29"/>
      <c r="CHJ68" s="29"/>
      <c r="CHK68" s="29"/>
      <c r="CHL68" s="29"/>
      <c r="CHM68" s="136"/>
      <c r="CHN68" s="29"/>
      <c r="CHO68" s="29"/>
      <c r="CHP68" s="29"/>
      <c r="CHQ68" s="29"/>
      <c r="CHR68" s="29"/>
      <c r="CHS68" s="73"/>
      <c r="CHT68" s="67"/>
      <c r="CHU68" s="67"/>
      <c r="CHV68" s="67"/>
      <c r="CHW68" s="67"/>
      <c r="CHX68" s="29"/>
      <c r="CHY68" s="136"/>
      <c r="CHZ68" s="29"/>
      <c r="CIA68" s="29"/>
      <c r="CIB68" s="29"/>
      <c r="CIC68" s="29"/>
      <c r="CID68" s="29"/>
      <c r="CIE68" s="73"/>
      <c r="CIF68" s="29"/>
      <c r="CIG68" s="29"/>
      <c r="CIH68" s="29"/>
      <c r="CII68" s="29"/>
      <c r="CIJ68" s="29"/>
      <c r="CIK68" s="136"/>
      <c r="CIL68" s="29"/>
      <c r="CIM68" s="29"/>
      <c r="CIN68" s="29"/>
      <c r="CIO68" s="29"/>
      <c r="CIP68" s="29"/>
      <c r="CIQ68" s="73"/>
      <c r="CIR68" s="29"/>
      <c r="CIS68" s="29"/>
      <c r="CIT68" s="29"/>
      <c r="CIU68" s="29"/>
      <c r="CIV68" s="29"/>
      <c r="CIW68" s="30"/>
      <c r="CIX68" s="28"/>
      <c r="CIY68" s="67"/>
      <c r="CIZ68" s="67"/>
      <c r="CJA68" s="67"/>
      <c r="CJB68" s="29"/>
      <c r="CJC68" s="131"/>
      <c r="CJD68" s="29"/>
      <c r="CJE68" s="29"/>
      <c r="CJF68" s="29"/>
      <c r="CJG68" s="29"/>
      <c r="CJH68" s="29"/>
      <c r="CJI68" s="136"/>
      <c r="CJJ68" s="29"/>
      <c r="CJK68" s="29"/>
      <c r="CJL68" s="29"/>
      <c r="CJM68" s="29"/>
      <c r="CJN68" s="29"/>
      <c r="CJO68" s="73"/>
      <c r="CJP68" s="29"/>
      <c r="CJQ68" s="29"/>
      <c r="CJR68" s="29"/>
      <c r="CJS68" s="29"/>
      <c r="CJT68" s="29"/>
      <c r="CJU68" s="136"/>
      <c r="CJV68" s="29"/>
      <c r="CJW68" s="29"/>
      <c r="CJX68" s="29"/>
      <c r="CJY68" s="29"/>
      <c r="CJZ68" s="29"/>
      <c r="CKA68" s="73"/>
      <c r="CKB68" s="67"/>
      <c r="CKC68" s="67"/>
      <c r="CKD68" s="67"/>
      <c r="CKE68" s="67"/>
      <c r="CKF68" s="29"/>
      <c r="CKG68" s="136"/>
      <c r="CKH68" s="29"/>
      <c r="CKI68" s="29"/>
      <c r="CKJ68" s="29"/>
      <c r="CKK68" s="29"/>
      <c r="CKL68" s="29"/>
      <c r="CKM68" s="73"/>
      <c r="CKN68" s="29"/>
      <c r="CKO68" s="29"/>
      <c r="CKP68" s="29"/>
      <c r="CKQ68" s="29"/>
      <c r="CKR68" s="29"/>
      <c r="CKS68" s="136"/>
      <c r="CKT68" s="29"/>
      <c r="CKU68" s="29"/>
      <c r="CKV68" s="29"/>
      <c r="CKW68" s="29"/>
      <c r="CKX68" s="29"/>
      <c r="CKY68" s="73"/>
      <c r="CKZ68" s="29"/>
      <c r="CLA68" s="29"/>
      <c r="CLB68" s="29"/>
      <c r="CLC68" s="29"/>
      <c r="CLD68" s="29"/>
      <c r="CLE68" s="30"/>
      <c r="CLF68" s="28"/>
      <c r="CLG68" s="67"/>
      <c r="CLH68" s="67"/>
      <c r="CLI68" s="67"/>
      <c r="CLJ68" s="29"/>
      <c r="CLK68" s="131"/>
      <c r="CLL68" s="29"/>
      <c r="CLM68" s="29"/>
      <c r="CLN68" s="29"/>
      <c r="CLO68" s="29"/>
      <c r="CLP68" s="29"/>
      <c r="CLQ68" s="136"/>
      <c r="CLR68" s="29"/>
      <c r="CLS68" s="29"/>
      <c r="CLT68" s="29"/>
      <c r="CLU68" s="29"/>
      <c r="CLV68" s="29"/>
      <c r="CLW68" s="73"/>
      <c r="CLX68" s="29"/>
      <c r="CLY68" s="29"/>
      <c r="CLZ68" s="29"/>
      <c r="CMA68" s="29"/>
      <c r="CMB68" s="29"/>
      <c r="CMC68" s="136"/>
      <c r="CMD68" s="29"/>
      <c r="CME68" s="29"/>
      <c r="CMF68" s="29"/>
      <c r="CMG68" s="29"/>
      <c r="CMH68" s="29"/>
      <c r="CMI68" s="73"/>
      <c r="CMJ68" s="67"/>
      <c r="CMK68" s="67"/>
      <c r="CML68" s="67"/>
      <c r="CMM68" s="67"/>
      <c r="CMN68" s="29"/>
      <c r="CMO68" s="136"/>
      <c r="CMP68" s="29"/>
      <c r="CMQ68" s="29"/>
      <c r="CMR68" s="29"/>
      <c r="CMS68" s="29"/>
      <c r="CMT68" s="29"/>
      <c r="CMU68" s="73"/>
      <c r="CMV68" s="29"/>
      <c r="CMW68" s="29"/>
      <c r="CMX68" s="29"/>
      <c r="CMY68" s="29"/>
      <c r="CMZ68" s="29"/>
      <c r="CNA68" s="136"/>
      <c r="CNB68" s="29"/>
      <c r="CNC68" s="29"/>
      <c r="CND68" s="29"/>
      <c r="CNE68" s="29"/>
      <c r="CNF68" s="29"/>
      <c r="CNG68" s="73"/>
      <c r="CNH68" s="29"/>
      <c r="CNI68" s="29"/>
      <c r="CNJ68" s="29"/>
      <c r="CNK68" s="29"/>
      <c r="CNL68" s="29"/>
      <c r="CNM68" s="30"/>
      <c r="CNN68" s="28"/>
      <c r="CNO68" s="67"/>
      <c r="CNP68" s="67"/>
      <c r="CNQ68" s="67"/>
      <c r="CNR68" s="29"/>
      <c r="CNS68" s="131"/>
      <c r="CNT68" s="29"/>
      <c r="CNU68" s="29"/>
      <c r="CNV68" s="29"/>
      <c r="CNW68" s="29"/>
      <c r="CNX68" s="29"/>
      <c r="CNY68" s="136"/>
      <c r="CNZ68" s="29"/>
      <c r="COA68" s="29"/>
      <c r="COB68" s="29"/>
      <c r="COC68" s="29"/>
      <c r="COD68" s="29"/>
      <c r="COE68" s="73"/>
      <c r="COF68" s="29"/>
      <c r="COG68" s="29"/>
      <c r="COH68" s="29"/>
      <c r="COI68" s="29"/>
      <c r="COJ68" s="29"/>
      <c r="COK68" s="136"/>
      <c r="COL68" s="29"/>
      <c r="COM68" s="29"/>
      <c r="CON68" s="29"/>
      <c r="COO68" s="29"/>
      <c r="COP68" s="29"/>
      <c r="COQ68" s="73"/>
      <c r="COR68" s="67"/>
      <c r="COS68" s="67"/>
      <c r="COT68" s="67"/>
      <c r="COU68" s="67"/>
      <c r="COV68" s="29"/>
      <c r="COW68" s="136"/>
      <c r="COX68" s="29"/>
      <c r="COY68" s="29"/>
      <c r="COZ68" s="29"/>
      <c r="CPA68" s="29"/>
      <c r="CPB68" s="29"/>
      <c r="CPC68" s="73"/>
      <c r="CPD68" s="29"/>
      <c r="CPE68" s="29"/>
      <c r="CPF68" s="29"/>
      <c r="CPG68" s="29"/>
      <c r="CPH68" s="29"/>
      <c r="CPI68" s="136"/>
      <c r="CPJ68" s="29"/>
      <c r="CPK68" s="29"/>
      <c r="CPL68" s="29"/>
      <c r="CPM68" s="29"/>
      <c r="CPN68" s="29"/>
      <c r="CPO68" s="73"/>
      <c r="CPP68" s="29"/>
      <c r="CPQ68" s="29"/>
      <c r="CPR68" s="29"/>
      <c r="CPS68" s="29"/>
      <c r="CPT68" s="29"/>
      <c r="CPU68" s="30"/>
      <c r="CPV68" s="28"/>
      <c r="CPW68" s="67"/>
      <c r="CPX68" s="67"/>
      <c r="CPY68" s="67"/>
      <c r="CPZ68" s="29"/>
      <c r="CQA68" s="131"/>
      <c r="CQB68" s="29"/>
      <c r="CQC68" s="29"/>
      <c r="CQD68" s="29"/>
      <c r="CQE68" s="29"/>
      <c r="CQF68" s="29"/>
      <c r="CQG68" s="136"/>
      <c r="CQH68" s="29"/>
      <c r="CQI68" s="29"/>
      <c r="CQJ68" s="29"/>
      <c r="CQK68" s="29"/>
      <c r="CQL68" s="29"/>
      <c r="CQM68" s="73"/>
      <c r="CQN68" s="29"/>
      <c r="CQO68" s="29"/>
      <c r="CQP68" s="29"/>
      <c r="CQQ68" s="29"/>
      <c r="CQR68" s="29"/>
      <c r="CQS68" s="136"/>
      <c r="CQT68" s="29"/>
      <c r="CQU68" s="29"/>
      <c r="CQV68" s="29"/>
      <c r="CQW68" s="29"/>
      <c r="CQX68" s="29"/>
      <c r="CQY68" s="73"/>
      <c r="CQZ68" s="67"/>
      <c r="CRA68" s="67"/>
      <c r="CRB68" s="67"/>
      <c r="CRC68" s="67"/>
      <c r="CRD68" s="29"/>
      <c r="CRE68" s="136"/>
      <c r="CRF68" s="29"/>
      <c r="CRG68" s="29"/>
      <c r="CRH68" s="29"/>
      <c r="CRI68" s="29"/>
      <c r="CRJ68" s="29"/>
      <c r="CRK68" s="73"/>
      <c r="CRL68" s="29"/>
      <c r="CRM68" s="29"/>
      <c r="CRN68" s="29"/>
      <c r="CRO68" s="29"/>
      <c r="CRP68" s="29"/>
      <c r="CRQ68" s="136"/>
      <c r="CRR68" s="29"/>
      <c r="CRS68" s="29"/>
      <c r="CRT68" s="29"/>
      <c r="CRU68" s="29"/>
      <c r="CRV68" s="29"/>
      <c r="CRW68" s="73"/>
      <c r="CRX68" s="29"/>
      <c r="CRY68" s="29"/>
      <c r="CRZ68" s="29"/>
      <c r="CSA68" s="29"/>
      <c r="CSB68" s="29"/>
      <c r="CSC68" s="30"/>
      <c r="CSD68" s="90"/>
    </row>
    <row r="69" spans="1:2526" ht="20.100000000000001" customHeight="1" x14ac:dyDescent="0.25">
      <c r="A69" s="100" t="s">
        <v>18</v>
      </c>
      <c r="B69" s="63"/>
      <c r="C69" s="211"/>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32"/>
      <c r="BLW69" s="64"/>
      <c r="BLX69" s="64"/>
      <c r="BLY69" s="64"/>
      <c r="BLZ69" s="33"/>
      <c r="BMA69" s="132"/>
      <c r="BMB69" s="33"/>
      <c r="BMC69" s="33"/>
      <c r="BMD69" s="33"/>
      <c r="BME69" s="33"/>
      <c r="BMF69" s="33"/>
      <c r="BMG69" s="137"/>
      <c r="BMH69" s="33"/>
      <c r="BMI69" s="33"/>
      <c r="BMJ69" s="33"/>
      <c r="BMK69" s="33"/>
      <c r="BML69" s="33"/>
      <c r="BMM69" s="74"/>
      <c r="BMN69" s="33"/>
      <c r="BMO69" s="33"/>
      <c r="BMP69" s="33"/>
      <c r="BMQ69" s="33"/>
      <c r="BMR69" s="33"/>
      <c r="BMS69" s="137"/>
      <c r="BMT69" s="33"/>
      <c r="BMU69" s="33"/>
      <c r="BMV69" s="33"/>
      <c r="BMW69" s="33"/>
      <c r="BMX69" s="33"/>
      <c r="BMY69" s="74"/>
      <c r="BMZ69" s="64"/>
      <c r="BNA69" s="64"/>
      <c r="BNB69" s="64"/>
      <c r="BNC69" s="64"/>
      <c r="BND69" s="33"/>
      <c r="BNE69" s="137"/>
      <c r="BNF69" s="33"/>
      <c r="BNG69" s="33"/>
      <c r="BNH69" s="33"/>
      <c r="BNI69" s="33"/>
      <c r="BNJ69" s="33"/>
      <c r="BNK69" s="74"/>
      <c r="BNL69" s="33"/>
      <c r="BNM69" s="33"/>
      <c r="BNN69" s="33"/>
      <c r="BNO69" s="33"/>
      <c r="BNP69" s="33"/>
      <c r="BNQ69" s="137"/>
      <c r="BNR69" s="33"/>
      <c r="BNS69" s="33"/>
      <c r="BNT69" s="33"/>
      <c r="BNU69" s="33"/>
      <c r="BNV69" s="33"/>
      <c r="BNW69" s="74"/>
      <c r="BNX69" s="33"/>
      <c r="BNY69" s="33"/>
      <c r="BNZ69" s="33"/>
      <c r="BOA69" s="33"/>
      <c r="BOB69" s="33"/>
      <c r="BOC69" s="34"/>
      <c r="BOD69" s="32"/>
      <c r="BOE69" s="64"/>
      <c r="BOF69" s="64"/>
      <c r="BOG69" s="64"/>
      <c r="BOH69" s="33"/>
      <c r="BOI69" s="132"/>
      <c r="BOJ69" s="33"/>
      <c r="BOK69" s="33"/>
      <c r="BOL69" s="33"/>
      <c r="BOM69" s="33"/>
      <c r="BON69" s="33"/>
      <c r="BOO69" s="137"/>
      <c r="BOP69" s="33"/>
      <c r="BOQ69" s="33"/>
      <c r="BOR69" s="33"/>
      <c r="BOS69" s="33"/>
      <c r="BOT69" s="33"/>
      <c r="BOU69" s="74"/>
      <c r="BOV69" s="33"/>
      <c r="BOW69" s="33"/>
      <c r="BOX69" s="33"/>
      <c r="BOY69" s="33"/>
      <c r="BOZ69" s="33"/>
      <c r="BPA69" s="137"/>
      <c r="BPB69" s="33"/>
      <c r="BPC69" s="33"/>
      <c r="BPD69" s="33"/>
      <c r="BPE69" s="33"/>
      <c r="BPF69" s="33"/>
      <c r="BPG69" s="74"/>
      <c r="BPH69" s="64"/>
      <c r="BPI69" s="64"/>
      <c r="BPJ69" s="64"/>
      <c r="BPK69" s="64"/>
      <c r="BPL69" s="33"/>
      <c r="BPM69" s="137"/>
      <c r="BPN69" s="33"/>
      <c r="BPO69" s="33"/>
      <c r="BPP69" s="33"/>
      <c r="BPQ69" s="33"/>
      <c r="BPR69" s="33"/>
      <c r="BPS69" s="74"/>
      <c r="BPT69" s="33"/>
      <c r="BPU69" s="33"/>
      <c r="BPV69" s="33"/>
      <c r="BPW69" s="33"/>
      <c r="BPX69" s="33"/>
      <c r="BPY69" s="137"/>
      <c r="BPZ69" s="33"/>
      <c r="BQA69" s="33"/>
      <c r="BQB69" s="33"/>
      <c r="BQC69" s="33"/>
      <c r="BQD69" s="33"/>
      <c r="BQE69" s="74"/>
      <c r="BQF69" s="33"/>
      <c r="BQG69" s="33"/>
      <c r="BQH69" s="33"/>
      <c r="BQI69" s="33"/>
      <c r="BQJ69" s="33"/>
      <c r="BQK69" s="34"/>
      <c r="BQL69" s="32"/>
      <c r="BQM69" s="64"/>
      <c r="BQN69" s="64"/>
      <c r="BQO69" s="64"/>
      <c r="BQP69" s="33"/>
      <c r="BQQ69" s="132"/>
      <c r="BQR69" s="33"/>
      <c r="BQS69" s="33"/>
      <c r="BQT69" s="33"/>
      <c r="BQU69" s="33"/>
      <c r="BQV69" s="33"/>
      <c r="BQW69" s="137"/>
      <c r="BQX69" s="33"/>
      <c r="BQY69" s="33"/>
      <c r="BQZ69" s="33"/>
      <c r="BRA69" s="33"/>
      <c r="BRB69" s="33"/>
      <c r="BRC69" s="74"/>
      <c r="BRD69" s="33"/>
      <c r="BRE69" s="33"/>
      <c r="BRF69" s="33"/>
      <c r="BRG69" s="33"/>
      <c r="BRH69" s="33"/>
      <c r="BRI69" s="137"/>
      <c r="BRJ69" s="33"/>
      <c r="BRK69" s="33"/>
      <c r="BRL69" s="33"/>
      <c r="BRM69" s="33"/>
      <c r="BRN69" s="33"/>
      <c r="BRO69" s="74"/>
      <c r="BRP69" s="64"/>
      <c r="BRQ69" s="64"/>
      <c r="BRR69" s="64"/>
      <c r="BRS69" s="64"/>
      <c r="BRT69" s="33"/>
      <c r="BRU69" s="137"/>
      <c r="BRV69" s="33"/>
      <c r="BRW69" s="33"/>
      <c r="BRX69" s="33"/>
      <c r="BRY69" s="33"/>
      <c r="BRZ69" s="33"/>
      <c r="BSA69" s="74"/>
      <c r="BSB69" s="33"/>
      <c r="BSC69" s="33"/>
      <c r="BSD69" s="33"/>
      <c r="BSE69" s="33"/>
      <c r="BSF69" s="33"/>
      <c r="BSG69" s="137"/>
      <c r="BSH69" s="33"/>
      <c r="BSI69" s="33"/>
      <c r="BSJ69" s="33"/>
      <c r="BSK69" s="33"/>
      <c r="BSL69" s="33"/>
      <c r="BSM69" s="74"/>
      <c r="BSN69" s="33"/>
      <c r="BSO69" s="33"/>
      <c r="BSP69" s="33"/>
      <c r="BSQ69" s="33"/>
      <c r="BSR69" s="33"/>
      <c r="BSS69" s="34"/>
      <c r="BST69" s="32"/>
      <c r="BSU69" s="64"/>
      <c r="BSV69" s="64"/>
      <c r="BSW69" s="64"/>
      <c r="BSX69" s="33"/>
      <c r="BSY69" s="132"/>
      <c r="BSZ69" s="33"/>
      <c r="BTA69" s="33"/>
      <c r="BTB69" s="33"/>
      <c r="BTC69" s="33"/>
      <c r="BTD69" s="33"/>
      <c r="BTE69" s="137"/>
      <c r="BTF69" s="33"/>
      <c r="BTG69" s="33"/>
      <c r="BTH69" s="33"/>
      <c r="BTI69" s="33"/>
      <c r="BTJ69" s="33"/>
      <c r="BTK69" s="74"/>
      <c r="BTL69" s="33"/>
      <c r="BTM69" s="33"/>
      <c r="BTN69" s="33"/>
      <c r="BTO69" s="33"/>
      <c r="BTP69" s="33"/>
      <c r="BTQ69" s="137"/>
      <c r="BTR69" s="33"/>
      <c r="BTS69" s="33"/>
      <c r="BTT69" s="33"/>
      <c r="BTU69" s="33"/>
      <c r="BTV69" s="33"/>
      <c r="BTW69" s="74"/>
      <c r="BTX69" s="64"/>
      <c r="BTY69" s="64"/>
      <c r="BTZ69" s="64"/>
      <c r="BUA69" s="64"/>
      <c r="BUB69" s="33"/>
      <c r="BUC69" s="137"/>
      <c r="BUD69" s="33"/>
      <c r="BUE69" s="33"/>
      <c r="BUF69" s="33"/>
      <c r="BUG69" s="33"/>
      <c r="BUH69" s="33"/>
      <c r="BUI69" s="74"/>
      <c r="BUJ69" s="33"/>
      <c r="BUK69" s="33"/>
      <c r="BUL69" s="33"/>
      <c r="BUM69" s="33"/>
      <c r="BUN69" s="33"/>
      <c r="BUO69" s="137"/>
      <c r="BUP69" s="33"/>
      <c r="BUQ69" s="33"/>
      <c r="BUR69" s="33"/>
      <c r="BUS69" s="33"/>
      <c r="BUT69" s="33"/>
      <c r="BUU69" s="74"/>
      <c r="BUV69" s="33"/>
      <c r="BUW69" s="33"/>
      <c r="BUX69" s="33"/>
      <c r="BUY69" s="33"/>
      <c r="BUZ69" s="33"/>
      <c r="BVA69" s="34"/>
      <c r="BVB69" s="32"/>
      <c r="BVC69" s="64"/>
      <c r="BVD69" s="64"/>
      <c r="BVE69" s="64"/>
      <c r="BVF69" s="33"/>
      <c r="BVG69" s="132"/>
      <c r="BVH69" s="33"/>
      <c r="BVI69" s="33"/>
      <c r="BVJ69" s="33"/>
      <c r="BVK69" s="33"/>
      <c r="BVL69" s="33"/>
      <c r="BVM69" s="137"/>
      <c r="BVN69" s="33"/>
      <c r="BVO69" s="33"/>
      <c r="BVP69" s="33"/>
      <c r="BVQ69" s="33"/>
      <c r="BVR69" s="33"/>
      <c r="BVS69" s="74"/>
      <c r="BVT69" s="33"/>
      <c r="BVU69" s="33"/>
      <c r="BVV69" s="33"/>
      <c r="BVW69" s="33"/>
      <c r="BVX69" s="33"/>
      <c r="BVY69" s="137"/>
      <c r="BVZ69" s="33"/>
      <c r="BWA69" s="33"/>
      <c r="BWB69" s="33"/>
      <c r="BWC69" s="33"/>
      <c r="BWD69" s="33"/>
      <c r="BWE69" s="74"/>
      <c r="BWF69" s="64"/>
      <c r="BWG69" s="64"/>
      <c r="BWH69" s="64"/>
      <c r="BWI69" s="64"/>
      <c r="BWJ69" s="33"/>
      <c r="BWK69" s="137"/>
      <c r="BWL69" s="33"/>
      <c r="BWM69" s="33"/>
      <c r="BWN69" s="33"/>
      <c r="BWO69" s="33"/>
      <c r="BWP69" s="33"/>
      <c r="BWQ69" s="74"/>
      <c r="BWR69" s="33"/>
      <c r="BWS69" s="33"/>
      <c r="BWT69" s="33"/>
      <c r="BWU69" s="33"/>
      <c r="BWV69" s="33"/>
      <c r="BWW69" s="137"/>
      <c r="BWX69" s="33"/>
      <c r="BWY69" s="33"/>
      <c r="BWZ69" s="33"/>
      <c r="BXA69" s="33"/>
      <c r="BXB69" s="33"/>
      <c r="BXC69" s="74"/>
      <c r="BXD69" s="33"/>
      <c r="BXE69" s="33"/>
      <c r="BXF69" s="33"/>
      <c r="BXG69" s="33"/>
      <c r="BXH69" s="33"/>
      <c r="BXI69" s="34"/>
      <c r="BXJ69" s="32"/>
      <c r="BXK69" s="64"/>
      <c r="BXL69" s="64"/>
      <c r="BXM69" s="64"/>
      <c r="BXN69" s="33"/>
      <c r="BXO69" s="132"/>
      <c r="BXP69" s="33"/>
      <c r="BXQ69" s="33"/>
      <c r="BXR69" s="33"/>
      <c r="BXS69" s="33"/>
      <c r="BXT69" s="33"/>
      <c r="BXU69" s="137"/>
      <c r="BXV69" s="33"/>
      <c r="BXW69" s="33"/>
      <c r="BXX69" s="33"/>
      <c r="BXY69" s="33"/>
      <c r="BXZ69" s="33"/>
      <c r="BYA69" s="74"/>
      <c r="BYB69" s="33"/>
      <c r="BYC69" s="33"/>
      <c r="BYD69" s="33"/>
      <c r="BYE69" s="33"/>
      <c r="BYF69" s="33"/>
      <c r="BYG69" s="137"/>
      <c r="BYH69" s="33"/>
      <c r="BYI69" s="33"/>
      <c r="BYJ69" s="33"/>
      <c r="BYK69" s="33"/>
      <c r="BYL69" s="33"/>
      <c r="BYM69" s="74"/>
      <c r="BYN69" s="64"/>
      <c r="BYO69" s="64"/>
      <c r="BYP69" s="64"/>
      <c r="BYQ69" s="64"/>
      <c r="BYR69" s="33"/>
      <c r="BYS69" s="137"/>
      <c r="BYT69" s="33"/>
      <c r="BYU69" s="33"/>
      <c r="BYV69" s="33"/>
      <c r="BYW69" s="33"/>
      <c r="BYX69" s="33"/>
      <c r="BYY69" s="74"/>
      <c r="BYZ69" s="33"/>
      <c r="BZA69" s="33"/>
      <c r="BZB69" s="33"/>
      <c r="BZC69" s="33"/>
      <c r="BZD69" s="33"/>
      <c r="BZE69" s="137"/>
      <c r="BZF69" s="33"/>
      <c r="BZG69" s="33"/>
      <c r="BZH69" s="33"/>
      <c r="BZI69" s="33"/>
      <c r="BZJ69" s="33"/>
      <c r="BZK69" s="74"/>
      <c r="BZL69" s="33"/>
      <c r="BZM69" s="33"/>
      <c r="BZN69" s="33"/>
      <c r="BZO69" s="33"/>
      <c r="BZP69" s="33"/>
      <c r="BZQ69" s="34"/>
      <c r="BZR69" s="32"/>
      <c r="BZS69" s="64"/>
      <c r="BZT69" s="64"/>
      <c r="BZU69" s="64"/>
      <c r="BZV69" s="33"/>
      <c r="BZW69" s="132"/>
      <c r="BZX69" s="33"/>
      <c r="BZY69" s="33"/>
      <c r="BZZ69" s="33"/>
      <c r="CAA69" s="33"/>
      <c r="CAB69" s="33"/>
      <c r="CAC69" s="137"/>
      <c r="CAD69" s="33"/>
      <c r="CAE69" s="33"/>
      <c r="CAF69" s="33"/>
      <c r="CAG69" s="33"/>
      <c r="CAH69" s="33"/>
      <c r="CAI69" s="74"/>
      <c r="CAJ69" s="33"/>
      <c r="CAK69" s="33"/>
      <c r="CAL69" s="33"/>
      <c r="CAM69" s="33"/>
      <c r="CAN69" s="33"/>
      <c r="CAO69" s="137"/>
      <c r="CAP69" s="33"/>
      <c r="CAQ69" s="33"/>
      <c r="CAR69" s="33"/>
      <c r="CAS69" s="33"/>
      <c r="CAT69" s="33"/>
      <c r="CAU69" s="74"/>
      <c r="CAV69" s="64"/>
      <c r="CAW69" s="64"/>
      <c r="CAX69" s="64"/>
      <c r="CAY69" s="64"/>
      <c r="CAZ69" s="33"/>
      <c r="CBA69" s="137"/>
      <c r="CBB69" s="33"/>
      <c r="CBC69" s="33"/>
      <c r="CBD69" s="33"/>
      <c r="CBE69" s="33"/>
      <c r="CBF69" s="33"/>
      <c r="CBG69" s="74"/>
      <c r="CBH69" s="33"/>
      <c r="CBI69" s="33"/>
      <c r="CBJ69" s="33"/>
      <c r="CBK69" s="33"/>
      <c r="CBL69" s="33"/>
      <c r="CBM69" s="137"/>
      <c r="CBN69" s="33"/>
      <c r="CBO69" s="33"/>
      <c r="CBP69" s="33"/>
      <c r="CBQ69" s="33"/>
      <c r="CBR69" s="33"/>
      <c r="CBS69" s="74"/>
      <c r="CBT69" s="33"/>
      <c r="CBU69" s="33"/>
      <c r="CBV69" s="33"/>
      <c r="CBW69" s="33"/>
      <c r="CBX69" s="33"/>
      <c r="CBY69" s="34"/>
      <c r="CBZ69" s="32"/>
      <c r="CCA69" s="64"/>
      <c r="CCB69" s="64"/>
      <c r="CCC69" s="64"/>
      <c r="CCD69" s="33"/>
      <c r="CCE69" s="132"/>
      <c r="CCF69" s="33"/>
      <c r="CCG69" s="33"/>
      <c r="CCH69" s="33"/>
      <c r="CCI69" s="33"/>
      <c r="CCJ69" s="33"/>
      <c r="CCK69" s="137"/>
      <c r="CCL69" s="33"/>
      <c r="CCM69" s="33"/>
      <c r="CCN69" s="33"/>
      <c r="CCO69" s="33"/>
      <c r="CCP69" s="33"/>
      <c r="CCQ69" s="74"/>
      <c r="CCR69" s="33"/>
      <c r="CCS69" s="33"/>
      <c r="CCT69" s="33"/>
      <c r="CCU69" s="33"/>
      <c r="CCV69" s="33"/>
      <c r="CCW69" s="137"/>
      <c r="CCX69" s="33"/>
      <c r="CCY69" s="33"/>
      <c r="CCZ69" s="33"/>
      <c r="CDA69" s="33"/>
      <c r="CDB69" s="33"/>
      <c r="CDC69" s="74"/>
      <c r="CDD69" s="64"/>
      <c r="CDE69" s="64"/>
      <c r="CDF69" s="64"/>
      <c r="CDG69" s="64"/>
      <c r="CDH69" s="33"/>
      <c r="CDI69" s="137"/>
      <c r="CDJ69" s="33"/>
      <c r="CDK69" s="33"/>
      <c r="CDL69" s="33"/>
      <c r="CDM69" s="33"/>
      <c r="CDN69" s="33"/>
      <c r="CDO69" s="74"/>
      <c r="CDP69" s="33"/>
      <c r="CDQ69" s="33"/>
      <c r="CDR69" s="33"/>
      <c r="CDS69" s="33"/>
      <c r="CDT69" s="33"/>
      <c r="CDU69" s="137"/>
      <c r="CDV69" s="33"/>
      <c r="CDW69" s="33"/>
      <c r="CDX69" s="33"/>
      <c r="CDY69" s="33"/>
      <c r="CDZ69" s="33"/>
      <c r="CEA69" s="74"/>
      <c r="CEB69" s="33"/>
      <c r="CEC69" s="33"/>
      <c r="CED69" s="33"/>
      <c r="CEE69" s="33"/>
      <c r="CEF69" s="33"/>
      <c r="CEG69" s="34"/>
      <c r="CEH69" s="32"/>
      <c r="CEI69" s="64"/>
      <c r="CEJ69" s="64"/>
      <c r="CEK69" s="64"/>
      <c r="CEL69" s="33"/>
      <c r="CEM69" s="132"/>
      <c r="CEN69" s="33"/>
      <c r="CEO69" s="33"/>
      <c r="CEP69" s="33"/>
      <c r="CEQ69" s="33"/>
      <c r="CER69" s="33"/>
      <c r="CES69" s="137"/>
      <c r="CET69" s="33"/>
      <c r="CEU69" s="33"/>
      <c r="CEV69" s="33"/>
      <c r="CEW69" s="33"/>
      <c r="CEX69" s="33"/>
      <c r="CEY69" s="74"/>
      <c r="CEZ69" s="33"/>
      <c r="CFA69" s="33"/>
      <c r="CFB69" s="33"/>
      <c r="CFC69" s="33"/>
      <c r="CFD69" s="33"/>
      <c r="CFE69" s="137"/>
      <c r="CFF69" s="33"/>
      <c r="CFG69" s="33"/>
      <c r="CFH69" s="33"/>
      <c r="CFI69" s="33"/>
      <c r="CFJ69" s="33"/>
      <c r="CFK69" s="74"/>
      <c r="CFL69" s="64"/>
      <c r="CFM69" s="64"/>
      <c r="CFN69" s="64"/>
      <c r="CFO69" s="64"/>
      <c r="CFP69" s="33"/>
      <c r="CFQ69" s="137"/>
      <c r="CFR69" s="33"/>
      <c r="CFS69" s="33"/>
      <c r="CFT69" s="33"/>
      <c r="CFU69" s="33"/>
      <c r="CFV69" s="33"/>
      <c r="CFW69" s="74"/>
      <c r="CFX69" s="33"/>
      <c r="CFY69" s="33"/>
      <c r="CFZ69" s="33"/>
      <c r="CGA69" s="33"/>
      <c r="CGB69" s="33"/>
      <c r="CGC69" s="137"/>
      <c r="CGD69" s="33"/>
      <c r="CGE69" s="33"/>
      <c r="CGF69" s="33"/>
      <c r="CGG69" s="33"/>
      <c r="CGH69" s="33"/>
      <c r="CGI69" s="74"/>
      <c r="CGJ69" s="33"/>
      <c r="CGK69" s="33"/>
      <c r="CGL69" s="33"/>
      <c r="CGM69" s="33"/>
      <c r="CGN69" s="33"/>
      <c r="CGO69" s="34"/>
      <c r="CGP69" s="32"/>
      <c r="CGQ69" s="64"/>
      <c r="CGR69" s="64"/>
      <c r="CGS69" s="64"/>
      <c r="CGT69" s="33"/>
      <c r="CGU69" s="132"/>
      <c r="CGV69" s="33"/>
      <c r="CGW69" s="33"/>
      <c r="CGX69" s="33"/>
      <c r="CGY69" s="33"/>
      <c r="CGZ69" s="33"/>
      <c r="CHA69" s="137"/>
      <c r="CHB69" s="33"/>
      <c r="CHC69" s="33"/>
      <c r="CHD69" s="33"/>
      <c r="CHE69" s="33"/>
      <c r="CHF69" s="33"/>
      <c r="CHG69" s="74"/>
      <c r="CHH69" s="33"/>
      <c r="CHI69" s="33"/>
      <c r="CHJ69" s="33"/>
      <c r="CHK69" s="33"/>
      <c r="CHL69" s="33"/>
      <c r="CHM69" s="137"/>
      <c r="CHN69" s="33"/>
      <c r="CHO69" s="33"/>
      <c r="CHP69" s="33"/>
      <c r="CHQ69" s="33"/>
      <c r="CHR69" s="33"/>
      <c r="CHS69" s="74"/>
      <c r="CHT69" s="64"/>
      <c r="CHU69" s="64"/>
      <c r="CHV69" s="64"/>
      <c r="CHW69" s="64"/>
      <c r="CHX69" s="33"/>
      <c r="CHY69" s="137"/>
      <c r="CHZ69" s="33"/>
      <c r="CIA69" s="33"/>
      <c r="CIB69" s="33"/>
      <c r="CIC69" s="33"/>
      <c r="CID69" s="33"/>
      <c r="CIE69" s="74"/>
      <c r="CIF69" s="33"/>
      <c r="CIG69" s="33"/>
      <c r="CIH69" s="33"/>
      <c r="CII69" s="33"/>
      <c r="CIJ69" s="33"/>
      <c r="CIK69" s="137"/>
      <c r="CIL69" s="33"/>
      <c r="CIM69" s="33"/>
      <c r="CIN69" s="33"/>
      <c r="CIO69" s="33"/>
      <c r="CIP69" s="33"/>
      <c r="CIQ69" s="74"/>
      <c r="CIR69" s="33"/>
      <c r="CIS69" s="33"/>
      <c r="CIT69" s="33"/>
      <c r="CIU69" s="33"/>
      <c r="CIV69" s="33"/>
      <c r="CIW69" s="34"/>
      <c r="CIX69" s="32"/>
      <c r="CIY69" s="64"/>
      <c r="CIZ69" s="64"/>
      <c r="CJA69" s="64"/>
      <c r="CJB69" s="33"/>
      <c r="CJC69" s="132"/>
      <c r="CJD69" s="33"/>
      <c r="CJE69" s="33"/>
      <c r="CJF69" s="33"/>
      <c r="CJG69" s="33"/>
      <c r="CJH69" s="33"/>
      <c r="CJI69" s="137"/>
      <c r="CJJ69" s="33"/>
      <c r="CJK69" s="33"/>
      <c r="CJL69" s="33"/>
      <c r="CJM69" s="33"/>
      <c r="CJN69" s="33"/>
      <c r="CJO69" s="74"/>
      <c r="CJP69" s="33"/>
      <c r="CJQ69" s="33"/>
      <c r="CJR69" s="33"/>
      <c r="CJS69" s="33"/>
      <c r="CJT69" s="33"/>
      <c r="CJU69" s="137"/>
      <c r="CJV69" s="33"/>
      <c r="CJW69" s="33"/>
      <c r="CJX69" s="33"/>
      <c r="CJY69" s="33"/>
      <c r="CJZ69" s="33"/>
      <c r="CKA69" s="74"/>
      <c r="CKB69" s="64"/>
      <c r="CKC69" s="64"/>
      <c r="CKD69" s="64"/>
      <c r="CKE69" s="64"/>
      <c r="CKF69" s="33"/>
      <c r="CKG69" s="137"/>
      <c r="CKH69" s="33"/>
      <c r="CKI69" s="33"/>
      <c r="CKJ69" s="33"/>
      <c r="CKK69" s="33"/>
      <c r="CKL69" s="33"/>
      <c r="CKM69" s="74"/>
      <c r="CKN69" s="33"/>
      <c r="CKO69" s="33"/>
      <c r="CKP69" s="33"/>
      <c r="CKQ69" s="33"/>
      <c r="CKR69" s="33"/>
      <c r="CKS69" s="137"/>
      <c r="CKT69" s="33"/>
      <c r="CKU69" s="33"/>
      <c r="CKV69" s="33"/>
      <c r="CKW69" s="33"/>
      <c r="CKX69" s="33"/>
      <c r="CKY69" s="74"/>
      <c r="CKZ69" s="33"/>
      <c r="CLA69" s="33"/>
      <c r="CLB69" s="33"/>
      <c r="CLC69" s="33"/>
      <c r="CLD69" s="33"/>
      <c r="CLE69" s="34"/>
      <c r="CLF69" s="32"/>
      <c r="CLG69" s="64"/>
      <c r="CLH69" s="64"/>
      <c r="CLI69" s="64"/>
      <c r="CLJ69" s="33"/>
      <c r="CLK69" s="132"/>
      <c r="CLL69" s="33"/>
      <c r="CLM69" s="33"/>
      <c r="CLN69" s="33"/>
      <c r="CLO69" s="33"/>
      <c r="CLP69" s="33"/>
      <c r="CLQ69" s="137"/>
      <c r="CLR69" s="33"/>
      <c r="CLS69" s="33"/>
      <c r="CLT69" s="33"/>
      <c r="CLU69" s="33"/>
      <c r="CLV69" s="33"/>
      <c r="CLW69" s="74"/>
      <c r="CLX69" s="33"/>
      <c r="CLY69" s="33"/>
      <c r="CLZ69" s="33"/>
      <c r="CMA69" s="33"/>
      <c r="CMB69" s="33"/>
      <c r="CMC69" s="137"/>
      <c r="CMD69" s="33"/>
      <c r="CME69" s="33"/>
      <c r="CMF69" s="33"/>
      <c r="CMG69" s="33"/>
      <c r="CMH69" s="33"/>
      <c r="CMI69" s="74"/>
      <c r="CMJ69" s="64"/>
      <c r="CMK69" s="64"/>
      <c r="CML69" s="64"/>
      <c r="CMM69" s="64"/>
      <c r="CMN69" s="33"/>
      <c r="CMO69" s="137"/>
      <c r="CMP69" s="33"/>
      <c r="CMQ69" s="33"/>
      <c r="CMR69" s="33"/>
      <c r="CMS69" s="33"/>
      <c r="CMT69" s="33"/>
      <c r="CMU69" s="74"/>
      <c r="CMV69" s="33"/>
      <c r="CMW69" s="33"/>
      <c r="CMX69" s="33"/>
      <c r="CMY69" s="33"/>
      <c r="CMZ69" s="33"/>
      <c r="CNA69" s="137"/>
      <c r="CNB69" s="33"/>
      <c r="CNC69" s="33"/>
      <c r="CND69" s="33"/>
      <c r="CNE69" s="33"/>
      <c r="CNF69" s="33"/>
      <c r="CNG69" s="74"/>
      <c r="CNH69" s="33"/>
      <c r="CNI69" s="33"/>
      <c r="CNJ69" s="33"/>
      <c r="CNK69" s="33"/>
      <c r="CNL69" s="33"/>
      <c r="CNM69" s="34"/>
      <c r="CNN69" s="32"/>
      <c r="CNO69" s="64"/>
      <c r="CNP69" s="64"/>
      <c r="CNQ69" s="64"/>
      <c r="CNR69" s="33"/>
      <c r="CNS69" s="132"/>
      <c r="CNT69" s="33"/>
      <c r="CNU69" s="33"/>
      <c r="CNV69" s="33"/>
      <c r="CNW69" s="33"/>
      <c r="CNX69" s="33"/>
      <c r="CNY69" s="137"/>
      <c r="CNZ69" s="33"/>
      <c r="COA69" s="33"/>
      <c r="COB69" s="33"/>
      <c r="COC69" s="33"/>
      <c r="COD69" s="33"/>
      <c r="COE69" s="74"/>
      <c r="COF69" s="33"/>
      <c r="COG69" s="33"/>
      <c r="COH69" s="33"/>
      <c r="COI69" s="33"/>
      <c r="COJ69" s="33"/>
      <c r="COK69" s="137"/>
      <c r="COL69" s="33"/>
      <c r="COM69" s="33"/>
      <c r="CON69" s="33"/>
      <c r="COO69" s="33"/>
      <c r="COP69" s="33"/>
      <c r="COQ69" s="74"/>
      <c r="COR69" s="64"/>
      <c r="COS69" s="64"/>
      <c r="COT69" s="64"/>
      <c r="COU69" s="64"/>
      <c r="COV69" s="33"/>
      <c r="COW69" s="137"/>
      <c r="COX69" s="33"/>
      <c r="COY69" s="33"/>
      <c r="COZ69" s="33"/>
      <c r="CPA69" s="33"/>
      <c r="CPB69" s="33"/>
      <c r="CPC69" s="74"/>
      <c r="CPD69" s="33"/>
      <c r="CPE69" s="33"/>
      <c r="CPF69" s="33"/>
      <c r="CPG69" s="33"/>
      <c r="CPH69" s="33"/>
      <c r="CPI69" s="137"/>
      <c r="CPJ69" s="33"/>
      <c r="CPK69" s="33"/>
      <c r="CPL69" s="33"/>
      <c r="CPM69" s="33"/>
      <c r="CPN69" s="33"/>
      <c r="CPO69" s="74"/>
      <c r="CPP69" s="33"/>
      <c r="CPQ69" s="33"/>
      <c r="CPR69" s="33"/>
      <c r="CPS69" s="33"/>
      <c r="CPT69" s="33"/>
      <c r="CPU69" s="34"/>
      <c r="CPV69" s="32"/>
      <c r="CPW69" s="64"/>
      <c r="CPX69" s="64"/>
      <c r="CPY69" s="64"/>
      <c r="CPZ69" s="33"/>
      <c r="CQA69" s="132"/>
      <c r="CQB69" s="33"/>
      <c r="CQC69" s="33"/>
      <c r="CQD69" s="33"/>
      <c r="CQE69" s="33"/>
      <c r="CQF69" s="33"/>
      <c r="CQG69" s="137"/>
      <c r="CQH69" s="33"/>
      <c r="CQI69" s="33"/>
      <c r="CQJ69" s="33"/>
      <c r="CQK69" s="33"/>
      <c r="CQL69" s="33"/>
      <c r="CQM69" s="74"/>
      <c r="CQN69" s="33"/>
      <c r="CQO69" s="33"/>
      <c r="CQP69" s="33"/>
      <c r="CQQ69" s="33"/>
      <c r="CQR69" s="33"/>
      <c r="CQS69" s="137"/>
      <c r="CQT69" s="33"/>
      <c r="CQU69" s="33"/>
      <c r="CQV69" s="33"/>
      <c r="CQW69" s="33"/>
      <c r="CQX69" s="33"/>
      <c r="CQY69" s="74"/>
      <c r="CQZ69" s="64"/>
      <c r="CRA69" s="64"/>
      <c r="CRB69" s="64"/>
      <c r="CRC69" s="64"/>
      <c r="CRD69" s="33"/>
      <c r="CRE69" s="137"/>
      <c r="CRF69" s="33"/>
      <c r="CRG69" s="33"/>
      <c r="CRH69" s="33"/>
      <c r="CRI69" s="33"/>
      <c r="CRJ69" s="33"/>
      <c r="CRK69" s="74"/>
      <c r="CRL69" s="33"/>
      <c r="CRM69" s="33"/>
      <c r="CRN69" s="33"/>
      <c r="CRO69" s="33"/>
      <c r="CRP69" s="33"/>
      <c r="CRQ69" s="137"/>
      <c r="CRR69" s="33"/>
      <c r="CRS69" s="33"/>
      <c r="CRT69" s="33"/>
      <c r="CRU69" s="33"/>
      <c r="CRV69" s="33"/>
      <c r="CRW69" s="74"/>
      <c r="CRX69" s="33"/>
      <c r="CRY69" s="33"/>
      <c r="CRZ69" s="33"/>
      <c r="CSA69" s="33"/>
      <c r="CSB69" s="33"/>
      <c r="CSC69" s="34"/>
      <c r="CSD69" s="90"/>
    </row>
    <row r="70" spans="1:2526" ht="20.100000000000001" customHeight="1" x14ac:dyDescent="0.3">
      <c r="A70" s="100" t="s">
        <v>19</v>
      </c>
      <c r="B70" s="63"/>
      <c r="C70" s="213"/>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36"/>
      <c r="BLW70" s="65"/>
      <c r="BLX70" s="65"/>
      <c r="BLY70" s="65"/>
      <c r="BLZ70" s="37"/>
      <c r="BMA70" s="133"/>
      <c r="BMB70" s="37"/>
      <c r="BMC70" s="37"/>
      <c r="BMD70" s="37"/>
      <c r="BME70" s="37"/>
      <c r="BMF70" s="37"/>
      <c r="BMG70" s="138"/>
      <c r="BMH70" s="37"/>
      <c r="BMI70" s="37"/>
      <c r="BMJ70" s="37"/>
      <c r="BMK70" s="37"/>
      <c r="BML70" s="37"/>
      <c r="BMM70" s="75"/>
      <c r="BMN70" s="37"/>
      <c r="BMO70" s="37"/>
      <c r="BMP70" s="37"/>
      <c r="BMQ70" s="37"/>
      <c r="BMR70" s="37"/>
      <c r="BMS70" s="138"/>
      <c r="BMT70" s="37"/>
      <c r="BMU70" s="37"/>
      <c r="BMV70" s="37"/>
      <c r="BMW70" s="37"/>
      <c r="BMX70" s="37"/>
      <c r="BMY70" s="75"/>
      <c r="BMZ70" s="65"/>
      <c r="BNA70" s="65"/>
      <c r="BNB70" s="65"/>
      <c r="BNC70" s="65"/>
      <c r="BND70" s="37"/>
      <c r="BNE70" s="138"/>
      <c r="BNF70" s="37"/>
      <c r="BNG70" s="37"/>
      <c r="BNH70" s="37"/>
      <c r="BNI70" s="37"/>
      <c r="BNJ70" s="37"/>
      <c r="BNK70" s="75"/>
      <c r="BNL70" s="37"/>
      <c r="BNM70" s="37"/>
      <c r="BNN70" s="37"/>
      <c r="BNO70" s="37"/>
      <c r="BNP70" s="37"/>
      <c r="BNQ70" s="138"/>
      <c r="BNR70" s="37"/>
      <c r="BNS70" s="37"/>
      <c r="BNT70" s="37"/>
      <c r="BNU70" s="37"/>
      <c r="BNV70" s="37"/>
      <c r="BNW70" s="75"/>
      <c r="BNX70" s="37"/>
      <c r="BNY70" s="37"/>
      <c r="BNZ70" s="37"/>
      <c r="BOA70" s="37"/>
      <c r="BOB70" s="37"/>
      <c r="BOC70" s="38"/>
      <c r="BOD70" s="36"/>
      <c r="BOE70" s="65"/>
      <c r="BOF70" s="65"/>
      <c r="BOG70" s="65"/>
      <c r="BOH70" s="37"/>
      <c r="BOI70" s="133"/>
      <c r="BOJ70" s="37"/>
      <c r="BOK70" s="37"/>
      <c r="BOL70" s="37"/>
      <c r="BOM70" s="37"/>
      <c r="BON70" s="37"/>
      <c r="BOO70" s="138"/>
      <c r="BOP70" s="37"/>
      <c r="BOQ70" s="37"/>
      <c r="BOR70" s="37"/>
      <c r="BOS70" s="37"/>
      <c r="BOT70" s="37"/>
      <c r="BOU70" s="75"/>
      <c r="BOV70" s="37"/>
      <c r="BOW70" s="37"/>
      <c r="BOX70" s="37"/>
      <c r="BOY70" s="37"/>
      <c r="BOZ70" s="37"/>
      <c r="BPA70" s="138"/>
      <c r="BPB70" s="37"/>
      <c r="BPC70" s="37"/>
      <c r="BPD70" s="37"/>
      <c r="BPE70" s="37"/>
      <c r="BPF70" s="37"/>
      <c r="BPG70" s="75"/>
      <c r="BPH70" s="65"/>
      <c r="BPI70" s="65"/>
      <c r="BPJ70" s="65"/>
      <c r="BPK70" s="65"/>
      <c r="BPL70" s="37"/>
      <c r="BPM70" s="138"/>
      <c r="BPN70" s="37"/>
      <c r="BPO70" s="37"/>
      <c r="BPP70" s="37"/>
      <c r="BPQ70" s="37"/>
      <c r="BPR70" s="37"/>
      <c r="BPS70" s="75"/>
      <c r="BPT70" s="37"/>
      <c r="BPU70" s="37"/>
      <c r="BPV70" s="37"/>
      <c r="BPW70" s="37"/>
      <c r="BPX70" s="37"/>
      <c r="BPY70" s="138"/>
      <c r="BPZ70" s="37"/>
      <c r="BQA70" s="37"/>
      <c r="BQB70" s="37"/>
      <c r="BQC70" s="37"/>
      <c r="BQD70" s="37"/>
      <c r="BQE70" s="75"/>
      <c r="BQF70" s="37"/>
      <c r="BQG70" s="37"/>
      <c r="BQH70" s="37"/>
      <c r="BQI70" s="37"/>
      <c r="BQJ70" s="37"/>
      <c r="BQK70" s="38"/>
      <c r="BQL70" s="36"/>
      <c r="BQM70" s="65"/>
      <c r="BQN70" s="65"/>
      <c r="BQO70" s="65"/>
      <c r="BQP70" s="37"/>
      <c r="BQQ70" s="133"/>
      <c r="BQR70" s="37"/>
      <c r="BQS70" s="37"/>
      <c r="BQT70" s="37"/>
      <c r="BQU70" s="37"/>
      <c r="BQV70" s="37"/>
      <c r="BQW70" s="138"/>
      <c r="BQX70" s="37"/>
      <c r="BQY70" s="37"/>
      <c r="BQZ70" s="37"/>
      <c r="BRA70" s="37"/>
      <c r="BRB70" s="37"/>
      <c r="BRC70" s="75"/>
      <c r="BRD70" s="37"/>
      <c r="BRE70" s="37"/>
      <c r="BRF70" s="37"/>
      <c r="BRG70" s="37"/>
      <c r="BRH70" s="37"/>
      <c r="BRI70" s="138"/>
      <c r="BRJ70" s="37"/>
      <c r="BRK70" s="37"/>
      <c r="BRL70" s="37"/>
      <c r="BRM70" s="37"/>
      <c r="BRN70" s="37"/>
      <c r="BRO70" s="75"/>
      <c r="BRP70" s="65"/>
      <c r="BRQ70" s="65"/>
      <c r="BRR70" s="65"/>
      <c r="BRS70" s="65"/>
      <c r="BRT70" s="37"/>
      <c r="BRU70" s="138"/>
      <c r="BRV70" s="37"/>
      <c r="BRW70" s="37"/>
      <c r="BRX70" s="37"/>
      <c r="BRY70" s="37"/>
      <c r="BRZ70" s="37"/>
      <c r="BSA70" s="75"/>
      <c r="BSB70" s="37"/>
      <c r="BSC70" s="37"/>
      <c r="BSD70" s="37"/>
      <c r="BSE70" s="37"/>
      <c r="BSF70" s="37"/>
      <c r="BSG70" s="138"/>
      <c r="BSH70" s="37"/>
      <c r="BSI70" s="37"/>
      <c r="BSJ70" s="37"/>
      <c r="BSK70" s="37"/>
      <c r="BSL70" s="37"/>
      <c r="BSM70" s="75"/>
      <c r="BSN70" s="37"/>
      <c r="BSO70" s="37"/>
      <c r="BSP70" s="37"/>
      <c r="BSQ70" s="37"/>
      <c r="BSR70" s="37"/>
      <c r="BSS70" s="38"/>
      <c r="BST70" s="36"/>
      <c r="BSU70" s="65"/>
      <c r="BSV70" s="65"/>
      <c r="BSW70" s="65"/>
      <c r="BSX70" s="37"/>
      <c r="BSY70" s="133"/>
      <c r="BSZ70" s="37"/>
      <c r="BTA70" s="37"/>
      <c r="BTB70" s="37"/>
      <c r="BTC70" s="37"/>
      <c r="BTD70" s="37"/>
      <c r="BTE70" s="138"/>
      <c r="BTF70" s="37"/>
      <c r="BTG70" s="37"/>
      <c r="BTH70" s="37"/>
      <c r="BTI70" s="37"/>
      <c r="BTJ70" s="37"/>
      <c r="BTK70" s="75"/>
      <c r="BTL70" s="37"/>
      <c r="BTM70" s="37"/>
      <c r="BTN70" s="37"/>
      <c r="BTO70" s="37"/>
      <c r="BTP70" s="37"/>
      <c r="BTQ70" s="138"/>
      <c r="BTR70" s="37"/>
      <c r="BTS70" s="37"/>
      <c r="BTT70" s="37"/>
      <c r="BTU70" s="37"/>
      <c r="BTV70" s="37"/>
      <c r="BTW70" s="75"/>
      <c r="BTX70" s="65"/>
      <c r="BTY70" s="65"/>
      <c r="BTZ70" s="65"/>
      <c r="BUA70" s="65"/>
      <c r="BUB70" s="37"/>
      <c r="BUC70" s="138"/>
      <c r="BUD70" s="37"/>
      <c r="BUE70" s="37"/>
      <c r="BUF70" s="37"/>
      <c r="BUG70" s="37"/>
      <c r="BUH70" s="37"/>
      <c r="BUI70" s="75"/>
      <c r="BUJ70" s="37"/>
      <c r="BUK70" s="37"/>
      <c r="BUL70" s="37"/>
      <c r="BUM70" s="37"/>
      <c r="BUN70" s="37"/>
      <c r="BUO70" s="138"/>
      <c r="BUP70" s="37"/>
      <c r="BUQ70" s="37"/>
      <c r="BUR70" s="37"/>
      <c r="BUS70" s="37"/>
      <c r="BUT70" s="37"/>
      <c r="BUU70" s="75"/>
      <c r="BUV70" s="37"/>
      <c r="BUW70" s="37"/>
      <c r="BUX70" s="37"/>
      <c r="BUY70" s="37"/>
      <c r="BUZ70" s="37"/>
      <c r="BVA70" s="38"/>
      <c r="BVB70" s="36"/>
      <c r="BVC70" s="65"/>
      <c r="BVD70" s="65"/>
      <c r="BVE70" s="65"/>
      <c r="BVF70" s="37"/>
      <c r="BVG70" s="133"/>
      <c r="BVH70" s="37"/>
      <c r="BVI70" s="37"/>
      <c r="BVJ70" s="37"/>
      <c r="BVK70" s="37"/>
      <c r="BVL70" s="37"/>
      <c r="BVM70" s="138"/>
      <c r="BVN70" s="37"/>
      <c r="BVO70" s="37"/>
      <c r="BVP70" s="37"/>
      <c r="BVQ70" s="37"/>
      <c r="BVR70" s="37"/>
      <c r="BVS70" s="75"/>
      <c r="BVT70" s="37"/>
      <c r="BVU70" s="37"/>
      <c r="BVV70" s="37"/>
      <c r="BVW70" s="37"/>
      <c r="BVX70" s="37"/>
      <c r="BVY70" s="138"/>
      <c r="BVZ70" s="37"/>
      <c r="BWA70" s="37"/>
      <c r="BWB70" s="37"/>
      <c r="BWC70" s="37"/>
      <c r="BWD70" s="37"/>
      <c r="BWE70" s="75"/>
      <c r="BWF70" s="65"/>
      <c r="BWG70" s="65"/>
      <c r="BWH70" s="65"/>
      <c r="BWI70" s="65"/>
      <c r="BWJ70" s="37"/>
      <c r="BWK70" s="138"/>
      <c r="BWL70" s="37"/>
      <c r="BWM70" s="37"/>
      <c r="BWN70" s="37"/>
      <c r="BWO70" s="37"/>
      <c r="BWP70" s="37"/>
      <c r="BWQ70" s="75"/>
      <c r="BWR70" s="37"/>
      <c r="BWS70" s="37"/>
      <c r="BWT70" s="37"/>
      <c r="BWU70" s="37"/>
      <c r="BWV70" s="37"/>
      <c r="BWW70" s="138"/>
      <c r="BWX70" s="37"/>
      <c r="BWY70" s="37"/>
      <c r="BWZ70" s="37"/>
      <c r="BXA70" s="37"/>
      <c r="BXB70" s="37"/>
      <c r="BXC70" s="75"/>
      <c r="BXD70" s="37"/>
      <c r="BXE70" s="37"/>
      <c r="BXF70" s="37"/>
      <c r="BXG70" s="37"/>
      <c r="BXH70" s="37"/>
      <c r="BXI70" s="38"/>
      <c r="BXJ70" s="36"/>
      <c r="BXK70" s="65"/>
      <c r="BXL70" s="65"/>
      <c r="BXM70" s="65"/>
      <c r="BXN70" s="37"/>
      <c r="BXO70" s="133"/>
      <c r="BXP70" s="37"/>
      <c r="BXQ70" s="37"/>
      <c r="BXR70" s="37"/>
      <c r="BXS70" s="37"/>
      <c r="BXT70" s="37"/>
      <c r="BXU70" s="138"/>
      <c r="BXV70" s="37"/>
      <c r="BXW70" s="37"/>
      <c r="BXX70" s="37"/>
      <c r="BXY70" s="37"/>
      <c r="BXZ70" s="37"/>
      <c r="BYA70" s="75"/>
      <c r="BYB70" s="37"/>
      <c r="BYC70" s="37"/>
      <c r="BYD70" s="37"/>
      <c r="BYE70" s="37"/>
      <c r="BYF70" s="37"/>
      <c r="BYG70" s="138"/>
      <c r="BYH70" s="37"/>
      <c r="BYI70" s="37"/>
      <c r="BYJ70" s="37"/>
      <c r="BYK70" s="37"/>
      <c r="BYL70" s="37"/>
      <c r="BYM70" s="75"/>
      <c r="BYN70" s="65"/>
      <c r="BYO70" s="65"/>
      <c r="BYP70" s="65"/>
      <c r="BYQ70" s="65"/>
      <c r="BYR70" s="37"/>
      <c r="BYS70" s="138"/>
      <c r="BYT70" s="37"/>
      <c r="BYU70" s="37"/>
      <c r="BYV70" s="37"/>
      <c r="BYW70" s="37"/>
      <c r="BYX70" s="37"/>
      <c r="BYY70" s="75"/>
      <c r="BYZ70" s="37"/>
      <c r="BZA70" s="37"/>
      <c r="BZB70" s="37"/>
      <c r="BZC70" s="37"/>
      <c r="BZD70" s="37"/>
      <c r="BZE70" s="138"/>
      <c r="BZF70" s="37"/>
      <c r="BZG70" s="37"/>
      <c r="BZH70" s="37"/>
      <c r="BZI70" s="37"/>
      <c r="BZJ70" s="37"/>
      <c r="BZK70" s="75"/>
      <c r="BZL70" s="37"/>
      <c r="BZM70" s="37"/>
      <c r="BZN70" s="37"/>
      <c r="BZO70" s="37"/>
      <c r="BZP70" s="37"/>
      <c r="BZQ70" s="38"/>
      <c r="BZR70" s="36"/>
      <c r="BZS70" s="65"/>
      <c r="BZT70" s="65"/>
      <c r="BZU70" s="65"/>
      <c r="BZV70" s="37"/>
      <c r="BZW70" s="133"/>
      <c r="BZX70" s="37"/>
      <c r="BZY70" s="37"/>
      <c r="BZZ70" s="37"/>
      <c r="CAA70" s="37"/>
      <c r="CAB70" s="37"/>
      <c r="CAC70" s="138"/>
      <c r="CAD70" s="37"/>
      <c r="CAE70" s="37"/>
      <c r="CAF70" s="37"/>
      <c r="CAG70" s="37"/>
      <c r="CAH70" s="37"/>
      <c r="CAI70" s="75"/>
      <c r="CAJ70" s="37"/>
      <c r="CAK70" s="37"/>
      <c r="CAL70" s="37"/>
      <c r="CAM70" s="37"/>
      <c r="CAN70" s="37"/>
      <c r="CAO70" s="138"/>
      <c r="CAP70" s="37"/>
      <c r="CAQ70" s="37"/>
      <c r="CAR70" s="37"/>
      <c r="CAS70" s="37"/>
      <c r="CAT70" s="37"/>
      <c r="CAU70" s="75"/>
      <c r="CAV70" s="65"/>
      <c r="CAW70" s="65"/>
      <c r="CAX70" s="65"/>
      <c r="CAY70" s="65"/>
      <c r="CAZ70" s="37"/>
      <c r="CBA70" s="138"/>
      <c r="CBB70" s="37"/>
      <c r="CBC70" s="37"/>
      <c r="CBD70" s="37"/>
      <c r="CBE70" s="37"/>
      <c r="CBF70" s="37"/>
      <c r="CBG70" s="75"/>
      <c r="CBH70" s="37"/>
      <c r="CBI70" s="37"/>
      <c r="CBJ70" s="37"/>
      <c r="CBK70" s="37"/>
      <c r="CBL70" s="37"/>
      <c r="CBM70" s="138"/>
      <c r="CBN70" s="37"/>
      <c r="CBO70" s="37"/>
      <c r="CBP70" s="37"/>
      <c r="CBQ70" s="37"/>
      <c r="CBR70" s="37"/>
      <c r="CBS70" s="75"/>
      <c r="CBT70" s="37"/>
      <c r="CBU70" s="37"/>
      <c r="CBV70" s="37"/>
      <c r="CBW70" s="37"/>
      <c r="CBX70" s="37"/>
      <c r="CBY70" s="38"/>
      <c r="CBZ70" s="36"/>
      <c r="CCA70" s="65"/>
      <c r="CCB70" s="65"/>
      <c r="CCC70" s="65"/>
      <c r="CCD70" s="37"/>
      <c r="CCE70" s="133"/>
      <c r="CCF70" s="37"/>
      <c r="CCG70" s="37"/>
      <c r="CCH70" s="37"/>
      <c r="CCI70" s="37"/>
      <c r="CCJ70" s="37"/>
      <c r="CCK70" s="138"/>
      <c r="CCL70" s="37"/>
      <c r="CCM70" s="37"/>
      <c r="CCN70" s="37"/>
      <c r="CCO70" s="37"/>
      <c r="CCP70" s="37"/>
      <c r="CCQ70" s="75"/>
      <c r="CCR70" s="37"/>
      <c r="CCS70" s="37"/>
      <c r="CCT70" s="37"/>
      <c r="CCU70" s="37"/>
      <c r="CCV70" s="37"/>
      <c r="CCW70" s="138"/>
      <c r="CCX70" s="37"/>
      <c r="CCY70" s="37"/>
      <c r="CCZ70" s="37"/>
      <c r="CDA70" s="37"/>
      <c r="CDB70" s="37"/>
      <c r="CDC70" s="75"/>
      <c r="CDD70" s="65"/>
      <c r="CDE70" s="65"/>
      <c r="CDF70" s="65"/>
      <c r="CDG70" s="65"/>
      <c r="CDH70" s="37"/>
      <c r="CDI70" s="138"/>
      <c r="CDJ70" s="37"/>
      <c r="CDK70" s="37"/>
      <c r="CDL70" s="37"/>
      <c r="CDM70" s="37"/>
      <c r="CDN70" s="37"/>
      <c r="CDO70" s="75"/>
      <c r="CDP70" s="37"/>
      <c r="CDQ70" s="37"/>
      <c r="CDR70" s="37"/>
      <c r="CDS70" s="37"/>
      <c r="CDT70" s="37"/>
      <c r="CDU70" s="138"/>
      <c r="CDV70" s="37"/>
      <c r="CDW70" s="37"/>
      <c r="CDX70" s="37"/>
      <c r="CDY70" s="37"/>
      <c r="CDZ70" s="37"/>
      <c r="CEA70" s="75"/>
      <c r="CEB70" s="37"/>
      <c r="CEC70" s="37"/>
      <c r="CED70" s="37"/>
      <c r="CEE70" s="37"/>
      <c r="CEF70" s="37"/>
      <c r="CEG70" s="38"/>
      <c r="CEH70" s="36"/>
      <c r="CEI70" s="65"/>
      <c r="CEJ70" s="65"/>
      <c r="CEK70" s="65"/>
      <c r="CEL70" s="37"/>
      <c r="CEM70" s="133"/>
      <c r="CEN70" s="37"/>
      <c r="CEO70" s="37"/>
      <c r="CEP70" s="37"/>
      <c r="CEQ70" s="37"/>
      <c r="CER70" s="37"/>
      <c r="CES70" s="138"/>
      <c r="CET70" s="37"/>
      <c r="CEU70" s="37"/>
      <c r="CEV70" s="37"/>
      <c r="CEW70" s="37"/>
      <c r="CEX70" s="37"/>
      <c r="CEY70" s="75"/>
      <c r="CEZ70" s="37"/>
      <c r="CFA70" s="37"/>
      <c r="CFB70" s="37"/>
      <c r="CFC70" s="37"/>
      <c r="CFD70" s="37"/>
      <c r="CFE70" s="138"/>
      <c r="CFF70" s="37"/>
      <c r="CFG70" s="37"/>
      <c r="CFH70" s="37"/>
      <c r="CFI70" s="37"/>
      <c r="CFJ70" s="37"/>
      <c r="CFK70" s="75"/>
      <c r="CFL70" s="65"/>
      <c r="CFM70" s="65"/>
      <c r="CFN70" s="65"/>
      <c r="CFO70" s="65"/>
      <c r="CFP70" s="37"/>
      <c r="CFQ70" s="138"/>
      <c r="CFR70" s="37"/>
      <c r="CFS70" s="37"/>
      <c r="CFT70" s="37"/>
      <c r="CFU70" s="37"/>
      <c r="CFV70" s="37"/>
      <c r="CFW70" s="75"/>
      <c r="CFX70" s="37"/>
      <c r="CFY70" s="37"/>
      <c r="CFZ70" s="37"/>
      <c r="CGA70" s="37"/>
      <c r="CGB70" s="37"/>
      <c r="CGC70" s="138"/>
      <c r="CGD70" s="37"/>
      <c r="CGE70" s="37"/>
      <c r="CGF70" s="37"/>
      <c r="CGG70" s="37"/>
      <c r="CGH70" s="37"/>
      <c r="CGI70" s="75"/>
      <c r="CGJ70" s="37"/>
      <c r="CGK70" s="37"/>
      <c r="CGL70" s="37"/>
      <c r="CGM70" s="37"/>
      <c r="CGN70" s="37"/>
      <c r="CGO70" s="38"/>
      <c r="CGP70" s="36"/>
      <c r="CGQ70" s="65"/>
      <c r="CGR70" s="65"/>
      <c r="CGS70" s="65"/>
      <c r="CGT70" s="37"/>
      <c r="CGU70" s="133"/>
      <c r="CGV70" s="37"/>
      <c r="CGW70" s="37"/>
      <c r="CGX70" s="37"/>
      <c r="CGY70" s="37"/>
      <c r="CGZ70" s="37"/>
      <c r="CHA70" s="138"/>
      <c r="CHB70" s="37"/>
      <c r="CHC70" s="37"/>
      <c r="CHD70" s="37"/>
      <c r="CHE70" s="37"/>
      <c r="CHF70" s="37"/>
      <c r="CHG70" s="75"/>
      <c r="CHH70" s="37"/>
      <c r="CHI70" s="37"/>
      <c r="CHJ70" s="37"/>
      <c r="CHK70" s="37"/>
      <c r="CHL70" s="37"/>
      <c r="CHM70" s="138"/>
      <c r="CHN70" s="37"/>
      <c r="CHO70" s="37"/>
      <c r="CHP70" s="37"/>
      <c r="CHQ70" s="37"/>
      <c r="CHR70" s="37"/>
      <c r="CHS70" s="75"/>
      <c r="CHT70" s="65"/>
      <c r="CHU70" s="65"/>
      <c r="CHV70" s="65"/>
      <c r="CHW70" s="65"/>
      <c r="CHX70" s="37"/>
      <c r="CHY70" s="138"/>
      <c r="CHZ70" s="37"/>
      <c r="CIA70" s="37"/>
      <c r="CIB70" s="37"/>
      <c r="CIC70" s="37"/>
      <c r="CID70" s="37"/>
      <c r="CIE70" s="75"/>
      <c r="CIF70" s="37"/>
      <c r="CIG70" s="37"/>
      <c r="CIH70" s="37"/>
      <c r="CII70" s="37"/>
      <c r="CIJ70" s="37"/>
      <c r="CIK70" s="138"/>
      <c r="CIL70" s="37"/>
      <c r="CIM70" s="37"/>
      <c r="CIN70" s="37"/>
      <c r="CIO70" s="37"/>
      <c r="CIP70" s="37"/>
      <c r="CIQ70" s="75"/>
      <c r="CIR70" s="37"/>
      <c r="CIS70" s="37"/>
      <c r="CIT70" s="37"/>
      <c r="CIU70" s="37"/>
      <c r="CIV70" s="37"/>
      <c r="CIW70" s="38"/>
      <c r="CIX70" s="36"/>
      <c r="CIY70" s="65"/>
      <c r="CIZ70" s="65"/>
      <c r="CJA70" s="65"/>
      <c r="CJB70" s="37"/>
      <c r="CJC70" s="133"/>
      <c r="CJD70" s="37"/>
      <c r="CJE70" s="37"/>
      <c r="CJF70" s="37"/>
      <c r="CJG70" s="37"/>
      <c r="CJH70" s="37"/>
      <c r="CJI70" s="138"/>
      <c r="CJJ70" s="37"/>
      <c r="CJK70" s="37"/>
      <c r="CJL70" s="37"/>
      <c r="CJM70" s="37"/>
      <c r="CJN70" s="37"/>
      <c r="CJO70" s="75"/>
      <c r="CJP70" s="37"/>
      <c r="CJQ70" s="37"/>
      <c r="CJR70" s="37"/>
      <c r="CJS70" s="37"/>
      <c r="CJT70" s="37"/>
      <c r="CJU70" s="138"/>
      <c r="CJV70" s="37"/>
      <c r="CJW70" s="37"/>
      <c r="CJX70" s="37"/>
      <c r="CJY70" s="37"/>
      <c r="CJZ70" s="37"/>
      <c r="CKA70" s="75"/>
      <c r="CKB70" s="65"/>
      <c r="CKC70" s="65"/>
      <c r="CKD70" s="65"/>
      <c r="CKE70" s="65"/>
      <c r="CKF70" s="37"/>
      <c r="CKG70" s="138"/>
      <c r="CKH70" s="37"/>
      <c r="CKI70" s="37"/>
      <c r="CKJ70" s="37"/>
      <c r="CKK70" s="37"/>
      <c r="CKL70" s="37"/>
      <c r="CKM70" s="75"/>
      <c r="CKN70" s="37"/>
      <c r="CKO70" s="37"/>
      <c r="CKP70" s="37"/>
      <c r="CKQ70" s="37"/>
      <c r="CKR70" s="37"/>
      <c r="CKS70" s="138"/>
      <c r="CKT70" s="37"/>
      <c r="CKU70" s="37"/>
      <c r="CKV70" s="37"/>
      <c r="CKW70" s="37"/>
      <c r="CKX70" s="37"/>
      <c r="CKY70" s="75"/>
      <c r="CKZ70" s="37"/>
      <c r="CLA70" s="37"/>
      <c r="CLB70" s="37"/>
      <c r="CLC70" s="37"/>
      <c r="CLD70" s="37"/>
      <c r="CLE70" s="38"/>
      <c r="CLF70" s="36"/>
      <c r="CLG70" s="65"/>
      <c r="CLH70" s="65"/>
      <c r="CLI70" s="65"/>
      <c r="CLJ70" s="37"/>
      <c r="CLK70" s="133"/>
      <c r="CLL70" s="37"/>
      <c r="CLM70" s="37"/>
      <c r="CLN70" s="37"/>
      <c r="CLO70" s="37"/>
      <c r="CLP70" s="37"/>
      <c r="CLQ70" s="138"/>
      <c r="CLR70" s="37"/>
      <c r="CLS70" s="37"/>
      <c r="CLT70" s="37"/>
      <c r="CLU70" s="37"/>
      <c r="CLV70" s="37"/>
      <c r="CLW70" s="75"/>
      <c r="CLX70" s="37"/>
      <c r="CLY70" s="37"/>
      <c r="CLZ70" s="37"/>
      <c r="CMA70" s="37"/>
      <c r="CMB70" s="37"/>
      <c r="CMC70" s="138"/>
      <c r="CMD70" s="37"/>
      <c r="CME70" s="37"/>
      <c r="CMF70" s="37"/>
      <c r="CMG70" s="37"/>
      <c r="CMH70" s="37"/>
      <c r="CMI70" s="75"/>
      <c r="CMJ70" s="65"/>
      <c r="CMK70" s="65"/>
      <c r="CML70" s="65"/>
      <c r="CMM70" s="65"/>
      <c r="CMN70" s="37"/>
      <c r="CMO70" s="138"/>
      <c r="CMP70" s="37"/>
      <c r="CMQ70" s="37"/>
      <c r="CMR70" s="37"/>
      <c r="CMS70" s="37"/>
      <c r="CMT70" s="37"/>
      <c r="CMU70" s="75"/>
      <c r="CMV70" s="37"/>
      <c r="CMW70" s="37"/>
      <c r="CMX70" s="37"/>
      <c r="CMY70" s="37"/>
      <c r="CMZ70" s="37"/>
      <c r="CNA70" s="138"/>
      <c r="CNB70" s="37"/>
      <c r="CNC70" s="37"/>
      <c r="CND70" s="37"/>
      <c r="CNE70" s="37"/>
      <c r="CNF70" s="37"/>
      <c r="CNG70" s="75"/>
      <c r="CNH70" s="37"/>
      <c r="CNI70" s="37"/>
      <c r="CNJ70" s="37"/>
      <c r="CNK70" s="37"/>
      <c r="CNL70" s="37"/>
      <c r="CNM70" s="38"/>
      <c r="CNN70" s="36"/>
      <c r="CNO70" s="65"/>
      <c r="CNP70" s="65"/>
      <c r="CNQ70" s="65"/>
      <c r="CNR70" s="37"/>
      <c r="CNS70" s="133"/>
      <c r="CNT70" s="37"/>
      <c r="CNU70" s="37"/>
      <c r="CNV70" s="37"/>
      <c r="CNW70" s="37"/>
      <c r="CNX70" s="37"/>
      <c r="CNY70" s="138"/>
      <c r="CNZ70" s="37"/>
      <c r="COA70" s="37"/>
      <c r="COB70" s="37"/>
      <c r="COC70" s="37"/>
      <c r="COD70" s="37"/>
      <c r="COE70" s="75"/>
      <c r="COF70" s="37"/>
      <c r="COG70" s="37"/>
      <c r="COH70" s="37"/>
      <c r="COI70" s="37"/>
      <c r="COJ70" s="37"/>
      <c r="COK70" s="138"/>
      <c r="COL70" s="37"/>
      <c r="COM70" s="37"/>
      <c r="CON70" s="37"/>
      <c r="COO70" s="37"/>
      <c r="COP70" s="37"/>
      <c r="COQ70" s="75"/>
      <c r="COR70" s="65"/>
      <c r="COS70" s="65"/>
      <c r="COT70" s="65"/>
      <c r="COU70" s="65"/>
      <c r="COV70" s="37"/>
      <c r="COW70" s="138"/>
      <c r="COX70" s="37"/>
      <c r="COY70" s="37"/>
      <c r="COZ70" s="37"/>
      <c r="CPA70" s="37"/>
      <c r="CPB70" s="37"/>
      <c r="CPC70" s="75"/>
      <c r="CPD70" s="37"/>
      <c r="CPE70" s="37"/>
      <c r="CPF70" s="37"/>
      <c r="CPG70" s="37"/>
      <c r="CPH70" s="37"/>
      <c r="CPI70" s="138"/>
      <c r="CPJ70" s="37"/>
      <c r="CPK70" s="37"/>
      <c r="CPL70" s="37"/>
      <c r="CPM70" s="37"/>
      <c r="CPN70" s="37"/>
      <c r="CPO70" s="75"/>
      <c r="CPP70" s="37"/>
      <c r="CPQ70" s="37"/>
      <c r="CPR70" s="37"/>
      <c r="CPS70" s="37"/>
      <c r="CPT70" s="37"/>
      <c r="CPU70" s="38"/>
      <c r="CPV70" s="36"/>
      <c r="CPW70" s="65"/>
      <c r="CPX70" s="65"/>
      <c r="CPY70" s="65"/>
      <c r="CPZ70" s="37"/>
      <c r="CQA70" s="133"/>
      <c r="CQB70" s="37"/>
      <c r="CQC70" s="37"/>
      <c r="CQD70" s="37"/>
      <c r="CQE70" s="37"/>
      <c r="CQF70" s="37"/>
      <c r="CQG70" s="138"/>
      <c r="CQH70" s="37"/>
      <c r="CQI70" s="37"/>
      <c r="CQJ70" s="37"/>
      <c r="CQK70" s="37"/>
      <c r="CQL70" s="37"/>
      <c r="CQM70" s="75"/>
      <c r="CQN70" s="37"/>
      <c r="CQO70" s="37"/>
      <c r="CQP70" s="37"/>
      <c r="CQQ70" s="37"/>
      <c r="CQR70" s="37"/>
      <c r="CQS70" s="138"/>
      <c r="CQT70" s="37"/>
      <c r="CQU70" s="37"/>
      <c r="CQV70" s="37"/>
      <c r="CQW70" s="37"/>
      <c r="CQX70" s="37"/>
      <c r="CQY70" s="75"/>
      <c r="CQZ70" s="65"/>
      <c r="CRA70" s="65"/>
      <c r="CRB70" s="65"/>
      <c r="CRC70" s="65"/>
      <c r="CRD70" s="37"/>
      <c r="CRE70" s="138"/>
      <c r="CRF70" s="37"/>
      <c r="CRG70" s="37"/>
      <c r="CRH70" s="37"/>
      <c r="CRI70" s="37"/>
      <c r="CRJ70" s="37"/>
      <c r="CRK70" s="75"/>
      <c r="CRL70" s="37"/>
      <c r="CRM70" s="37"/>
      <c r="CRN70" s="37"/>
      <c r="CRO70" s="37"/>
      <c r="CRP70" s="37"/>
      <c r="CRQ70" s="138"/>
      <c r="CRR70" s="37"/>
      <c r="CRS70" s="37"/>
      <c r="CRT70" s="37"/>
      <c r="CRU70" s="37"/>
      <c r="CRV70" s="37"/>
      <c r="CRW70" s="75"/>
      <c r="CRX70" s="37"/>
      <c r="CRY70" s="37"/>
      <c r="CRZ70" s="37"/>
      <c r="CSA70" s="37"/>
      <c r="CSB70" s="37"/>
      <c r="CSC70" s="38"/>
      <c r="CSD70" s="90"/>
    </row>
    <row r="71" spans="1:2526" ht="20.100000000000001" customHeight="1" x14ac:dyDescent="0.25">
      <c r="A71" s="100" t="s">
        <v>18</v>
      </c>
      <c r="B71" s="63"/>
      <c r="C71" s="211"/>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40"/>
      <c r="BLW71" s="66"/>
      <c r="BLX71" s="66"/>
      <c r="BLY71" s="66"/>
      <c r="BLZ71" s="41"/>
      <c r="BMA71" s="134"/>
      <c r="BMB71" s="41"/>
      <c r="BMC71" s="41"/>
      <c r="BMD71" s="41"/>
      <c r="BME71" s="41"/>
      <c r="BMF71" s="41"/>
      <c r="BMG71" s="139"/>
      <c r="BMH71" s="41"/>
      <c r="BMI71" s="41"/>
      <c r="BMJ71" s="41"/>
      <c r="BMK71" s="41"/>
      <c r="BML71" s="41"/>
      <c r="BMM71" s="76"/>
      <c r="BMN71" s="41"/>
      <c r="BMO71" s="41"/>
      <c r="BMP71" s="41"/>
      <c r="BMQ71" s="41"/>
      <c r="BMR71" s="41"/>
      <c r="BMS71" s="139"/>
      <c r="BMT71" s="41"/>
      <c r="BMU71" s="41"/>
      <c r="BMV71" s="41"/>
      <c r="BMW71" s="41"/>
      <c r="BMX71" s="41"/>
      <c r="BMY71" s="76"/>
      <c r="BMZ71" s="66"/>
      <c r="BNA71" s="66"/>
      <c r="BNB71" s="66"/>
      <c r="BNC71" s="66"/>
      <c r="BND71" s="41"/>
      <c r="BNE71" s="139"/>
      <c r="BNF71" s="41"/>
      <c r="BNG71" s="41"/>
      <c r="BNH71" s="41"/>
      <c r="BNI71" s="41"/>
      <c r="BNJ71" s="41"/>
      <c r="BNK71" s="76"/>
      <c r="BNL71" s="41"/>
      <c r="BNM71" s="41"/>
      <c r="BNN71" s="41"/>
      <c r="BNO71" s="41"/>
      <c r="BNP71" s="41"/>
      <c r="BNQ71" s="139"/>
      <c r="BNR71" s="41"/>
      <c r="BNS71" s="41"/>
      <c r="BNT71" s="41"/>
      <c r="BNU71" s="41"/>
      <c r="BNV71" s="41"/>
      <c r="BNW71" s="76"/>
      <c r="BNX71" s="41"/>
      <c r="BNY71" s="41"/>
      <c r="BNZ71" s="41"/>
      <c r="BOA71" s="41"/>
      <c r="BOB71" s="41"/>
      <c r="BOC71" s="42"/>
      <c r="BOD71" s="40"/>
      <c r="BOE71" s="66"/>
      <c r="BOF71" s="66"/>
      <c r="BOG71" s="66"/>
      <c r="BOH71" s="41"/>
      <c r="BOI71" s="134"/>
      <c r="BOJ71" s="41"/>
      <c r="BOK71" s="41"/>
      <c r="BOL71" s="41"/>
      <c r="BOM71" s="41"/>
      <c r="BON71" s="41"/>
      <c r="BOO71" s="139"/>
      <c r="BOP71" s="41"/>
      <c r="BOQ71" s="41"/>
      <c r="BOR71" s="41"/>
      <c r="BOS71" s="41"/>
      <c r="BOT71" s="41"/>
      <c r="BOU71" s="76"/>
      <c r="BOV71" s="41"/>
      <c r="BOW71" s="41"/>
      <c r="BOX71" s="41"/>
      <c r="BOY71" s="41"/>
      <c r="BOZ71" s="41"/>
      <c r="BPA71" s="139"/>
      <c r="BPB71" s="41"/>
      <c r="BPC71" s="41"/>
      <c r="BPD71" s="41"/>
      <c r="BPE71" s="41"/>
      <c r="BPF71" s="41"/>
      <c r="BPG71" s="76"/>
      <c r="BPH71" s="66"/>
      <c r="BPI71" s="66"/>
      <c r="BPJ71" s="66"/>
      <c r="BPK71" s="66"/>
      <c r="BPL71" s="41"/>
      <c r="BPM71" s="139"/>
      <c r="BPN71" s="41"/>
      <c r="BPO71" s="41"/>
      <c r="BPP71" s="41"/>
      <c r="BPQ71" s="41"/>
      <c r="BPR71" s="41"/>
      <c r="BPS71" s="76"/>
      <c r="BPT71" s="41"/>
      <c r="BPU71" s="41"/>
      <c r="BPV71" s="41"/>
      <c r="BPW71" s="41"/>
      <c r="BPX71" s="41"/>
      <c r="BPY71" s="139"/>
      <c r="BPZ71" s="41"/>
      <c r="BQA71" s="41"/>
      <c r="BQB71" s="41"/>
      <c r="BQC71" s="41"/>
      <c r="BQD71" s="41"/>
      <c r="BQE71" s="76"/>
      <c r="BQF71" s="41"/>
      <c r="BQG71" s="41"/>
      <c r="BQH71" s="41"/>
      <c r="BQI71" s="41"/>
      <c r="BQJ71" s="41"/>
      <c r="BQK71" s="42"/>
      <c r="BQL71" s="40"/>
      <c r="BQM71" s="66"/>
      <c r="BQN71" s="66"/>
      <c r="BQO71" s="66"/>
      <c r="BQP71" s="41"/>
      <c r="BQQ71" s="134"/>
      <c r="BQR71" s="41"/>
      <c r="BQS71" s="41"/>
      <c r="BQT71" s="41"/>
      <c r="BQU71" s="41"/>
      <c r="BQV71" s="41"/>
      <c r="BQW71" s="139"/>
      <c r="BQX71" s="41"/>
      <c r="BQY71" s="41"/>
      <c r="BQZ71" s="41"/>
      <c r="BRA71" s="41"/>
      <c r="BRB71" s="41"/>
      <c r="BRC71" s="76"/>
      <c r="BRD71" s="41"/>
      <c r="BRE71" s="41"/>
      <c r="BRF71" s="41"/>
      <c r="BRG71" s="41"/>
      <c r="BRH71" s="41"/>
      <c r="BRI71" s="139"/>
      <c r="BRJ71" s="41"/>
      <c r="BRK71" s="41"/>
      <c r="BRL71" s="41"/>
      <c r="BRM71" s="41"/>
      <c r="BRN71" s="41"/>
      <c r="BRO71" s="76"/>
      <c r="BRP71" s="66"/>
      <c r="BRQ71" s="66"/>
      <c r="BRR71" s="66"/>
      <c r="BRS71" s="66"/>
      <c r="BRT71" s="41"/>
      <c r="BRU71" s="139"/>
      <c r="BRV71" s="41"/>
      <c r="BRW71" s="41"/>
      <c r="BRX71" s="41"/>
      <c r="BRY71" s="41"/>
      <c r="BRZ71" s="41"/>
      <c r="BSA71" s="76"/>
      <c r="BSB71" s="41"/>
      <c r="BSC71" s="41"/>
      <c r="BSD71" s="41"/>
      <c r="BSE71" s="41"/>
      <c r="BSF71" s="41"/>
      <c r="BSG71" s="139"/>
      <c r="BSH71" s="41"/>
      <c r="BSI71" s="41"/>
      <c r="BSJ71" s="41"/>
      <c r="BSK71" s="41"/>
      <c r="BSL71" s="41"/>
      <c r="BSM71" s="76"/>
      <c r="BSN71" s="41"/>
      <c r="BSO71" s="41"/>
      <c r="BSP71" s="41"/>
      <c r="BSQ71" s="41"/>
      <c r="BSR71" s="41"/>
      <c r="BSS71" s="42"/>
      <c r="BST71" s="40"/>
      <c r="BSU71" s="66"/>
      <c r="BSV71" s="66"/>
      <c r="BSW71" s="66"/>
      <c r="BSX71" s="41"/>
      <c r="BSY71" s="134"/>
      <c r="BSZ71" s="41"/>
      <c r="BTA71" s="41"/>
      <c r="BTB71" s="41"/>
      <c r="BTC71" s="41"/>
      <c r="BTD71" s="41"/>
      <c r="BTE71" s="139"/>
      <c r="BTF71" s="41"/>
      <c r="BTG71" s="41"/>
      <c r="BTH71" s="41"/>
      <c r="BTI71" s="41"/>
      <c r="BTJ71" s="41"/>
      <c r="BTK71" s="76"/>
      <c r="BTL71" s="41"/>
      <c r="BTM71" s="41"/>
      <c r="BTN71" s="41"/>
      <c r="BTO71" s="41"/>
      <c r="BTP71" s="41"/>
      <c r="BTQ71" s="139"/>
      <c r="BTR71" s="41"/>
      <c r="BTS71" s="41"/>
      <c r="BTT71" s="41"/>
      <c r="BTU71" s="41"/>
      <c r="BTV71" s="41"/>
      <c r="BTW71" s="76"/>
      <c r="BTX71" s="66"/>
      <c r="BTY71" s="66"/>
      <c r="BTZ71" s="66"/>
      <c r="BUA71" s="66"/>
      <c r="BUB71" s="41"/>
      <c r="BUC71" s="139"/>
      <c r="BUD71" s="41"/>
      <c r="BUE71" s="41"/>
      <c r="BUF71" s="41"/>
      <c r="BUG71" s="41"/>
      <c r="BUH71" s="41"/>
      <c r="BUI71" s="76"/>
      <c r="BUJ71" s="41"/>
      <c r="BUK71" s="41"/>
      <c r="BUL71" s="41"/>
      <c r="BUM71" s="41"/>
      <c r="BUN71" s="41"/>
      <c r="BUO71" s="139"/>
      <c r="BUP71" s="41"/>
      <c r="BUQ71" s="41"/>
      <c r="BUR71" s="41"/>
      <c r="BUS71" s="41"/>
      <c r="BUT71" s="41"/>
      <c r="BUU71" s="76"/>
      <c r="BUV71" s="41"/>
      <c r="BUW71" s="41"/>
      <c r="BUX71" s="41"/>
      <c r="BUY71" s="41"/>
      <c r="BUZ71" s="41"/>
      <c r="BVA71" s="42"/>
      <c r="BVB71" s="40"/>
      <c r="BVC71" s="66"/>
      <c r="BVD71" s="66"/>
      <c r="BVE71" s="66"/>
      <c r="BVF71" s="41"/>
      <c r="BVG71" s="134"/>
      <c r="BVH71" s="41"/>
      <c r="BVI71" s="41"/>
      <c r="BVJ71" s="41"/>
      <c r="BVK71" s="41"/>
      <c r="BVL71" s="41"/>
      <c r="BVM71" s="139"/>
      <c r="BVN71" s="41"/>
      <c r="BVO71" s="41"/>
      <c r="BVP71" s="41"/>
      <c r="BVQ71" s="41"/>
      <c r="BVR71" s="41"/>
      <c r="BVS71" s="76"/>
      <c r="BVT71" s="41"/>
      <c r="BVU71" s="41"/>
      <c r="BVV71" s="41"/>
      <c r="BVW71" s="41"/>
      <c r="BVX71" s="41"/>
      <c r="BVY71" s="139"/>
      <c r="BVZ71" s="41"/>
      <c r="BWA71" s="41"/>
      <c r="BWB71" s="41"/>
      <c r="BWC71" s="41"/>
      <c r="BWD71" s="41"/>
      <c r="BWE71" s="76"/>
      <c r="BWF71" s="66"/>
      <c r="BWG71" s="66"/>
      <c r="BWH71" s="66"/>
      <c r="BWI71" s="66"/>
      <c r="BWJ71" s="41"/>
      <c r="BWK71" s="139"/>
      <c r="BWL71" s="41"/>
      <c r="BWM71" s="41"/>
      <c r="BWN71" s="41"/>
      <c r="BWO71" s="41"/>
      <c r="BWP71" s="41"/>
      <c r="BWQ71" s="76"/>
      <c r="BWR71" s="41"/>
      <c r="BWS71" s="41"/>
      <c r="BWT71" s="41"/>
      <c r="BWU71" s="41"/>
      <c r="BWV71" s="41"/>
      <c r="BWW71" s="139"/>
      <c r="BWX71" s="41"/>
      <c r="BWY71" s="41"/>
      <c r="BWZ71" s="41"/>
      <c r="BXA71" s="41"/>
      <c r="BXB71" s="41"/>
      <c r="BXC71" s="76"/>
      <c r="BXD71" s="41"/>
      <c r="BXE71" s="41"/>
      <c r="BXF71" s="41"/>
      <c r="BXG71" s="41"/>
      <c r="BXH71" s="41"/>
      <c r="BXI71" s="42"/>
      <c r="BXJ71" s="40"/>
      <c r="BXK71" s="66"/>
      <c r="BXL71" s="66"/>
      <c r="BXM71" s="66"/>
      <c r="BXN71" s="41"/>
      <c r="BXO71" s="134"/>
      <c r="BXP71" s="41"/>
      <c r="BXQ71" s="41"/>
      <c r="BXR71" s="41"/>
      <c r="BXS71" s="41"/>
      <c r="BXT71" s="41"/>
      <c r="BXU71" s="139"/>
      <c r="BXV71" s="41"/>
      <c r="BXW71" s="41"/>
      <c r="BXX71" s="41"/>
      <c r="BXY71" s="41"/>
      <c r="BXZ71" s="41"/>
      <c r="BYA71" s="76"/>
      <c r="BYB71" s="41"/>
      <c r="BYC71" s="41"/>
      <c r="BYD71" s="41"/>
      <c r="BYE71" s="41"/>
      <c r="BYF71" s="41"/>
      <c r="BYG71" s="139"/>
      <c r="BYH71" s="41"/>
      <c r="BYI71" s="41"/>
      <c r="BYJ71" s="41"/>
      <c r="BYK71" s="41"/>
      <c r="BYL71" s="41"/>
      <c r="BYM71" s="76"/>
      <c r="BYN71" s="66"/>
      <c r="BYO71" s="66"/>
      <c r="BYP71" s="66"/>
      <c r="BYQ71" s="66"/>
      <c r="BYR71" s="41"/>
      <c r="BYS71" s="139"/>
      <c r="BYT71" s="41"/>
      <c r="BYU71" s="41"/>
      <c r="BYV71" s="41"/>
      <c r="BYW71" s="41"/>
      <c r="BYX71" s="41"/>
      <c r="BYY71" s="76"/>
      <c r="BYZ71" s="41"/>
      <c r="BZA71" s="41"/>
      <c r="BZB71" s="41"/>
      <c r="BZC71" s="41"/>
      <c r="BZD71" s="41"/>
      <c r="BZE71" s="139"/>
      <c r="BZF71" s="41"/>
      <c r="BZG71" s="41"/>
      <c r="BZH71" s="41"/>
      <c r="BZI71" s="41"/>
      <c r="BZJ71" s="41"/>
      <c r="BZK71" s="76"/>
      <c r="BZL71" s="41"/>
      <c r="BZM71" s="41"/>
      <c r="BZN71" s="41"/>
      <c r="BZO71" s="41"/>
      <c r="BZP71" s="41"/>
      <c r="BZQ71" s="42"/>
      <c r="BZR71" s="40"/>
      <c r="BZS71" s="66"/>
      <c r="BZT71" s="66"/>
      <c r="BZU71" s="66"/>
      <c r="BZV71" s="41"/>
      <c r="BZW71" s="134"/>
      <c r="BZX71" s="41"/>
      <c r="BZY71" s="41"/>
      <c r="BZZ71" s="41"/>
      <c r="CAA71" s="41"/>
      <c r="CAB71" s="41"/>
      <c r="CAC71" s="139"/>
      <c r="CAD71" s="41"/>
      <c r="CAE71" s="41"/>
      <c r="CAF71" s="41"/>
      <c r="CAG71" s="41"/>
      <c r="CAH71" s="41"/>
      <c r="CAI71" s="76"/>
      <c r="CAJ71" s="41"/>
      <c r="CAK71" s="41"/>
      <c r="CAL71" s="41"/>
      <c r="CAM71" s="41"/>
      <c r="CAN71" s="41"/>
      <c r="CAO71" s="139"/>
      <c r="CAP71" s="41"/>
      <c r="CAQ71" s="41"/>
      <c r="CAR71" s="41"/>
      <c r="CAS71" s="41"/>
      <c r="CAT71" s="41"/>
      <c r="CAU71" s="76"/>
      <c r="CAV71" s="66"/>
      <c r="CAW71" s="66"/>
      <c r="CAX71" s="66"/>
      <c r="CAY71" s="66"/>
      <c r="CAZ71" s="41"/>
      <c r="CBA71" s="139"/>
      <c r="CBB71" s="41"/>
      <c r="CBC71" s="41"/>
      <c r="CBD71" s="41"/>
      <c r="CBE71" s="41"/>
      <c r="CBF71" s="41"/>
      <c r="CBG71" s="76"/>
      <c r="CBH71" s="41"/>
      <c r="CBI71" s="41"/>
      <c r="CBJ71" s="41"/>
      <c r="CBK71" s="41"/>
      <c r="CBL71" s="41"/>
      <c r="CBM71" s="139"/>
      <c r="CBN71" s="41"/>
      <c r="CBO71" s="41"/>
      <c r="CBP71" s="41"/>
      <c r="CBQ71" s="41"/>
      <c r="CBR71" s="41"/>
      <c r="CBS71" s="76"/>
      <c r="CBT71" s="41"/>
      <c r="CBU71" s="41"/>
      <c r="CBV71" s="41"/>
      <c r="CBW71" s="41"/>
      <c r="CBX71" s="41"/>
      <c r="CBY71" s="42"/>
      <c r="CBZ71" s="40"/>
      <c r="CCA71" s="66"/>
      <c r="CCB71" s="66"/>
      <c r="CCC71" s="66"/>
      <c r="CCD71" s="41"/>
      <c r="CCE71" s="134"/>
      <c r="CCF71" s="41"/>
      <c r="CCG71" s="41"/>
      <c r="CCH71" s="41"/>
      <c r="CCI71" s="41"/>
      <c r="CCJ71" s="41"/>
      <c r="CCK71" s="139"/>
      <c r="CCL71" s="41"/>
      <c r="CCM71" s="41"/>
      <c r="CCN71" s="41"/>
      <c r="CCO71" s="41"/>
      <c r="CCP71" s="41"/>
      <c r="CCQ71" s="76"/>
      <c r="CCR71" s="41"/>
      <c r="CCS71" s="41"/>
      <c r="CCT71" s="41"/>
      <c r="CCU71" s="41"/>
      <c r="CCV71" s="41"/>
      <c r="CCW71" s="139"/>
      <c r="CCX71" s="41"/>
      <c r="CCY71" s="41"/>
      <c r="CCZ71" s="41"/>
      <c r="CDA71" s="41"/>
      <c r="CDB71" s="41"/>
      <c r="CDC71" s="76"/>
      <c r="CDD71" s="66"/>
      <c r="CDE71" s="66"/>
      <c r="CDF71" s="66"/>
      <c r="CDG71" s="66"/>
      <c r="CDH71" s="41"/>
      <c r="CDI71" s="139"/>
      <c r="CDJ71" s="41"/>
      <c r="CDK71" s="41"/>
      <c r="CDL71" s="41"/>
      <c r="CDM71" s="41"/>
      <c r="CDN71" s="41"/>
      <c r="CDO71" s="76"/>
      <c r="CDP71" s="41"/>
      <c r="CDQ71" s="41"/>
      <c r="CDR71" s="41"/>
      <c r="CDS71" s="41"/>
      <c r="CDT71" s="41"/>
      <c r="CDU71" s="139"/>
      <c r="CDV71" s="41"/>
      <c r="CDW71" s="41"/>
      <c r="CDX71" s="41"/>
      <c r="CDY71" s="41"/>
      <c r="CDZ71" s="41"/>
      <c r="CEA71" s="76"/>
      <c r="CEB71" s="41"/>
      <c r="CEC71" s="41"/>
      <c r="CED71" s="41"/>
      <c r="CEE71" s="41"/>
      <c r="CEF71" s="41"/>
      <c r="CEG71" s="42"/>
      <c r="CEH71" s="40"/>
      <c r="CEI71" s="66"/>
      <c r="CEJ71" s="66"/>
      <c r="CEK71" s="66"/>
      <c r="CEL71" s="41"/>
      <c r="CEM71" s="134"/>
      <c r="CEN71" s="41"/>
      <c r="CEO71" s="41"/>
      <c r="CEP71" s="41"/>
      <c r="CEQ71" s="41"/>
      <c r="CER71" s="41"/>
      <c r="CES71" s="139"/>
      <c r="CET71" s="41"/>
      <c r="CEU71" s="41"/>
      <c r="CEV71" s="41"/>
      <c r="CEW71" s="41"/>
      <c r="CEX71" s="41"/>
      <c r="CEY71" s="76"/>
      <c r="CEZ71" s="41"/>
      <c r="CFA71" s="41"/>
      <c r="CFB71" s="41"/>
      <c r="CFC71" s="41"/>
      <c r="CFD71" s="41"/>
      <c r="CFE71" s="139"/>
      <c r="CFF71" s="41"/>
      <c r="CFG71" s="41"/>
      <c r="CFH71" s="41"/>
      <c r="CFI71" s="41"/>
      <c r="CFJ71" s="41"/>
      <c r="CFK71" s="76"/>
      <c r="CFL71" s="66"/>
      <c r="CFM71" s="66"/>
      <c r="CFN71" s="66"/>
      <c r="CFO71" s="66"/>
      <c r="CFP71" s="41"/>
      <c r="CFQ71" s="139"/>
      <c r="CFR71" s="41"/>
      <c r="CFS71" s="41"/>
      <c r="CFT71" s="41"/>
      <c r="CFU71" s="41"/>
      <c r="CFV71" s="41"/>
      <c r="CFW71" s="76"/>
      <c r="CFX71" s="41"/>
      <c r="CFY71" s="41"/>
      <c r="CFZ71" s="41"/>
      <c r="CGA71" s="41"/>
      <c r="CGB71" s="41"/>
      <c r="CGC71" s="139"/>
      <c r="CGD71" s="41"/>
      <c r="CGE71" s="41"/>
      <c r="CGF71" s="41"/>
      <c r="CGG71" s="41"/>
      <c r="CGH71" s="41"/>
      <c r="CGI71" s="76"/>
      <c r="CGJ71" s="41"/>
      <c r="CGK71" s="41"/>
      <c r="CGL71" s="41"/>
      <c r="CGM71" s="41"/>
      <c r="CGN71" s="41"/>
      <c r="CGO71" s="42"/>
      <c r="CGP71" s="40"/>
      <c r="CGQ71" s="66"/>
      <c r="CGR71" s="66"/>
      <c r="CGS71" s="66"/>
      <c r="CGT71" s="41"/>
      <c r="CGU71" s="134"/>
      <c r="CGV71" s="41"/>
      <c r="CGW71" s="41"/>
      <c r="CGX71" s="41"/>
      <c r="CGY71" s="41"/>
      <c r="CGZ71" s="41"/>
      <c r="CHA71" s="139"/>
      <c r="CHB71" s="41"/>
      <c r="CHC71" s="41"/>
      <c r="CHD71" s="41"/>
      <c r="CHE71" s="41"/>
      <c r="CHF71" s="41"/>
      <c r="CHG71" s="76"/>
      <c r="CHH71" s="41"/>
      <c r="CHI71" s="41"/>
      <c r="CHJ71" s="41"/>
      <c r="CHK71" s="41"/>
      <c r="CHL71" s="41"/>
      <c r="CHM71" s="139"/>
      <c r="CHN71" s="41"/>
      <c r="CHO71" s="41"/>
      <c r="CHP71" s="41"/>
      <c r="CHQ71" s="41"/>
      <c r="CHR71" s="41"/>
      <c r="CHS71" s="76"/>
      <c r="CHT71" s="66"/>
      <c r="CHU71" s="66"/>
      <c r="CHV71" s="66"/>
      <c r="CHW71" s="66"/>
      <c r="CHX71" s="41"/>
      <c r="CHY71" s="139"/>
      <c r="CHZ71" s="41"/>
      <c r="CIA71" s="41"/>
      <c r="CIB71" s="41"/>
      <c r="CIC71" s="41"/>
      <c r="CID71" s="41"/>
      <c r="CIE71" s="76"/>
      <c r="CIF71" s="41"/>
      <c r="CIG71" s="41"/>
      <c r="CIH71" s="41"/>
      <c r="CII71" s="41"/>
      <c r="CIJ71" s="41"/>
      <c r="CIK71" s="139"/>
      <c r="CIL71" s="41"/>
      <c r="CIM71" s="41"/>
      <c r="CIN71" s="41"/>
      <c r="CIO71" s="41"/>
      <c r="CIP71" s="41"/>
      <c r="CIQ71" s="76"/>
      <c r="CIR71" s="41"/>
      <c r="CIS71" s="41"/>
      <c r="CIT71" s="41"/>
      <c r="CIU71" s="41"/>
      <c r="CIV71" s="41"/>
      <c r="CIW71" s="42"/>
      <c r="CIX71" s="40"/>
      <c r="CIY71" s="66"/>
      <c r="CIZ71" s="66"/>
      <c r="CJA71" s="66"/>
      <c r="CJB71" s="41"/>
      <c r="CJC71" s="134"/>
      <c r="CJD71" s="41"/>
      <c r="CJE71" s="41"/>
      <c r="CJF71" s="41"/>
      <c r="CJG71" s="41"/>
      <c r="CJH71" s="41"/>
      <c r="CJI71" s="139"/>
      <c r="CJJ71" s="41"/>
      <c r="CJK71" s="41"/>
      <c r="CJL71" s="41"/>
      <c r="CJM71" s="41"/>
      <c r="CJN71" s="41"/>
      <c r="CJO71" s="76"/>
      <c r="CJP71" s="41"/>
      <c r="CJQ71" s="41"/>
      <c r="CJR71" s="41"/>
      <c r="CJS71" s="41"/>
      <c r="CJT71" s="41"/>
      <c r="CJU71" s="139"/>
      <c r="CJV71" s="41"/>
      <c r="CJW71" s="41"/>
      <c r="CJX71" s="41"/>
      <c r="CJY71" s="41"/>
      <c r="CJZ71" s="41"/>
      <c r="CKA71" s="76"/>
      <c r="CKB71" s="66"/>
      <c r="CKC71" s="66"/>
      <c r="CKD71" s="66"/>
      <c r="CKE71" s="66"/>
      <c r="CKF71" s="41"/>
      <c r="CKG71" s="139"/>
      <c r="CKH71" s="41"/>
      <c r="CKI71" s="41"/>
      <c r="CKJ71" s="41"/>
      <c r="CKK71" s="41"/>
      <c r="CKL71" s="41"/>
      <c r="CKM71" s="76"/>
      <c r="CKN71" s="41"/>
      <c r="CKO71" s="41"/>
      <c r="CKP71" s="41"/>
      <c r="CKQ71" s="41"/>
      <c r="CKR71" s="41"/>
      <c r="CKS71" s="139"/>
      <c r="CKT71" s="41"/>
      <c r="CKU71" s="41"/>
      <c r="CKV71" s="41"/>
      <c r="CKW71" s="41"/>
      <c r="CKX71" s="41"/>
      <c r="CKY71" s="76"/>
      <c r="CKZ71" s="41"/>
      <c r="CLA71" s="41"/>
      <c r="CLB71" s="41"/>
      <c r="CLC71" s="41"/>
      <c r="CLD71" s="41"/>
      <c r="CLE71" s="42"/>
      <c r="CLF71" s="40"/>
      <c r="CLG71" s="66"/>
      <c r="CLH71" s="66"/>
      <c r="CLI71" s="66"/>
      <c r="CLJ71" s="41"/>
      <c r="CLK71" s="134"/>
      <c r="CLL71" s="41"/>
      <c r="CLM71" s="41"/>
      <c r="CLN71" s="41"/>
      <c r="CLO71" s="41"/>
      <c r="CLP71" s="41"/>
      <c r="CLQ71" s="139"/>
      <c r="CLR71" s="41"/>
      <c r="CLS71" s="41"/>
      <c r="CLT71" s="41"/>
      <c r="CLU71" s="41"/>
      <c r="CLV71" s="41"/>
      <c r="CLW71" s="76"/>
      <c r="CLX71" s="41"/>
      <c r="CLY71" s="41"/>
      <c r="CLZ71" s="41"/>
      <c r="CMA71" s="41"/>
      <c r="CMB71" s="41"/>
      <c r="CMC71" s="139"/>
      <c r="CMD71" s="41"/>
      <c r="CME71" s="41"/>
      <c r="CMF71" s="41"/>
      <c r="CMG71" s="41"/>
      <c r="CMH71" s="41"/>
      <c r="CMI71" s="76"/>
      <c r="CMJ71" s="66"/>
      <c r="CMK71" s="66"/>
      <c r="CML71" s="66"/>
      <c r="CMM71" s="66"/>
      <c r="CMN71" s="41"/>
      <c r="CMO71" s="139"/>
      <c r="CMP71" s="41"/>
      <c r="CMQ71" s="41"/>
      <c r="CMR71" s="41"/>
      <c r="CMS71" s="41"/>
      <c r="CMT71" s="41"/>
      <c r="CMU71" s="76"/>
      <c r="CMV71" s="41"/>
      <c r="CMW71" s="41"/>
      <c r="CMX71" s="41"/>
      <c r="CMY71" s="41"/>
      <c r="CMZ71" s="41"/>
      <c r="CNA71" s="139"/>
      <c r="CNB71" s="41"/>
      <c r="CNC71" s="41"/>
      <c r="CND71" s="41"/>
      <c r="CNE71" s="41"/>
      <c r="CNF71" s="41"/>
      <c r="CNG71" s="76"/>
      <c r="CNH71" s="41"/>
      <c r="CNI71" s="41"/>
      <c r="CNJ71" s="41"/>
      <c r="CNK71" s="41"/>
      <c r="CNL71" s="41"/>
      <c r="CNM71" s="42"/>
      <c r="CNN71" s="40"/>
      <c r="CNO71" s="66"/>
      <c r="CNP71" s="66"/>
      <c r="CNQ71" s="66"/>
      <c r="CNR71" s="41"/>
      <c r="CNS71" s="134"/>
      <c r="CNT71" s="41"/>
      <c r="CNU71" s="41"/>
      <c r="CNV71" s="41"/>
      <c r="CNW71" s="41"/>
      <c r="CNX71" s="41"/>
      <c r="CNY71" s="139"/>
      <c r="CNZ71" s="41"/>
      <c r="COA71" s="41"/>
      <c r="COB71" s="41"/>
      <c r="COC71" s="41"/>
      <c r="COD71" s="41"/>
      <c r="COE71" s="76"/>
      <c r="COF71" s="41"/>
      <c r="COG71" s="41"/>
      <c r="COH71" s="41"/>
      <c r="COI71" s="41"/>
      <c r="COJ71" s="41"/>
      <c r="COK71" s="139"/>
      <c r="COL71" s="41"/>
      <c r="COM71" s="41"/>
      <c r="CON71" s="41"/>
      <c r="COO71" s="41"/>
      <c r="COP71" s="41"/>
      <c r="COQ71" s="76"/>
      <c r="COR71" s="66"/>
      <c r="COS71" s="66"/>
      <c r="COT71" s="66"/>
      <c r="COU71" s="66"/>
      <c r="COV71" s="41"/>
      <c r="COW71" s="139"/>
      <c r="COX71" s="41"/>
      <c r="COY71" s="41"/>
      <c r="COZ71" s="41"/>
      <c r="CPA71" s="41"/>
      <c r="CPB71" s="41"/>
      <c r="CPC71" s="76"/>
      <c r="CPD71" s="41"/>
      <c r="CPE71" s="41"/>
      <c r="CPF71" s="41"/>
      <c r="CPG71" s="41"/>
      <c r="CPH71" s="41"/>
      <c r="CPI71" s="139"/>
      <c r="CPJ71" s="41"/>
      <c r="CPK71" s="41"/>
      <c r="CPL71" s="41"/>
      <c r="CPM71" s="41"/>
      <c r="CPN71" s="41"/>
      <c r="CPO71" s="76"/>
      <c r="CPP71" s="41"/>
      <c r="CPQ71" s="41"/>
      <c r="CPR71" s="41"/>
      <c r="CPS71" s="41"/>
      <c r="CPT71" s="41"/>
      <c r="CPU71" s="42"/>
      <c r="CPV71" s="40"/>
      <c r="CPW71" s="66"/>
      <c r="CPX71" s="66"/>
      <c r="CPY71" s="66"/>
      <c r="CPZ71" s="41"/>
      <c r="CQA71" s="134"/>
      <c r="CQB71" s="41"/>
      <c r="CQC71" s="41"/>
      <c r="CQD71" s="41"/>
      <c r="CQE71" s="41"/>
      <c r="CQF71" s="41"/>
      <c r="CQG71" s="139"/>
      <c r="CQH71" s="41"/>
      <c r="CQI71" s="41"/>
      <c r="CQJ71" s="41"/>
      <c r="CQK71" s="41"/>
      <c r="CQL71" s="41"/>
      <c r="CQM71" s="76"/>
      <c r="CQN71" s="41"/>
      <c r="CQO71" s="41"/>
      <c r="CQP71" s="41"/>
      <c r="CQQ71" s="41"/>
      <c r="CQR71" s="41"/>
      <c r="CQS71" s="139"/>
      <c r="CQT71" s="41"/>
      <c r="CQU71" s="41"/>
      <c r="CQV71" s="41"/>
      <c r="CQW71" s="41"/>
      <c r="CQX71" s="41"/>
      <c r="CQY71" s="76"/>
      <c r="CQZ71" s="66"/>
      <c r="CRA71" s="66"/>
      <c r="CRB71" s="66"/>
      <c r="CRC71" s="66"/>
      <c r="CRD71" s="41"/>
      <c r="CRE71" s="139"/>
      <c r="CRF71" s="41"/>
      <c r="CRG71" s="41"/>
      <c r="CRH71" s="41"/>
      <c r="CRI71" s="41"/>
      <c r="CRJ71" s="41"/>
      <c r="CRK71" s="76"/>
      <c r="CRL71" s="41"/>
      <c r="CRM71" s="41"/>
      <c r="CRN71" s="41"/>
      <c r="CRO71" s="41"/>
      <c r="CRP71" s="41"/>
      <c r="CRQ71" s="139"/>
      <c r="CRR71" s="41"/>
      <c r="CRS71" s="41"/>
      <c r="CRT71" s="41"/>
      <c r="CRU71" s="41"/>
      <c r="CRV71" s="41"/>
      <c r="CRW71" s="76"/>
      <c r="CRX71" s="41"/>
      <c r="CRY71" s="41"/>
      <c r="CRZ71" s="41"/>
      <c r="CSA71" s="41"/>
      <c r="CSB71" s="41"/>
      <c r="CSC71" s="42"/>
      <c r="CSD71" s="90"/>
    </row>
    <row r="72" spans="1:2526" ht="20.100000000000001" customHeight="1" x14ac:dyDescent="0.25">
      <c r="A72" s="100" t="s">
        <v>19</v>
      </c>
      <c r="B72" s="63"/>
      <c r="C72" s="212"/>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28"/>
      <c r="BLW72" s="67"/>
      <c r="BLX72" s="67"/>
      <c r="BLY72" s="67"/>
      <c r="BLZ72" s="29"/>
      <c r="BMA72" s="131"/>
      <c r="BMB72" s="29"/>
      <c r="BMC72" s="29"/>
      <c r="BMD72" s="29"/>
      <c r="BME72" s="29"/>
      <c r="BMF72" s="29"/>
      <c r="BMG72" s="136"/>
      <c r="BMH72" s="29"/>
      <c r="BMI72" s="29"/>
      <c r="BMJ72" s="29"/>
      <c r="BMK72" s="29"/>
      <c r="BML72" s="29"/>
      <c r="BMM72" s="73"/>
      <c r="BMN72" s="29"/>
      <c r="BMO72" s="29"/>
      <c r="BMP72" s="29"/>
      <c r="BMQ72" s="29"/>
      <c r="BMR72" s="29"/>
      <c r="BMS72" s="136"/>
      <c r="BMT72" s="29"/>
      <c r="BMU72" s="29"/>
      <c r="BMV72" s="29"/>
      <c r="BMW72" s="29"/>
      <c r="BMX72" s="29"/>
      <c r="BMY72" s="73"/>
      <c r="BMZ72" s="67"/>
      <c r="BNA72" s="67"/>
      <c r="BNB72" s="67"/>
      <c r="BNC72" s="67"/>
      <c r="BND72" s="29"/>
      <c r="BNE72" s="136"/>
      <c r="BNF72" s="29"/>
      <c r="BNG72" s="29"/>
      <c r="BNH72" s="29"/>
      <c r="BNI72" s="29"/>
      <c r="BNJ72" s="29"/>
      <c r="BNK72" s="73"/>
      <c r="BNL72" s="29"/>
      <c r="BNM72" s="29"/>
      <c r="BNN72" s="29"/>
      <c r="BNO72" s="29"/>
      <c r="BNP72" s="29"/>
      <c r="BNQ72" s="136"/>
      <c r="BNR72" s="29"/>
      <c r="BNS72" s="29"/>
      <c r="BNT72" s="29"/>
      <c r="BNU72" s="29"/>
      <c r="BNV72" s="29"/>
      <c r="BNW72" s="73"/>
      <c r="BNX72" s="29"/>
      <c r="BNY72" s="29"/>
      <c r="BNZ72" s="29"/>
      <c r="BOA72" s="29"/>
      <c r="BOB72" s="29"/>
      <c r="BOC72" s="30"/>
      <c r="BOD72" s="28"/>
      <c r="BOE72" s="67"/>
      <c r="BOF72" s="67"/>
      <c r="BOG72" s="67"/>
      <c r="BOH72" s="29"/>
      <c r="BOI72" s="131"/>
      <c r="BOJ72" s="29"/>
      <c r="BOK72" s="29"/>
      <c r="BOL72" s="29"/>
      <c r="BOM72" s="29"/>
      <c r="BON72" s="29"/>
      <c r="BOO72" s="136"/>
      <c r="BOP72" s="29"/>
      <c r="BOQ72" s="29"/>
      <c r="BOR72" s="29"/>
      <c r="BOS72" s="29"/>
      <c r="BOT72" s="29"/>
      <c r="BOU72" s="73"/>
      <c r="BOV72" s="29"/>
      <c r="BOW72" s="29"/>
      <c r="BOX72" s="29"/>
      <c r="BOY72" s="29"/>
      <c r="BOZ72" s="29"/>
      <c r="BPA72" s="136"/>
      <c r="BPB72" s="29"/>
      <c r="BPC72" s="29"/>
      <c r="BPD72" s="29"/>
      <c r="BPE72" s="29"/>
      <c r="BPF72" s="29"/>
      <c r="BPG72" s="73"/>
      <c r="BPH72" s="67"/>
      <c r="BPI72" s="67"/>
      <c r="BPJ72" s="67"/>
      <c r="BPK72" s="67"/>
      <c r="BPL72" s="29"/>
      <c r="BPM72" s="136"/>
      <c r="BPN72" s="29"/>
      <c r="BPO72" s="29"/>
      <c r="BPP72" s="29"/>
      <c r="BPQ72" s="29"/>
      <c r="BPR72" s="29"/>
      <c r="BPS72" s="73"/>
      <c r="BPT72" s="29"/>
      <c r="BPU72" s="29"/>
      <c r="BPV72" s="29"/>
      <c r="BPW72" s="29"/>
      <c r="BPX72" s="29"/>
      <c r="BPY72" s="136"/>
      <c r="BPZ72" s="29"/>
      <c r="BQA72" s="29"/>
      <c r="BQB72" s="29"/>
      <c r="BQC72" s="29"/>
      <c r="BQD72" s="29"/>
      <c r="BQE72" s="73"/>
      <c r="BQF72" s="29"/>
      <c r="BQG72" s="29"/>
      <c r="BQH72" s="29"/>
      <c r="BQI72" s="29"/>
      <c r="BQJ72" s="29"/>
      <c r="BQK72" s="30"/>
      <c r="BQL72" s="28"/>
      <c r="BQM72" s="67"/>
      <c r="BQN72" s="67"/>
      <c r="BQO72" s="67"/>
      <c r="BQP72" s="29"/>
      <c r="BQQ72" s="131"/>
      <c r="BQR72" s="29"/>
      <c r="BQS72" s="29"/>
      <c r="BQT72" s="29"/>
      <c r="BQU72" s="29"/>
      <c r="BQV72" s="29"/>
      <c r="BQW72" s="136"/>
      <c r="BQX72" s="29"/>
      <c r="BQY72" s="29"/>
      <c r="BQZ72" s="29"/>
      <c r="BRA72" s="29"/>
      <c r="BRB72" s="29"/>
      <c r="BRC72" s="73"/>
      <c r="BRD72" s="29"/>
      <c r="BRE72" s="29"/>
      <c r="BRF72" s="29"/>
      <c r="BRG72" s="29"/>
      <c r="BRH72" s="29"/>
      <c r="BRI72" s="136"/>
      <c r="BRJ72" s="29"/>
      <c r="BRK72" s="29"/>
      <c r="BRL72" s="29"/>
      <c r="BRM72" s="29"/>
      <c r="BRN72" s="29"/>
      <c r="BRO72" s="73"/>
      <c r="BRP72" s="67"/>
      <c r="BRQ72" s="67"/>
      <c r="BRR72" s="67"/>
      <c r="BRS72" s="67"/>
      <c r="BRT72" s="29"/>
      <c r="BRU72" s="136"/>
      <c r="BRV72" s="29"/>
      <c r="BRW72" s="29"/>
      <c r="BRX72" s="29"/>
      <c r="BRY72" s="29"/>
      <c r="BRZ72" s="29"/>
      <c r="BSA72" s="73"/>
      <c r="BSB72" s="29"/>
      <c r="BSC72" s="29"/>
      <c r="BSD72" s="29"/>
      <c r="BSE72" s="29"/>
      <c r="BSF72" s="29"/>
      <c r="BSG72" s="136"/>
      <c r="BSH72" s="29"/>
      <c r="BSI72" s="29"/>
      <c r="BSJ72" s="29"/>
      <c r="BSK72" s="29"/>
      <c r="BSL72" s="29"/>
      <c r="BSM72" s="73"/>
      <c r="BSN72" s="29"/>
      <c r="BSO72" s="29"/>
      <c r="BSP72" s="29"/>
      <c r="BSQ72" s="29"/>
      <c r="BSR72" s="29"/>
      <c r="BSS72" s="30"/>
      <c r="BST72" s="28"/>
      <c r="BSU72" s="67"/>
      <c r="BSV72" s="67"/>
      <c r="BSW72" s="67"/>
      <c r="BSX72" s="29"/>
      <c r="BSY72" s="131"/>
      <c r="BSZ72" s="29"/>
      <c r="BTA72" s="29"/>
      <c r="BTB72" s="29"/>
      <c r="BTC72" s="29"/>
      <c r="BTD72" s="29"/>
      <c r="BTE72" s="136"/>
      <c r="BTF72" s="29"/>
      <c r="BTG72" s="29"/>
      <c r="BTH72" s="29"/>
      <c r="BTI72" s="29"/>
      <c r="BTJ72" s="29"/>
      <c r="BTK72" s="73"/>
      <c r="BTL72" s="29"/>
      <c r="BTM72" s="29"/>
      <c r="BTN72" s="29"/>
      <c r="BTO72" s="29"/>
      <c r="BTP72" s="29"/>
      <c r="BTQ72" s="136"/>
      <c r="BTR72" s="29"/>
      <c r="BTS72" s="29"/>
      <c r="BTT72" s="29"/>
      <c r="BTU72" s="29"/>
      <c r="BTV72" s="29"/>
      <c r="BTW72" s="73"/>
      <c r="BTX72" s="67"/>
      <c r="BTY72" s="67"/>
      <c r="BTZ72" s="67"/>
      <c r="BUA72" s="67"/>
      <c r="BUB72" s="29"/>
      <c r="BUC72" s="136"/>
      <c r="BUD72" s="29"/>
      <c r="BUE72" s="29"/>
      <c r="BUF72" s="29"/>
      <c r="BUG72" s="29"/>
      <c r="BUH72" s="29"/>
      <c r="BUI72" s="73"/>
      <c r="BUJ72" s="29"/>
      <c r="BUK72" s="29"/>
      <c r="BUL72" s="29"/>
      <c r="BUM72" s="29"/>
      <c r="BUN72" s="29"/>
      <c r="BUO72" s="136"/>
      <c r="BUP72" s="29"/>
      <c r="BUQ72" s="29"/>
      <c r="BUR72" s="29"/>
      <c r="BUS72" s="29"/>
      <c r="BUT72" s="29"/>
      <c r="BUU72" s="73"/>
      <c r="BUV72" s="29"/>
      <c r="BUW72" s="29"/>
      <c r="BUX72" s="29"/>
      <c r="BUY72" s="29"/>
      <c r="BUZ72" s="29"/>
      <c r="BVA72" s="30"/>
      <c r="BVB72" s="28"/>
      <c r="BVC72" s="67"/>
      <c r="BVD72" s="67"/>
      <c r="BVE72" s="67"/>
      <c r="BVF72" s="29"/>
      <c r="BVG72" s="131"/>
      <c r="BVH72" s="29"/>
      <c r="BVI72" s="29"/>
      <c r="BVJ72" s="29"/>
      <c r="BVK72" s="29"/>
      <c r="BVL72" s="29"/>
      <c r="BVM72" s="136"/>
      <c r="BVN72" s="29"/>
      <c r="BVO72" s="29"/>
      <c r="BVP72" s="29"/>
      <c r="BVQ72" s="29"/>
      <c r="BVR72" s="29"/>
      <c r="BVS72" s="73"/>
      <c r="BVT72" s="29"/>
      <c r="BVU72" s="29"/>
      <c r="BVV72" s="29"/>
      <c r="BVW72" s="29"/>
      <c r="BVX72" s="29"/>
      <c r="BVY72" s="136"/>
      <c r="BVZ72" s="29"/>
      <c r="BWA72" s="29"/>
      <c r="BWB72" s="29"/>
      <c r="BWC72" s="29"/>
      <c r="BWD72" s="29"/>
      <c r="BWE72" s="73"/>
      <c r="BWF72" s="67"/>
      <c r="BWG72" s="67"/>
      <c r="BWH72" s="67"/>
      <c r="BWI72" s="67"/>
      <c r="BWJ72" s="29"/>
      <c r="BWK72" s="136"/>
      <c r="BWL72" s="29"/>
      <c r="BWM72" s="29"/>
      <c r="BWN72" s="29"/>
      <c r="BWO72" s="29"/>
      <c r="BWP72" s="29"/>
      <c r="BWQ72" s="73"/>
      <c r="BWR72" s="29"/>
      <c r="BWS72" s="29"/>
      <c r="BWT72" s="29"/>
      <c r="BWU72" s="29"/>
      <c r="BWV72" s="29"/>
      <c r="BWW72" s="136"/>
      <c r="BWX72" s="29"/>
      <c r="BWY72" s="29"/>
      <c r="BWZ72" s="29"/>
      <c r="BXA72" s="29"/>
      <c r="BXB72" s="29"/>
      <c r="BXC72" s="73"/>
      <c r="BXD72" s="29"/>
      <c r="BXE72" s="29"/>
      <c r="BXF72" s="29"/>
      <c r="BXG72" s="29"/>
      <c r="BXH72" s="29"/>
      <c r="BXI72" s="30"/>
      <c r="BXJ72" s="28"/>
      <c r="BXK72" s="67"/>
      <c r="BXL72" s="67"/>
      <c r="BXM72" s="67"/>
      <c r="BXN72" s="29"/>
      <c r="BXO72" s="131"/>
      <c r="BXP72" s="29"/>
      <c r="BXQ72" s="29"/>
      <c r="BXR72" s="29"/>
      <c r="BXS72" s="29"/>
      <c r="BXT72" s="29"/>
      <c r="BXU72" s="136"/>
      <c r="BXV72" s="29"/>
      <c r="BXW72" s="29"/>
      <c r="BXX72" s="29"/>
      <c r="BXY72" s="29"/>
      <c r="BXZ72" s="29"/>
      <c r="BYA72" s="73"/>
      <c r="BYB72" s="29"/>
      <c r="BYC72" s="29"/>
      <c r="BYD72" s="29"/>
      <c r="BYE72" s="29"/>
      <c r="BYF72" s="29"/>
      <c r="BYG72" s="136"/>
      <c r="BYH72" s="29"/>
      <c r="BYI72" s="29"/>
      <c r="BYJ72" s="29"/>
      <c r="BYK72" s="29"/>
      <c r="BYL72" s="29"/>
      <c r="BYM72" s="73"/>
      <c r="BYN72" s="67"/>
      <c r="BYO72" s="67"/>
      <c r="BYP72" s="67"/>
      <c r="BYQ72" s="67"/>
      <c r="BYR72" s="29"/>
      <c r="BYS72" s="136"/>
      <c r="BYT72" s="29"/>
      <c r="BYU72" s="29"/>
      <c r="BYV72" s="29"/>
      <c r="BYW72" s="29"/>
      <c r="BYX72" s="29"/>
      <c r="BYY72" s="73"/>
      <c r="BYZ72" s="29"/>
      <c r="BZA72" s="29"/>
      <c r="BZB72" s="29"/>
      <c r="BZC72" s="29"/>
      <c r="BZD72" s="29"/>
      <c r="BZE72" s="136"/>
      <c r="BZF72" s="29"/>
      <c r="BZG72" s="29"/>
      <c r="BZH72" s="29"/>
      <c r="BZI72" s="29"/>
      <c r="BZJ72" s="29"/>
      <c r="BZK72" s="73"/>
      <c r="BZL72" s="29"/>
      <c r="BZM72" s="29"/>
      <c r="BZN72" s="29"/>
      <c r="BZO72" s="29"/>
      <c r="BZP72" s="29"/>
      <c r="BZQ72" s="30"/>
      <c r="BZR72" s="28"/>
      <c r="BZS72" s="67"/>
      <c r="BZT72" s="67"/>
      <c r="BZU72" s="67"/>
      <c r="BZV72" s="29"/>
      <c r="BZW72" s="131"/>
      <c r="BZX72" s="29"/>
      <c r="BZY72" s="29"/>
      <c r="BZZ72" s="29"/>
      <c r="CAA72" s="29"/>
      <c r="CAB72" s="29"/>
      <c r="CAC72" s="136"/>
      <c r="CAD72" s="29"/>
      <c r="CAE72" s="29"/>
      <c r="CAF72" s="29"/>
      <c r="CAG72" s="29"/>
      <c r="CAH72" s="29"/>
      <c r="CAI72" s="73"/>
      <c r="CAJ72" s="29"/>
      <c r="CAK72" s="29"/>
      <c r="CAL72" s="29"/>
      <c r="CAM72" s="29"/>
      <c r="CAN72" s="29"/>
      <c r="CAO72" s="136"/>
      <c r="CAP72" s="29"/>
      <c r="CAQ72" s="29"/>
      <c r="CAR72" s="29"/>
      <c r="CAS72" s="29"/>
      <c r="CAT72" s="29"/>
      <c r="CAU72" s="73"/>
      <c r="CAV72" s="67"/>
      <c r="CAW72" s="67"/>
      <c r="CAX72" s="67"/>
      <c r="CAY72" s="67"/>
      <c r="CAZ72" s="29"/>
      <c r="CBA72" s="136"/>
      <c r="CBB72" s="29"/>
      <c r="CBC72" s="29"/>
      <c r="CBD72" s="29"/>
      <c r="CBE72" s="29"/>
      <c r="CBF72" s="29"/>
      <c r="CBG72" s="73"/>
      <c r="CBH72" s="29"/>
      <c r="CBI72" s="29"/>
      <c r="CBJ72" s="29"/>
      <c r="CBK72" s="29"/>
      <c r="CBL72" s="29"/>
      <c r="CBM72" s="136"/>
      <c r="CBN72" s="29"/>
      <c r="CBO72" s="29"/>
      <c r="CBP72" s="29"/>
      <c r="CBQ72" s="29"/>
      <c r="CBR72" s="29"/>
      <c r="CBS72" s="73"/>
      <c r="CBT72" s="29"/>
      <c r="CBU72" s="29"/>
      <c r="CBV72" s="29"/>
      <c r="CBW72" s="29"/>
      <c r="CBX72" s="29"/>
      <c r="CBY72" s="30"/>
      <c r="CBZ72" s="28"/>
      <c r="CCA72" s="67"/>
      <c r="CCB72" s="67"/>
      <c r="CCC72" s="67"/>
      <c r="CCD72" s="29"/>
      <c r="CCE72" s="131"/>
      <c r="CCF72" s="29"/>
      <c r="CCG72" s="29"/>
      <c r="CCH72" s="29"/>
      <c r="CCI72" s="29"/>
      <c r="CCJ72" s="29"/>
      <c r="CCK72" s="136"/>
      <c r="CCL72" s="29"/>
      <c r="CCM72" s="29"/>
      <c r="CCN72" s="29"/>
      <c r="CCO72" s="29"/>
      <c r="CCP72" s="29"/>
      <c r="CCQ72" s="73"/>
      <c r="CCR72" s="29"/>
      <c r="CCS72" s="29"/>
      <c r="CCT72" s="29"/>
      <c r="CCU72" s="29"/>
      <c r="CCV72" s="29"/>
      <c r="CCW72" s="136"/>
      <c r="CCX72" s="29"/>
      <c r="CCY72" s="29"/>
      <c r="CCZ72" s="29"/>
      <c r="CDA72" s="29"/>
      <c r="CDB72" s="29"/>
      <c r="CDC72" s="73"/>
      <c r="CDD72" s="67"/>
      <c r="CDE72" s="67"/>
      <c r="CDF72" s="67"/>
      <c r="CDG72" s="67"/>
      <c r="CDH72" s="29"/>
      <c r="CDI72" s="136"/>
      <c r="CDJ72" s="29"/>
      <c r="CDK72" s="29"/>
      <c r="CDL72" s="29"/>
      <c r="CDM72" s="29"/>
      <c r="CDN72" s="29"/>
      <c r="CDO72" s="73"/>
      <c r="CDP72" s="29"/>
      <c r="CDQ72" s="29"/>
      <c r="CDR72" s="29"/>
      <c r="CDS72" s="29"/>
      <c r="CDT72" s="29"/>
      <c r="CDU72" s="136"/>
      <c r="CDV72" s="29"/>
      <c r="CDW72" s="29"/>
      <c r="CDX72" s="29"/>
      <c r="CDY72" s="29"/>
      <c r="CDZ72" s="29"/>
      <c r="CEA72" s="73"/>
      <c r="CEB72" s="29"/>
      <c r="CEC72" s="29"/>
      <c r="CED72" s="29"/>
      <c r="CEE72" s="29"/>
      <c r="CEF72" s="29"/>
      <c r="CEG72" s="30"/>
      <c r="CEH72" s="28"/>
      <c r="CEI72" s="67"/>
      <c r="CEJ72" s="67"/>
      <c r="CEK72" s="67"/>
      <c r="CEL72" s="29"/>
      <c r="CEM72" s="131"/>
      <c r="CEN72" s="29"/>
      <c r="CEO72" s="29"/>
      <c r="CEP72" s="29"/>
      <c r="CEQ72" s="29"/>
      <c r="CER72" s="29"/>
      <c r="CES72" s="136"/>
      <c r="CET72" s="29"/>
      <c r="CEU72" s="29"/>
      <c r="CEV72" s="29"/>
      <c r="CEW72" s="29"/>
      <c r="CEX72" s="29"/>
      <c r="CEY72" s="73"/>
      <c r="CEZ72" s="29"/>
      <c r="CFA72" s="29"/>
      <c r="CFB72" s="29"/>
      <c r="CFC72" s="29"/>
      <c r="CFD72" s="29"/>
      <c r="CFE72" s="136"/>
      <c r="CFF72" s="29"/>
      <c r="CFG72" s="29"/>
      <c r="CFH72" s="29"/>
      <c r="CFI72" s="29"/>
      <c r="CFJ72" s="29"/>
      <c r="CFK72" s="73"/>
      <c r="CFL72" s="67"/>
      <c r="CFM72" s="67"/>
      <c r="CFN72" s="67"/>
      <c r="CFO72" s="67"/>
      <c r="CFP72" s="29"/>
      <c r="CFQ72" s="136"/>
      <c r="CFR72" s="29"/>
      <c r="CFS72" s="29"/>
      <c r="CFT72" s="29"/>
      <c r="CFU72" s="29"/>
      <c r="CFV72" s="29"/>
      <c r="CFW72" s="73"/>
      <c r="CFX72" s="29"/>
      <c r="CFY72" s="29"/>
      <c r="CFZ72" s="29"/>
      <c r="CGA72" s="29"/>
      <c r="CGB72" s="29"/>
      <c r="CGC72" s="136"/>
      <c r="CGD72" s="29"/>
      <c r="CGE72" s="29"/>
      <c r="CGF72" s="29"/>
      <c r="CGG72" s="29"/>
      <c r="CGH72" s="29"/>
      <c r="CGI72" s="73"/>
      <c r="CGJ72" s="29"/>
      <c r="CGK72" s="29"/>
      <c r="CGL72" s="29"/>
      <c r="CGM72" s="29"/>
      <c r="CGN72" s="29"/>
      <c r="CGO72" s="30"/>
      <c r="CGP72" s="28"/>
      <c r="CGQ72" s="67"/>
      <c r="CGR72" s="67"/>
      <c r="CGS72" s="67"/>
      <c r="CGT72" s="29"/>
      <c r="CGU72" s="131"/>
      <c r="CGV72" s="29"/>
      <c r="CGW72" s="29"/>
      <c r="CGX72" s="29"/>
      <c r="CGY72" s="29"/>
      <c r="CGZ72" s="29"/>
      <c r="CHA72" s="136"/>
      <c r="CHB72" s="29"/>
      <c r="CHC72" s="29"/>
      <c r="CHD72" s="29"/>
      <c r="CHE72" s="29"/>
      <c r="CHF72" s="29"/>
      <c r="CHG72" s="73"/>
      <c r="CHH72" s="29"/>
      <c r="CHI72" s="29"/>
      <c r="CHJ72" s="29"/>
      <c r="CHK72" s="29"/>
      <c r="CHL72" s="29"/>
      <c r="CHM72" s="136"/>
      <c r="CHN72" s="29"/>
      <c r="CHO72" s="29"/>
      <c r="CHP72" s="29"/>
      <c r="CHQ72" s="29"/>
      <c r="CHR72" s="29"/>
      <c r="CHS72" s="73"/>
      <c r="CHT72" s="67"/>
      <c r="CHU72" s="67"/>
      <c r="CHV72" s="67"/>
      <c r="CHW72" s="67"/>
      <c r="CHX72" s="29"/>
      <c r="CHY72" s="136"/>
      <c r="CHZ72" s="29"/>
      <c r="CIA72" s="29"/>
      <c r="CIB72" s="29"/>
      <c r="CIC72" s="29"/>
      <c r="CID72" s="29"/>
      <c r="CIE72" s="73"/>
      <c r="CIF72" s="29"/>
      <c r="CIG72" s="29"/>
      <c r="CIH72" s="29"/>
      <c r="CII72" s="29"/>
      <c r="CIJ72" s="29"/>
      <c r="CIK72" s="136"/>
      <c r="CIL72" s="29"/>
      <c r="CIM72" s="29"/>
      <c r="CIN72" s="29"/>
      <c r="CIO72" s="29"/>
      <c r="CIP72" s="29"/>
      <c r="CIQ72" s="73"/>
      <c r="CIR72" s="29"/>
      <c r="CIS72" s="29"/>
      <c r="CIT72" s="29"/>
      <c r="CIU72" s="29"/>
      <c r="CIV72" s="29"/>
      <c r="CIW72" s="30"/>
      <c r="CIX72" s="28"/>
      <c r="CIY72" s="67"/>
      <c r="CIZ72" s="67"/>
      <c r="CJA72" s="67"/>
      <c r="CJB72" s="29"/>
      <c r="CJC72" s="131"/>
      <c r="CJD72" s="29"/>
      <c r="CJE72" s="29"/>
      <c r="CJF72" s="29"/>
      <c r="CJG72" s="29"/>
      <c r="CJH72" s="29"/>
      <c r="CJI72" s="136"/>
      <c r="CJJ72" s="29"/>
      <c r="CJK72" s="29"/>
      <c r="CJL72" s="29"/>
      <c r="CJM72" s="29"/>
      <c r="CJN72" s="29"/>
      <c r="CJO72" s="73"/>
      <c r="CJP72" s="29"/>
      <c r="CJQ72" s="29"/>
      <c r="CJR72" s="29"/>
      <c r="CJS72" s="29"/>
      <c r="CJT72" s="29"/>
      <c r="CJU72" s="136"/>
      <c r="CJV72" s="29"/>
      <c r="CJW72" s="29"/>
      <c r="CJX72" s="29"/>
      <c r="CJY72" s="29"/>
      <c r="CJZ72" s="29"/>
      <c r="CKA72" s="73"/>
      <c r="CKB72" s="67"/>
      <c r="CKC72" s="67"/>
      <c r="CKD72" s="67"/>
      <c r="CKE72" s="67"/>
      <c r="CKF72" s="29"/>
      <c r="CKG72" s="136"/>
      <c r="CKH72" s="29"/>
      <c r="CKI72" s="29"/>
      <c r="CKJ72" s="29"/>
      <c r="CKK72" s="29"/>
      <c r="CKL72" s="29"/>
      <c r="CKM72" s="73"/>
      <c r="CKN72" s="29"/>
      <c r="CKO72" s="29"/>
      <c r="CKP72" s="29"/>
      <c r="CKQ72" s="29"/>
      <c r="CKR72" s="29"/>
      <c r="CKS72" s="136"/>
      <c r="CKT72" s="29"/>
      <c r="CKU72" s="29"/>
      <c r="CKV72" s="29"/>
      <c r="CKW72" s="29"/>
      <c r="CKX72" s="29"/>
      <c r="CKY72" s="73"/>
      <c r="CKZ72" s="29"/>
      <c r="CLA72" s="29"/>
      <c r="CLB72" s="29"/>
      <c r="CLC72" s="29"/>
      <c r="CLD72" s="29"/>
      <c r="CLE72" s="30"/>
      <c r="CLF72" s="28"/>
      <c r="CLG72" s="67"/>
      <c r="CLH72" s="67"/>
      <c r="CLI72" s="67"/>
      <c r="CLJ72" s="29"/>
      <c r="CLK72" s="131"/>
      <c r="CLL72" s="29"/>
      <c r="CLM72" s="29"/>
      <c r="CLN72" s="29"/>
      <c r="CLO72" s="29"/>
      <c r="CLP72" s="29"/>
      <c r="CLQ72" s="136"/>
      <c r="CLR72" s="29"/>
      <c r="CLS72" s="29"/>
      <c r="CLT72" s="29"/>
      <c r="CLU72" s="29"/>
      <c r="CLV72" s="29"/>
      <c r="CLW72" s="73"/>
      <c r="CLX72" s="29"/>
      <c r="CLY72" s="29"/>
      <c r="CLZ72" s="29"/>
      <c r="CMA72" s="29"/>
      <c r="CMB72" s="29"/>
      <c r="CMC72" s="136"/>
      <c r="CMD72" s="29"/>
      <c r="CME72" s="29"/>
      <c r="CMF72" s="29"/>
      <c r="CMG72" s="29"/>
      <c r="CMH72" s="29"/>
      <c r="CMI72" s="73"/>
      <c r="CMJ72" s="67"/>
      <c r="CMK72" s="67"/>
      <c r="CML72" s="67"/>
      <c r="CMM72" s="67"/>
      <c r="CMN72" s="29"/>
      <c r="CMO72" s="136"/>
      <c r="CMP72" s="29"/>
      <c r="CMQ72" s="29"/>
      <c r="CMR72" s="29"/>
      <c r="CMS72" s="29"/>
      <c r="CMT72" s="29"/>
      <c r="CMU72" s="73"/>
      <c r="CMV72" s="29"/>
      <c r="CMW72" s="29"/>
      <c r="CMX72" s="29"/>
      <c r="CMY72" s="29"/>
      <c r="CMZ72" s="29"/>
      <c r="CNA72" s="136"/>
      <c r="CNB72" s="29"/>
      <c r="CNC72" s="29"/>
      <c r="CND72" s="29"/>
      <c r="CNE72" s="29"/>
      <c r="CNF72" s="29"/>
      <c r="CNG72" s="73"/>
      <c r="CNH72" s="29"/>
      <c r="CNI72" s="29"/>
      <c r="CNJ72" s="29"/>
      <c r="CNK72" s="29"/>
      <c r="CNL72" s="29"/>
      <c r="CNM72" s="30"/>
      <c r="CNN72" s="28"/>
      <c r="CNO72" s="67"/>
      <c r="CNP72" s="67"/>
      <c r="CNQ72" s="67"/>
      <c r="CNR72" s="29"/>
      <c r="CNS72" s="131"/>
      <c r="CNT72" s="29"/>
      <c r="CNU72" s="29"/>
      <c r="CNV72" s="29"/>
      <c r="CNW72" s="29"/>
      <c r="CNX72" s="29"/>
      <c r="CNY72" s="136"/>
      <c r="CNZ72" s="29"/>
      <c r="COA72" s="29"/>
      <c r="COB72" s="29"/>
      <c r="COC72" s="29"/>
      <c r="COD72" s="29"/>
      <c r="COE72" s="73"/>
      <c r="COF72" s="29"/>
      <c r="COG72" s="29"/>
      <c r="COH72" s="29"/>
      <c r="COI72" s="29"/>
      <c r="COJ72" s="29"/>
      <c r="COK72" s="136"/>
      <c r="COL72" s="29"/>
      <c r="COM72" s="29"/>
      <c r="CON72" s="29"/>
      <c r="COO72" s="29"/>
      <c r="COP72" s="29"/>
      <c r="COQ72" s="73"/>
      <c r="COR72" s="67"/>
      <c r="COS72" s="67"/>
      <c r="COT72" s="67"/>
      <c r="COU72" s="67"/>
      <c r="COV72" s="29"/>
      <c r="COW72" s="136"/>
      <c r="COX72" s="29"/>
      <c r="COY72" s="29"/>
      <c r="COZ72" s="29"/>
      <c r="CPA72" s="29"/>
      <c r="CPB72" s="29"/>
      <c r="CPC72" s="73"/>
      <c r="CPD72" s="29"/>
      <c r="CPE72" s="29"/>
      <c r="CPF72" s="29"/>
      <c r="CPG72" s="29"/>
      <c r="CPH72" s="29"/>
      <c r="CPI72" s="136"/>
      <c r="CPJ72" s="29"/>
      <c r="CPK72" s="29"/>
      <c r="CPL72" s="29"/>
      <c r="CPM72" s="29"/>
      <c r="CPN72" s="29"/>
      <c r="CPO72" s="73"/>
      <c r="CPP72" s="29"/>
      <c r="CPQ72" s="29"/>
      <c r="CPR72" s="29"/>
      <c r="CPS72" s="29"/>
      <c r="CPT72" s="29"/>
      <c r="CPU72" s="30"/>
      <c r="CPV72" s="28"/>
      <c r="CPW72" s="67"/>
      <c r="CPX72" s="67"/>
      <c r="CPY72" s="67"/>
      <c r="CPZ72" s="29"/>
      <c r="CQA72" s="131"/>
      <c r="CQB72" s="29"/>
      <c r="CQC72" s="29"/>
      <c r="CQD72" s="29"/>
      <c r="CQE72" s="29"/>
      <c r="CQF72" s="29"/>
      <c r="CQG72" s="136"/>
      <c r="CQH72" s="29"/>
      <c r="CQI72" s="29"/>
      <c r="CQJ72" s="29"/>
      <c r="CQK72" s="29"/>
      <c r="CQL72" s="29"/>
      <c r="CQM72" s="73"/>
      <c r="CQN72" s="29"/>
      <c r="CQO72" s="29"/>
      <c r="CQP72" s="29"/>
      <c r="CQQ72" s="29"/>
      <c r="CQR72" s="29"/>
      <c r="CQS72" s="136"/>
      <c r="CQT72" s="29"/>
      <c r="CQU72" s="29"/>
      <c r="CQV72" s="29"/>
      <c r="CQW72" s="29"/>
      <c r="CQX72" s="29"/>
      <c r="CQY72" s="73"/>
      <c r="CQZ72" s="67"/>
      <c r="CRA72" s="67"/>
      <c r="CRB72" s="67"/>
      <c r="CRC72" s="67"/>
      <c r="CRD72" s="29"/>
      <c r="CRE72" s="136"/>
      <c r="CRF72" s="29"/>
      <c r="CRG72" s="29"/>
      <c r="CRH72" s="29"/>
      <c r="CRI72" s="29"/>
      <c r="CRJ72" s="29"/>
      <c r="CRK72" s="73"/>
      <c r="CRL72" s="29"/>
      <c r="CRM72" s="29"/>
      <c r="CRN72" s="29"/>
      <c r="CRO72" s="29"/>
      <c r="CRP72" s="29"/>
      <c r="CRQ72" s="136"/>
      <c r="CRR72" s="29"/>
      <c r="CRS72" s="29"/>
      <c r="CRT72" s="29"/>
      <c r="CRU72" s="29"/>
      <c r="CRV72" s="29"/>
      <c r="CRW72" s="73"/>
      <c r="CRX72" s="29"/>
      <c r="CRY72" s="29"/>
      <c r="CRZ72" s="29"/>
      <c r="CSA72" s="29"/>
      <c r="CSB72" s="29"/>
      <c r="CSC72" s="30"/>
      <c r="CSD72" s="90"/>
    </row>
    <row r="73" spans="1:2526" ht="20.100000000000001" customHeight="1" x14ac:dyDescent="0.25">
      <c r="A73" s="100" t="s">
        <v>18</v>
      </c>
      <c r="B73" s="63"/>
      <c r="C73" s="211"/>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32"/>
      <c r="BLW73" s="64"/>
      <c r="BLX73" s="64"/>
      <c r="BLY73" s="64"/>
      <c r="BLZ73" s="33"/>
      <c r="BMA73" s="132"/>
      <c r="BMB73" s="33"/>
      <c r="BMC73" s="33"/>
      <c r="BMD73" s="33"/>
      <c r="BME73" s="33"/>
      <c r="BMF73" s="33"/>
      <c r="BMG73" s="137"/>
      <c r="BMH73" s="33"/>
      <c r="BMI73" s="33"/>
      <c r="BMJ73" s="33"/>
      <c r="BMK73" s="33"/>
      <c r="BML73" s="33"/>
      <c r="BMM73" s="74"/>
      <c r="BMN73" s="33"/>
      <c r="BMO73" s="33"/>
      <c r="BMP73" s="33"/>
      <c r="BMQ73" s="33"/>
      <c r="BMR73" s="33"/>
      <c r="BMS73" s="137"/>
      <c r="BMT73" s="33"/>
      <c r="BMU73" s="33"/>
      <c r="BMV73" s="33"/>
      <c r="BMW73" s="33"/>
      <c r="BMX73" s="33"/>
      <c r="BMY73" s="74"/>
      <c r="BMZ73" s="64"/>
      <c r="BNA73" s="64"/>
      <c r="BNB73" s="64"/>
      <c r="BNC73" s="64"/>
      <c r="BND73" s="33"/>
      <c r="BNE73" s="137"/>
      <c r="BNF73" s="33"/>
      <c r="BNG73" s="33"/>
      <c r="BNH73" s="33"/>
      <c r="BNI73" s="33"/>
      <c r="BNJ73" s="33"/>
      <c r="BNK73" s="74"/>
      <c r="BNL73" s="33"/>
      <c r="BNM73" s="33"/>
      <c r="BNN73" s="33"/>
      <c r="BNO73" s="33"/>
      <c r="BNP73" s="33"/>
      <c r="BNQ73" s="137"/>
      <c r="BNR73" s="33"/>
      <c r="BNS73" s="33"/>
      <c r="BNT73" s="33"/>
      <c r="BNU73" s="33"/>
      <c r="BNV73" s="33"/>
      <c r="BNW73" s="74"/>
      <c r="BNX73" s="33"/>
      <c r="BNY73" s="33"/>
      <c r="BNZ73" s="33"/>
      <c r="BOA73" s="33"/>
      <c r="BOB73" s="33"/>
      <c r="BOC73" s="34"/>
      <c r="BOD73" s="32"/>
      <c r="BOE73" s="64"/>
      <c r="BOF73" s="64"/>
      <c r="BOG73" s="64"/>
      <c r="BOH73" s="33"/>
      <c r="BOI73" s="132"/>
      <c r="BOJ73" s="33"/>
      <c r="BOK73" s="33"/>
      <c r="BOL73" s="33"/>
      <c r="BOM73" s="33"/>
      <c r="BON73" s="33"/>
      <c r="BOO73" s="137"/>
      <c r="BOP73" s="33"/>
      <c r="BOQ73" s="33"/>
      <c r="BOR73" s="33"/>
      <c r="BOS73" s="33"/>
      <c r="BOT73" s="33"/>
      <c r="BOU73" s="74"/>
      <c r="BOV73" s="33"/>
      <c r="BOW73" s="33"/>
      <c r="BOX73" s="33"/>
      <c r="BOY73" s="33"/>
      <c r="BOZ73" s="33"/>
      <c r="BPA73" s="137"/>
      <c r="BPB73" s="33"/>
      <c r="BPC73" s="33"/>
      <c r="BPD73" s="33"/>
      <c r="BPE73" s="33"/>
      <c r="BPF73" s="33"/>
      <c r="BPG73" s="74"/>
      <c r="BPH73" s="64"/>
      <c r="BPI73" s="64"/>
      <c r="BPJ73" s="64"/>
      <c r="BPK73" s="64"/>
      <c r="BPL73" s="33"/>
      <c r="BPM73" s="137"/>
      <c r="BPN73" s="33"/>
      <c r="BPO73" s="33"/>
      <c r="BPP73" s="33"/>
      <c r="BPQ73" s="33"/>
      <c r="BPR73" s="33"/>
      <c r="BPS73" s="74"/>
      <c r="BPT73" s="33"/>
      <c r="BPU73" s="33"/>
      <c r="BPV73" s="33"/>
      <c r="BPW73" s="33"/>
      <c r="BPX73" s="33"/>
      <c r="BPY73" s="137"/>
      <c r="BPZ73" s="33"/>
      <c r="BQA73" s="33"/>
      <c r="BQB73" s="33"/>
      <c r="BQC73" s="33"/>
      <c r="BQD73" s="33"/>
      <c r="BQE73" s="74"/>
      <c r="BQF73" s="33"/>
      <c r="BQG73" s="33"/>
      <c r="BQH73" s="33"/>
      <c r="BQI73" s="33"/>
      <c r="BQJ73" s="33"/>
      <c r="BQK73" s="34"/>
      <c r="BQL73" s="32"/>
      <c r="BQM73" s="64"/>
      <c r="BQN73" s="64"/>
      <c r="BQO73" s="64"/>
      <c r="BQP73" s="33"/>
      <c r="BQQ73" s="132"/>
      <c r="BQR73" s="33"/>
      <c r="BQS73" s="33"/>
      <c r="BQT73" s="33"/>
      <c r="BQU73" s="33"/>
      <c r="BQV73" s="33"/>
      <c r="BQW73" s="137"/>
      <c r="BQX73" s="33"/>
      <c r="BQY73" s="33"/>
      <c r="BQZ73" s="33"/>
      <c r="BRA73" s="33"/>
      <c r="BRB73" s="33"/>
      <c r="BRC73" s="74"/>
      <c r="BRD73" s="33"/>
      <c r="BRE73" s="33"/>
      <c r="BRF73" s="33"/>
      <c r="BRG73" s="33"/>
      <c r="BRH73" s="33"/>
      <c r="BRI73" s="137"/>
      <c r="BRJ73" s="33"/>
      <c r="BRK73" s="33"/>
      <c r="BRL73" s="33"/>
      <c r="BRM73" s="33"/>
      <c r="BRN73" s="33"/>
      <c r="BRO73" s="74"/>
      <c r="BRP73" s="64"/>
      <c r="BRQ73" s="64"/>
      <c r="BRR73" s="64"/>
      <c r="BRS73" s="64"/>
      <c r="BRT73" s="33"/>
      <c r="BRU73" s="137"/>
      <c r="BRV73" s="33"/>
      <c r="BRW73" s="33"/>
      <c r="BRX73" s="33"/>
      <c r="BRY73" s="33"/>
      <c r="BRZ73" s="33"/>
      <c r="BSA73" s="74"/>
      <c r="BSB73" s="33"/>
      <c r="BSC73" s="33"/>
      <c r="BSD73" s="33"/>
      <c r="BSE73" s="33"/>
      <c r="BSF73" s="33"/>
      <c r="BSG73" s="137"/>
      <c r="BSH73" s="33"/>
      <c r="BSI73" s="33"/>
      <c r="BSJ73" s="33"/>
      <c r="BSK73" s="33"/>
      <c r="BSL73" s="33"/>
      <c r="BSM73" s="74"/>
      <c r="BSN73" s="33"/>
      <c r="BSO73" s="33"/>
      <c r="BSP73" s="33"/>
      <c r="BSQ73" s="33"/>
      <c r="BSR73" s="33"/>
      <c r="BSS73" s="34"/>
      <c r="BST73" s="32"/>
      <c r="BSU73" s="64"/>
      <c r="BSV73" s="64"/>
      <c r="BSW73" s="64"/>
      <c r="BSX73" s="33"/>
      <c r="BSY73" s="132"/>
      <c r="BSZ73" s="33"/>
      <c r="BTA73" s="33"/>
      <c r="BTB73" s="33"/>
      <c r="BTC73" s="33"/>
      <c r="BTD73" s="33"/>
      <c r="BTE73" s="137"/>
      <c r="BTF73" s="33"/>
      <c r="BTG73" s="33"/>
      <c r="BTH73" s="33"/>
      <c r="BTI73" s="33"/>
      <c r="BTJ73" s="33"/>
      <c r="BTK73" s="74"/>
      <c r="BTL73" s="33"/>
      <c r="BTM73" s="33"/>
      <c r="BTN73" s="33"/>
      <c r="BTO73" s="33"/>
      <c r="BTP73" s="33"/>
      <c r="BTQ73" s="137"/>
      <c r="BTR73" s="33"/>
      <c r="BTS73" s="33"/>
      <c r="BTT73" s="33"/>
      <c r="BTU73" s="33"/>
      <c r="BTV73" s="33"/>
      <c r="BTW73" s="74"/>
      <c r="BTX73" s="64"/>
      <c r="BTY73" s="64"/>
      <c r="BTZ73" s="64"/>
      <c r="BUA73" s="64"/>
      <c r="BUB73" s="33"/>
      <c r="BUC73" s="137"/>
      <c r="BUD73" s="33"/>
      <c r="BUE73" s="33"/>
      <c r="BUF73" s="33"/>
      <c r="BUG73" s="33"/>
      <c r="BUH73" s="33"/>
      <c r="BUI73" s="74"/>
      <c r="BUJ73" s="33"/>
      <c r="BUK73" s="33"/>
      <c r="BUL73" s="33"/>
      <c r="BUM73" s="33"/>
      <c r="BUN73" s="33"/>
      <c r="BUO73" s="137"/>
      <c r="BUP73" s="33"/>
      <c r="BUQ73" s="33"/>
      <c r="BUR73" s="33"/>
      <c r="BUS73" s="33"/>
      <c r="BUT73" s="33"/>
      <c r="BUU73" s="74"/>
      <c r="BUV73" s="33"/>
      <c r="BUW73" s="33"/>
      <c r="BUX73" s="33"/>
      <c r="BUY73" s="33"/>
      <c r="BUZ73" s="33"/>
      <c r="BVA73" s="34"/>
      <c r="BVB73" s="32"/>
      <c r="BVC73" s="64"/>
      <c r="BVD73" s="64"/>
      <c r="BVE73" s="64"/>
      <c r="BVF73" s="33"/>
      <c r="BVG73" s="132"/>
      <c r="BVH73" s="33"/>
      <c r="BVI73" s="33"/>
      <c r="BVJ73" s="33"/>
      <c r="BVK73" s="33"/>
      <c r="BVL73" s="33"/>
      <c r="BVM73" s="137"/>
      <c r="BVN73" s="33"/>
      <c r="BVO73" s="33"/>
      <c r="BVP73" s="33"/>
      <c r="BVQ73" s="33"/>
      <c r="BVR73" s="33"/>
      <c r="BVS73" s="74"/>
      <c r="BVT73" s="33"/>
      <c r="BVU73" s="33"/>
      <c r="BVV73" s="33"/>
      <c r="BVW73" s="33"/>
      <c r="BVX73" s="33"/>
      <c r="BVY73" s="137"/>
      <c r="BVZ73" s="33"/>
      <c r="BWA73" s="33"/>
      <c r="BWB73" s="33"/>
      <c r="BWC73" s="33"/>
      <c r="BWD73" s="33"/>
      <c r="BWE73" s="74"/>
      <c r="BWF73" s="64"/>
      <c r="BWG73" s="64"/>
      <c r="BWH73" s="64"/>
      <c r="BWI73" s="64"/>
      <c r="BWJ73" s="33"/>
      <c r="BWK73" s="137"/>
      <c r="BWL73" s="33"/>
      <c r="BWM73" s="33"/>
      <c r="BWN73" s="33"/>
      <c r="BWO73" s="33"/>
      <c r="BWP73" s="33"/>
      <c r="BWQ73" s="74"/>
      <c r="BWR73" s="33"/>
      <c r="BWS73" s="33"/>
      <c r="BWT73" s="33"/>
      <c r="BWU73" s="33"/>
      <c r="BWV73" s="33"/>
      <c r="BWW73" s="137"/>
      <c r="BWX73" s="33"/>
      <c r="BWY73" s="33"/>
      <c r="BWZ73" s="33"/>
      <c r="BXA73" s="33"/>
      <c r="BXB73" s="33"/>
      <c r="BXC73" s="74"/>
      <c r="BXD73" s="33"/>
      <c r="BXE73" s="33"/>
      <c r="BXF73" s="33"/>
      <c r="BXG73" s="33"/>
      <c r="BXH73" s="33"/>
      <c r="BXI73" s="34"/>
      <c r="BXJ73" s="32"/>
      <c r="BXK73" s="64"/>
      <c r="BXL73" s="64"/>
      <c r="BXM73" s="64"/>
      <c r="BXN73" s="33"/>
      <c r="BXO73" s="132"/>
      <c r="BXP73" s="33"/>
      <c r="BXQ73" s="33"/>
      <c r="BXR73" s="33"/>
      <c r="BXS73" s="33"/>
      <c r="BXT73" s="33"/>
      <c r="BXU73" s="137"/>
      <c r="BXV73" s="33"/>
      <c r="BXW73" s="33"/>
      <c r="BXX73" s="33"/>
      <c r="BXY73" s="33"/>
      <c r="BXZ73" s="33"/>
      <c r="BYA73" s="74"/>
      <c r="BYB73" s="33"/>
      <c r="BYC73" s="33"/>
      <c r="BYD73" s="33"/>
      <c r="BYE73" s="33"/>
      <c r="BYF73" s="33"/>
      <c r="BYG73" s="137"/>
      <c r="BYH73" s="33"/>
      <c r="BYI73" s="33"/>
      <c r="BYJ73" s="33"/>
      <c r="BYK73" s="33"/>
      <c r="BYL73" s="33"/>
      <c r="BYM73" s="74"/>
      <c r="BYN73" s="64"/>
      <c r="BYO73" s="64"/>
      <c r="BYP73" s="64"/>
      <c r="BYQ73" s="64"/>
      <c r="BYR73" s="33"/>
      <c r="BYS73" s="137"/>
      <c r="BYT73" s="33"/>
      <c r="BYU73" s="33"/>
      <c r="BYV73" s="33"/>
      <c r="BYW73" s="33"/>
      <c r="BYX73" s="33"/>
      <c r="BYY73" s="74"/>
      <c r="BYZ73" s="33"/>
      <c r="BZA73" s="33"/>
      <c r="BZB73" s="33"/>
      <c r="BZC73" s="33"/>
      <c r="BZD73" s="33"/>
      <c r="BZE73" s="137"/>
      <c r="BZF73" s="33"/>
      <c r="BZG73" s="33"/>
      <c r="BZH73" s="33"/>
      <c r="BZI73" s="33"/>
      <c r="BZJ73" s="33"/>
      <c r="BZK73" s="74"/>
      <c r="BZL73" s="33"/>
      <c r="BZM73" s="33"/>
      <c r="BZN73" s="33"/>
      <c r="BZO73" s="33"/>
      <c r="BZP73" s="33"/>
      <c r="BZQ73" s="34"/>
      <c r="BZR73" s="32"/>
      <c r="BZS73" s="64"/>
      <c r="BZT73" s="64"/>
      <c r="BZU73" s="64"/>
      <c r="BZV73" s="33"/>
      <c r="BZW73" s="132"/>
      <c r="BZX73" s="33"/>
      <c r="BZY73" s="33"/>
      <c r="BZZ73" s="33"/>
      <c r="CAA73" s="33"/>
      <c r="CAB73" s="33"/>
      <c r="CAC73" s="137"/>
      <c r="CAD73" s="33"/>
      <c r="CAE73" s="33"/>
      <c r="CAF73" s="33"/>
      <c r="CAG73" s="33"/>
      <c r="CAH73" s="33"/>
      <c r="CAI73" s="74"/>
      <c r="CAJ73" s="33"/>
      <c r="CAK73" s="33"/>
      <c r="CAL73" s="33"/>
      <c r="CAM73" s="33"/>
      <c r="CAN73" s="33"/>
      <c r="CAO73" s="137"/>
      <c r="CAP73" s="33"/>
      <c r="CAQ73" s="33"/>
      <c r="CAR73" s="33"/>
      <c r="CAS73" s="33"/>
      <c r="CAT73" s="33"/>
      <c r="CAU73" s="74"/>
      <c r="CAV73" s="64"/>
      <c r="CAW73" s="64"/>
      <c r="CAX73" s="64"/>
      <c r="CAY73" s="64"/>
      <c r="CAZ73" s="33"/>
      <c r="CBA73" s="137"/>
      <c r="CBB73" s="33"/>
      <c r="CBC73" s="33"/>
      <c r="CBD73" s="33"/>
      <c r="CBE73" s="33"/>
      <c r="CBF73" s="33"/>
      <c r="CBG73" s="74"/>
      <c r="CBH73" s="33"/>
      <c r="CBI73" s="33"/>
      <c r="CBJ73" s="33"/>
      <c r="CBK73" s="33"/>
      <c r="CBL73" s="33"/>
      <c r="CBM73" s="137"/>
      <c r="CBN73" s="33"/>
      <c r="CBO73" s="33"/>
      <c r="CBP73" s="33"/>
      <c r="CBQ73" s="33"/>
      <c r="CBR73" s="33"/>
      <c r="CBS73" s="74"/>
      <c r="CBT73" s="33"/>
      <c r="CBU73" s="33"/>
      <c r="CBV73" s="33"/>
      <c r="CBW73" s="33"/>
      <c r="CBX73" s="33"/>
      <c r="CBY73" s="34"/>
      <c r="CBZ73" s="32"/>
      <c r="CCA73" s="64"/>
      <c r="CCB73" s="64"/>
      <c r="CCC73" s="64"/>
      <c r="CCD73" s="33"/>
      <c r="CCE73" s="132"/>
      <c r="CCF73" s="33"/>
      <c r="CCG73" s="33"/>
      <c r="CCH73" s="33"/>
      <c r="CCI73" s="33"/>
      <c r="CCJ73" s="33"/>
      <c r="CCK73" s="137"/>
      <c r="CCL73" s="33"/>
      <c r="CCM73" s="33"/>
      <c r="CCN73" s="33"/>
      <c r="CCO73" s="33"/>
      <c r="CCP73" s="33"/>
      <c r="CCQ73" s="74"/>
      <c r="CCR73" s="33"/>
      <c r="CCS73" s="33"/>
      <c r="CCT73" s="33"/>
      <c r="CCU73" s="33"/>
      <c r="CCV73" s="33"/>
      <c r="CCW73" s="137"/>
      <c r="CCX73" s="33"/>
      <c r="CCY73" s="33"/>
      <c r="CCZ73" s="33"/>
      <c r="CDA73" s="33"/>
      <c r="CDB73" s="33"/>
      <c r="CDC73" s="74"/>
      <c r="CDD73" s="64"/>
      <c r="CDE73" s="64"/>
      <c r="CDF73" s="64"/>
      <c r="CDG73" s="64"/>
      <c r="CDH73" s="33"/>
      <c r="CDI73" s="137"/>
      <c r="CDJ73" s="33"/>
      <c r="CDK73" s="33"/>
      <c r="CDL73" s="33"/>
      <c r="CDM73" s="33"/>
      <c r="CDN73" s="33"/>
      <c r="CDO73" s="74"/>
      <c r="CDP73" s="33"/>
      <c r="CDQ73" s="33"/>
      <c r="CDR73" s="33"/>
      <c r="CDS73" s="33"/>
      <c r="CDT73" s="33"/>
      <c r="CDU73" s="137"/>
      <c r="CDV73" s="33"/>
      <c r="CDW73" s="33"/>
      <c r="CDX73" s="33"/>
      <c r="CDY73" s="33"/>
      <c r="CDZ73" s="33"/>
      <c r="CEA73" s="74"/>
      <c r="CEB73" s="33"/>
      <c r="CEC73" s="33"/>
      <c r="CED73" s="33"/>
      <c r="CEE73" s="33"/>
      <c r="CEF73" s="33"/>
      <c r="CEG73" s="34"/>
      <c r="CEH73" s="32"/>
      <c r="CEI73" s="64"/>
      <c r="CEJ73" s="64"/>
      <c r="CEK73" s="64"/>
      <c r="CEL73" s="33"/>
      <c r="CEM73" s="132"/>
      <c r="CEN73" s="33"/>
      <c r="CEO73" s="33"/>
      <c r="CEP73" s="33"/>
      <c r="CEQ73" s="33"/>
      <c r="CER73" s="33"/>
      <c r="CES73" s="137"/>
      <c r="CET73" s="33"/>
      <c r="CEU73" s="33"/>
      <c r="CEV73" s="33"/>
      <c r="CEW73" s="33"/>
      <c r="CEX73" s="33"/>
      <c r="CEY73" s="74"/>
      <c r="CEZ73" s="33"/>
      <c r="CFA73" s="33"/>
      <c r="CFB73" s="33"/>
      <c r="CFC73" s="33"/>
      <c r="CFD73" s="33"/>
      <c r="CFE73" s="137"/>
      <c r="CFF73" s="33"/>
      <c r="CFG73" s="33"/>
      <c r="CFH73" s="33"/>
      <c r="CFI73" s="33"/>
      <c r="CFJ73" s="33"/>
      <c r="CFK73" s="74"/>
      <c r="CFL73" s="64"/>
      <c r="CFM73" s="64"/>
      <c r="CFN73" s="64"/>
      <c r="CFO73" s="64"/>
      <c r="CFP73" s="33"/>
      <c r="CFQ73" s="137"/>
      <c r="CFR73" s="33"/>
      <c r="CFS73" s="33"/>
      <c r="CFT73" s="33"/>
      <c r="CFU73" s="33"/>
      <c r="CFV73" s="33"/>
      <c r="CFW73" s="74"/>
      <c r="CFX73" s="33"/>
      <c r="CFY73" s="33"/>
      <c r="CFZ73" s="33"/>
      <c r="CGA73" s="33"/>
      <c r="CGB73" s="33"/>
      <c r="CGC73" s="137"/>
      <c r="CGD73" s="33"/>
      <c r="CGE73" s="33"/>
      <c r="CGF73" s="33"/>
      <c r="CGG73" s="33"/>
      <c r="CGH73" s="33"/>
      <c r="CGI73" s="74"/>
      <c r="CGJ73" s="33"/>
      <c r="CGK73" s="33"/>
      <c r="CGL73" s="33"/>
      <c r="CGM73" s="33"/>
      <c r="CGN73" s="33"/>
      <c r="CGO73" s="34"/>
      <c r="CGP73" s="32"/>
      <c r="CGQ73" s="64"/>
      <c r="CGR73" s="64"/>
      <c r="CGS73" s="64"/>
      <c r="CGT73" s="33"/>
      <c r="CGU73" s="132"/>
      <c r="CGV73" s="33"/>
      <c r="CGW73" s="33"/>
      <c r="CGX73" s="33"/>
      <c r="CGY73" s="33"/>
      <c r="CGZ73" s="33"/>
      <c r="CHA73" s="137"/>
      <c r="CHB73" s="33"/>
      <c r="CHC73" s="33"/>
      <c r="CHD73" s="33"/>
      <c r="CHE73" s="33"/>
      <c r="CHF73" s="33"/>
      <c r="CHG73" s="74"/>
      <c r="CHH73" s="33"/>
      <c r="CHI73" s="33"/>
      <c r="CHJ73" s="33"/>
      <c r="CHK73" s="33"/>
      <c r="CHL73" s="33"/>
      <c r="CHM73" s="137"/>
      <c r="CHN73" s="33"/>
      <c r="CHO73" s="33"/>
      <c r="CHP73" s="33"/>
      <c r="CHQ73" s="33"/>
      <c r="CHR73" s="33"/>
      <c r="CHS73" s="74"/>
      <c r="CHT73" s="64"/>
      <c r="CHU73" s="64"/>
      <c r="CHV73" s="64"/>
      <c r="CHW73" s="64"/>
      <c r="CHX73" s="33"/>
      <c r="CHY73" s="137"/>
      <c r="CHZ73" s="33"/>
      <c r="CIA73" s="33"/>
      <c r="CIB73" s="33"/>
      <c r="CIC73" s="33"/>
      <c r="CID73" s="33"/>
      <c r="CIE73" s="74"/>
      <c r="CIF73" s="33"/>
      <c r="CIG73" s="33"/>
      <c r="CIH73" s="33"/>
      <c r="CII73" s="33"/>
      <c r="CIJ73" s="33"/>
      <c r="CIK73" s="137"/>
      <c r="CIL73" s="33"/>
      <c r="CIM73" s="33"/>
      <c r="CIN73" s="33"/>
      <c r="CIO73" s="33"/>
      <c r="CIP73" s="33"/>
      <c r="CIQ73" s="74"/>
      <c r="CIR73" s="33"/>
      <c r="CIS73" s="33"/>
      <c r="CIT73" s="33"/>
      <c r="CIU73" s="33"/>
      <c r="CIV73" s="33"/>
      <c r="CIW73" s="34"/>
      <c r="CIX73" s="32"/>
      <c r="CIY73" s="64"/>
      <c r="CIZ73" s="64"/>
      <c r="CJA73" s="64"/>
      <c r="CJB73" s="33"/>
      <c r="CJC73" s="132"/>
      <c r="CJD73" s="33"/>
      <c r="CJE73" s="33"/>
      <c r="CJF73" s="33"/>
      <c r="CJG73" s="33"/>
      <c r="CJH73" s="33"/>
      <c r="CJI73" s="137"/>
      <c r="CJJ73" s="33"/>
      <c r="CJK73" s="33"/>
      <c r="CJL73" s="33"/>
      <c r="CJM73" s="33"/>
      <c r="CJN73" s="33"/>
      <c r="CJO73" s="74"/>
      <c r="CJP73" s="33"/>
      <c r="CJQ73" s="33"/>
      <c r="CJR73" s="33"/>
      <c r="CJS73" s="33"/>
      <c r="CJT73" s="33"/>
      <c r="CJU73" s="137"/>
      <c r="CJV73" s="33"/>
      <c r="CJW73" s="33"/>
      <c r="CJX73" s="33"/>
      <c r="CJY73" s="33"/>
      <c r="CJZ73" s="33"/>
      <c r="CKA73" s="74"/>
      <c r="CKB73" s="64"/>
      <c r="CKC73" s="64"/>
      <c r="CKD73" s="64"/>
      <c r="CKE73" s="64"/>
      <c r="CKF73" s="33"/>
      <c r="CKG73" s="137"/>
      <c r="CKH73" s="33"/>
      <c r="CKI73" s="33"/>
      <c r="CKJ73" s="33"/>
      <c r="CKK73" s="33"/>
      <c r="CKL73" s="33"/>
      <c r="CKM73" s="74"/>
      <c r="CKN73" s="33"/>
      <c r="CKO73" s="33"/>
      <c r="CKP73" s="33"/>
      <c r="CKQ73" s="33"/>
      <c r="CKR73" s="33"/>
      <c r="CKS73" s="137"/>
      <c r="CKT73" s="33"/>
      <c r="CKU73" s="33"/>
      <c r="CKV73" s="33"/>
      <c r="CKW73" s="33"/>
      <c r="CKX73" s="33"/>
      <c r="CKY73" s="74"/>
      <c r="CKZ73" s="33"/>
      <c r="CLA73" s="33"/>
      <c r="CLB73" s="33"/>
      <c r="CLC73" s="33"/>
      <c r="CLD73" s="33"/>
      <c r="CLE73" s="34"/>
      <c r="CLF73" s="32"/>
      <c r="CLG73" s="64"/>
      <c r="CLH73" s="64"/>
      <c r="CLI73" s="64"/>
      <c r="CLJ73" s="33"/>
      <c r="CLK73" s="132"/>
      <c r="CLL73" s="33"/>
      <c r="CLM73" s="33"/>
      <c r="CLN73" s="33"/>
      <c r="CLO73" s="33"/>
      <c r="CLP73" s="33"/>
      <c r="CLQ73" s="137"/>
      <c r="CLR73" s="33"/>
      <c r="CLS73" s="33"/>
      <c r="CLT73" s="33"/>
      <c r="CLU73" s="33"/>
      <c r="CLV73" s="33"/>
      <c r="CLW73" s="74"/>
      <c r="CLX73" s="33"/>
      <c r="CLY73" s="33"/>
      <c r="CLZ73" s="33"/>
      <c r="CMA73" s="33"/>
      <c r="CMB73" s="33"/>
      <c r="CMC73" s="137"/>
      <c r="CMD73" s="33"/>
      <c r="CME73" s="33"/>
      <c r="CMF73" s="33"/>
      <c r="CMG73" s="33"/>
      <c r="CMH73" s="33"/>
      <c r="CMI73" s="74"/>
      <c r="CMJ73" s="64"/>
      <c r="CMK73" s="64"/>
      <c r="CML73" s="64"/>
      <c r="CMM73" s="64"/>
      <c r="CMN73" s="33"/>
      <c r="CMO73" s="137"/>
      <c r="CMP73" s="33"/>
      <c r="CMQ73" s="33"/>
      <c r="CMR73" s="33"/>
      <c r="CMS73" s="33"/>
      <c r="CMT73" s="33"/>
      <c r="CMU73" s="74"/>
      <c r="CMV73" s="33"/>
      <c r="CMW73" s="33"/>
      <c r="CMX73" s="33"/>
      <c r="CMY73" s="33"/>
      <c r="CMZ73" s="33"/>
      <c r="CNA73" s="137"/>
      <c r="CNB73" s="33"/>
      <c r="CNC73" s="33"/>
      <c r="CND73" s="33"/>
      <c r="CNE73" s="33"/>
      <c r="CNF73" s="33"/>
      <c r="CNG73" s="74"/>
      <c r="CNH73" s="33"/>
      <c r="CNI73" s="33"/>
      <c r="CNJ73" s="33"/>
      <c r="CNK73" s="33"/>
      <c r="CNL73" s="33"/>
      <c r="CNM73" s="34"/>
      <c r="CNN73" s="32"/>
      <c r="CNO73" s="64"/>
      <c r="CNP73" s="64"/>
      <c r="CNQ73" s="64"/>
      <c r="CNR73" s="33"/>
      <c r="CNS73" s="132"/>
      <c r="CNT73" s="33"/>
      <c r="CNU73" s="33"/>
      <c r="CNV73" s="33"/>
      <c r="CNW73" s="33"/>
      <c r="CNX73" s="33"/>
      <c r="CNY73" s="137"/>
      <c r="CNZ73" s="33"/>
      <c r="COA73" s="33"/>
      <c r="COB73" s="33"/>
      <c r="COC73" s="33"/>
      <c r="COD73" s="33"/>
      <c r="COE73" s="74"/>
      <c r="COF73" s="33"/>
      <c r="COG73" s="33"/>
      <c r="COH73" s="33"/>
      <c r="COI73" s="33"/>
      <c r="COJ73" s="33"/>
      <c r="COK73" s="137"/>
      <c r="COL73" s="33"/>
      <c r="COM73" s="33"/>
      <c r="CON73" s="33"/>
      <c r="COO73" s="33"/>
      <c r="COP73" s="33"/>
      <c r="COQ73" s="74"/>
      <c r="COR73" s="64"/>
      <c r="COS73" s="64"/>
      <c r="COT73" s="64"/>
      <c r="COU73" s="64"/>
      <c r="COV73" s="33"/>
      <c r="COW73" s="137"/>
      <c r="COX73" s="33"/>
      <c r="COY73" s="33"/>
      <c r="COZ73" s="33"/>
      <c r="CPA73" s="33"/>
      <c r="CPB73" s="33"/>
      <c r="CPC73" s="74"/>
      <c r="CPD73" s="33"/>
      <c r="CPE73" s="33"/>
      <c r="CPF73" s="33"/>
      <c r="CPG73" s="33"/>
      <c r="CPH73" s="33"/>
      <c r="CPI73" s="137"/>
      <c r="CPJ73" s="33"/>
      <c r="CPK73" s="33"/>
      <c r="CPL73" s="33"/>
      <c r="CPM73" s="33"/>
      <c r="CPN73" s="33"/>
      <c r="CPO73" s="74"/>
      <c r="CPP73" s="33"/>
      <c r="CPQ73" s="33"/>
      <c r="CPR73" s="33"/>
      <c r="CPS73" s="33"/>
      <c r="CPT73" s="33"/>
      <c r="CPU73" s="34"/>
      <c r="CPV73" s="32"/>
      <c r="CPW73" s="64"/>
      <c r="CPX73" s="64"/>
      <c r="CPY73" s="64"/>
      <c r="CPZ73" s="33"/>
      <c r="CQA73" s="132"/>
      <c r="CQB73" s="33"/>
      <c r="CQC73" s="33"/>
      <c r="CQD73" s="33"/>
      <c r="CQE73" s="33"/>
      <c r="CQF73" s="33"/>
      <c r="CQG73" s="137"/>
      <c r="CQH73" s="33"/>
      <c r="CQI73" s="33"/>
      <c r="CQJ73" s="33"/>
      <c r="CQK73" s="33"/>
      <c r="CQL73" s="33"/>
      <c r="CQM73" s="74"/>
      <c r="CQN73" s="33"/>
      <c r="CQO73" s="33"/>
      <c r="CQP73" s="33"/>
      <c r="CQQ73" s="33"/>
      <c r="CQR73" s="33"/>
      <c r="CQS73" s="137"/>
      <c r="CQT73" s="33"/>
      <c r="CQU73" s="33"/>
      <c r="CQV73" s="33"/>
      <c r="CQW73" s="33"/>
      <c r="CQX73" s="33"/>
      <c r="CQY73" s="74"/>
      <c r="CQZ73" s="64"/>
      <c r="CRA73" s="64"/>
      <c r="CRB73" s="64"/>
      <c r="CRC73" s="64"/>
      <c r="CRD73" s="33"/>
      <c r="CRE73" s="137"/>
      <c r="CRF73" s="33"/>
      <c r="CRG73" s="33"/>
      <c r="CRH73" s="33"/>
      <c r="CRI73" s="33"/>
      <c r="CRJ73" s="33"/>
      <c r="CRK73" s="74"/>
      <c r="CRL73" s="33"/>
      <c r="CRM73" s="33"/>
      <c r="CRN73" s="33"/>
      <c r="CRO73" s="33"/>
      <c r="CRP73" s="33"/>
      <c r="CRQ73" s="137"/>
      <c r="CRR73" s="33"/>
      <c r="CRS73" s="33"/>
      <c r="CRT73" s="33"/>
      <c r="CRU73" s="33"/>
      <c r="CRV73" s="33"/>
      <c r="CRW73" s="74"/>
      <c r="CRX73" s="33"/>
      <c r="CRY73" s="33"/>
      <c r="CRZ73" s="33"/>
      <c r="CSA73" s="33"/>
      <c r="CSB73" s="33"/>
      <c r="CSC73" s="34"/>
      <c r="CSD73" s="90"/>
    </row>
    <row r="74" spans="1:2526" ht="20.100000000000001" customHeight="1" x14ac:dyDescent="0.3">
      <c r="A74" s="100" t="s">
        <v>19</v>
      </c>
      <c r="B74" s="63"/>
      <c r="C74" s="212"/>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36"/>
      <c r="BLW74" s="65"/>
      <c r="BLX74" s="65"/>
      <c r="BLY74" s="65"/>
      <c r="BLZ74" s="37"/>
      <c r="BMA74" s="133"/>
      <c r="BMB74" s="37"/>
      <c r="BMC74" s="37"/>
      <c r="BMD74" s="37"/>
      <c r="BME74" s="37"/>
      <c r="BMF74" s="37"/>
      <c r="BMG74" s="138"/>
      <c r="BMH74" s="37"/>
      <c r="BMI74" s="37"/>
      <c r="BMJ74" s="37"/>
      <c r="BMK74" s="37"/>
      <c r="BML74" s="37"/>
      <c r="BMM74" s="75"/>
      <c r="BMN74" s="37"/>
      <c r="BMO74" s="37"/>
      <c r="BMP74" s="37"/>
      <c r="BMQ74" s="37"/>
      <c r="BMR74" s="37"/>
      <c r="BMS74" s="138"/>
      <c r="BMT74" s="37"/>
      <c r="BMU74" s="37"/>
      <c r="BMV74" s="37"/>
      <c r="BMW74" s="37"/>
      <c r="BMX74" s="37"/>
      <c r="BMY74" s="75"/>
      <c r="BMZ74" s="65"/>
      <c r="BNA74" s="65"/>
      <c r="BNB74" s="65"/>
      <c r="BNC74" s="65"/>
      <c r="BND74" s="37"/>
      <c r="BNE74" s="138"/>
      <c r="BNF74" s="37"/>
      <c r="BNG74" s="37"/>
      <c r="BNH74" s="37"/>
      <c r="BNI74" s="37"/>
      <c r="BNJ74" s="37"/>
      <c r="BNK74" s="75"/>
      <c r="BNL74" s="37"/>
      <c r="BNM74" s="37"/>
      <c r="BNN74" s="37"/>
      <c r="BNO74" s="37"/>
      <c r="BNP74" s="37"/>
      <c r="BNQ74" s="138"/>
      <c r="BNR74" s="37"/>
      <c r="BNS74" s="37"/>
      <c r="BNT74" s="37"/>
      <c r="BNU74" s="37"/>
      <c r="BNV74" s="37"/>
      <c r="BNW74" s="75"/>
      <c r="BNX74" s="37"/>
      <c r="BNY74" s="37"/>
      <c r="BNZ74" s="37"/>
      <c r="BOA74" s="37"/>
      <c r="BOB74" s="37"/>
      <c r="BOC74" s="38"/>
      <c r="BOD74" s="36"/>
      <c r="BOE74" s="65"/>
      <c r="BOF74" s="65"/>
      <c r="BOG74" s="65"/>
      <c r="BOH74" s="37"/>
      <c r="BOI74" s="133"/>
      <c r="BOJ74" s="37"/>
      <c r="BOK74" s="37"/>
      <c r="BOL74" s="37"/>
      <c r="BOM74" s="37"/>
      <c r="BON74" s="37"/>
      <c r="BOO74" s="138"/>
      <c r="BOP74" s="37"/>
      <c r="BOQ74" s="37"/>
      <c r="BOR74" s="37"/>
      <c r="BOS74" s="37"/>
      <c r="BOT74" s="37"/>
      <c r="BOU74" s="75"/>
      <c r="BOV74" s="37"/>
      <c r="BOW74" s="37"/>
      <c r="BOX74" s="37"/>
      <c r="BOY74" s="37"/>
      <c r="BOZ74" s="37"/>
      <c r="BPA74" s="138"/>
      <c r="BPB74" s="37"/>
      <c r="BPC74" s="37"/>
      <c r="BPD74" s="37"/>
      <c r="BPE74" s="37"/>
      <c r="BPF74" s="37"/>
      <c r="BPG74" s="75"/>
      <c r="BPH74" s="65"/>
      <c r="BPI74" s="65"/>
      <c r="BPJ74" s="65"/>
      <c r="BPK74" s="65"/>
      <c r="BPL74" s="37"/>
      <c r="BPM74" s="138"/>
      <c r="BPN74" s="37"/>
      <c r="BPO74" s="37"/>
      <c r="BPP74" s="37"/>
      <c r="BPQ74" s="37"/>
      <c r="BPR74" s="37"/>
      <c r="BPS74" s="75"/>
      <c r="BPT74" s="37"/>
      <c r="BPU74" s="37"/>
      <c r="BPV74" s="37"/>
      <c r="BPW74" s="37"/>
      <c r="BPX74" s="37"/>
      <c r="BPY74" s="138"/>
      <c r="BPZ74" s="37"/>
      <c r="BQA74" s="37"/>
      <c r="BQB74" s="37"/>
      <c r="BQC74" s="37"/>
      <c r="BQD74" s="37"/>
      <c r="BQE74" s="75"/>
      <c r="BQF74" s="37"/>
      <c r="BQG74" s="37"/>
      <c r="BQH74" s="37"/>
      <c r="BQI74" s="37"/>
      <c r="BQJ74" s="37"/>
      <c r="BQK74" s="38"/>
      <c r="BQL74" s="36"/>
      <c r="BQM74" s="65"/>
      <c r="BQN74" s="65"/>
      <c r="BQO74" s="65"/>
      <c r="BQP74" s="37"/>
      <c r="BQQ74" s="133"/>
      <c r="BQR74" s="37"/>
      <c r="BQS74" s="37"/>
      <c r="BQT74" s="37"/>
      <c r="BQU74" s="37"/>
      <c r="BQV74" s="37"/>
      <c r="BQW74" s="138"/>
      <c r="BQX74" s="37"/>
      <c r="BQY74" s="37"/>
      <c r="BQZ74" s="37"/>
      <c r="BRA74" s="37"/>
      <c r="BRB74" s="37"/>
      <c r="BRC74" s="75"/>
      <c r="BRD74" s="37"/>
      <c r="BRE74" s="37"/>
      <c r="BRF74" s="37"/>
      <c r="BRG74" s="37"/>
      <c r="BRH74" s="37"/>
      <c r="BRI74" s="138"/>
      <c r="BRJ74" s="37"/>
      <c r="BRK74" s="37"/>
      <c r="BRL74" s="37"/>
      <c r="BRM74" s="37"/>
      <c r="BRN74" s="37"/>
      <c r="BRO74" s="75"/>
      <c r="BRP74" s="65"/>
      <c r="BRQ74" s="65"/>
      <c r="BRR74" s="65"/>
      <c r="BRS74" s="65"/>
      <c r="BRT74" s="37"/>
      <c r="BRU74" s="138"/>
      <c r="BRV74" s="37"/>
      <c r="BRW74" s="37"/>
      <c r="BRX74" s="37"/>
      <c r="BRY74" s="37"/>
      <c r="BRZ74" s="37"/>
      <c r="BSA74" s="75"/>
      <c r="BSB74" s="37"/>
      <c r="BSC74" s="37"/>
      <c r="BSD74" s="37"/>
      <c r="BSE74" s="37"/>
      <c r="BSF74" s="37"/>
      <c r="BSG74" s="138"/>
      <c r="BSH74" s="37"/>
      <c r="BSI74" s="37"/>
      <c r="BSJ74" s="37"/>
      <c r="BSK74" s="37"/>
      <c r="BSL74" s="37"/>
      <c r="BSM74" s="75"/>
      <c r="BSN74" s="37"/>
      <c r="BSO74" s="37"/>
      <c r="BSP74" s="37"/>
      <c r="BSQ74" s="37"/>
      <c r="BSR74" s="37"/>
      <c r="BSS74" s="38"/>
      <c r="BST74" s="36"/>
      <c r="BSU74" s="65"/>
      <c r="BSV74" s="65"/>
      <c r="BSW74" s="65"/>
      <c r="BSX74" s="37"/>
      <c r="BSY74" s="133"/>
      <c r="BSZ74" s="37"/>
      <c r="BTA74" s="37"/>
      <c r="BTB74" s="37"/>
      <c r="BTC74" s="37"/>
      <c r="BTD74" s="37"/>
      <c r="BTE74" s="138"/>
      <c r="BTF74" s="37"/>
      <c r="BTG74" s="37"/>
      <c r="BTH74" s="37"/>
      <c r="BTI74" s="37"/>
      <c r="BTJ74" s="37"/>
      <c r="BTK74" s="75"/>
      <c r="BTL74" s="37"/>
      <c r="BTM74" s="37"/>
      <c r="BTN74" s="37"/>
      <c r="BTO74" s="37"/>
      <c r="BTP74" s="37"/>
      <c r="BTQ74" s="138"/>
      <c r="BTR74" s="37"/>
      <c r="BTS74" s="37"/>
      <c r="BTT74" s="37"/>
      <c r="BTU74" s="37"/>
      <c r="BTV74" s="37"/>
      <c r="BTW74" s="75"/>
      <c r="BTX74" s="65"/>
      <c r="BTY74" s="65"/>
      <c r="BTZ74" s="65"/>
      <c r="BUA74" s="65"/>
      <c r="BUB74" s="37"/>
      <c r="BUC74" s="138"/>
      <c r="BUD74" s="37"/>
      <c r="BUE74" s="37"/>
      <c r="BUF74" s="37"/>
      <c r="BUG74" s="37"/>
      <c r="BUH74" s="37"/>
      <c r="BUI74" s="75"/>
      <c r="BUJ74" s="37"/>
      <c r="BUK74" s="37"/>
      <c r="BUL74" s="37"/>
      <c r="BUM74" s="37"/>
      <c r="BUN74" s="37"/>
      <c r="BUO74" s="138"/>
      <c r="BUP74" s="37"/>
      <c r="BUQ74" s="37"/>
      <c r="BUR74" s="37"/>
      <c r="BUS74" s="37"/>
      <c r="BUT74" s="37"/>
      <c r="BUU74" s="75"/>
      <c r="BUV74" s="37"/>
      <c r="BUW74" s="37"/>
      <c r="BUX74" s="37"/>
      <c r="BUY74" s="37"/>
      <c r="BUZ74" s="37"/>
      <c r="BVA74" s="38"/>
      <c r="BVB74" s="36"/>
      <c r="BVC74" s="65"/>
      <c r="BVD74" s="65"/>
      <c r="BVE74" s="65"/>
      <c r="BVF74" s="37"/>
      <c r="BVG74" s="133"/>
      <c r="BVH74" s="37"/>
      <c r="BVI74" s="37"/>
      <c r="BVJ74" s="37"/>
      <c r="BVK74" s="37"/>
      <c r="BVL74" s="37"/>
      <c r="BVM74" s="138"/>
      <c r="BVN74" s="37"/>
      <c r="BVO74" s="37"/>
      <c r="BVP74" s="37"/>
      <c r="BVQ74" s="37"/>
      <c r="BVR74" s="37"/>
      <c r="BVS74" s="75"/>
      <c r="BVT74" s="37"/>
      <c r="BVU74" s="37"/>
      <c r="BVV74" s="37"/>
      <c r="BVW74" s="37"/>
      <c r="BVX74" s="37"/>
      <c r="BVY74" s="138"/>
      <c r="BVZ74" s="37"/>
      <c r="BWA74" s="37"/>
      <c r="BWB74" s="37"/>
      <c r="BWC74" s="37"/>
      <c r="BWD74" s="37"/>
      <c r="BWE74" s="75"/>
      <c r="BWF74" s="65"/>
      <c r="BWG74" s="65"/>
      <c r="BWH74" s="65"/>
      <c r="BWI74" s="65"/>
      <c r="BWJ74" s="37"/>
      <c r="BWK74" s="138"/>
      <c r="BWL74" s="37"/>
      <c r="BWM74" s="37"/>
      <c r="BWN74" s="37"/>
      <c r="BWO74" s="37"/>
      <c r="BWP74" s="37"/>
      <c r="BWQ74" s="75"/>
      <c r="BWR74" s="37"/>
      <c r="BWS74" s="37"/>
      <c r="BWT74" s="37"/>
      <c r="BWU74" s="37"/>
      <c r="BWV74" s="37"/>
      <c r="BWW74" s="138"/>
      <c r="BWX74" s="37"/>
      <c r="BWY74" s="37"/>
      <c r="BWZ74" s="37"/>
      <c r="BXA74" s="37"/>
      <c r="BXB74" s="37"/>
      <c r="BXC74" s="75"/>
      <c r="BXD74" s="37"/>
      <c r="BXE74" s="37"/>
      <c r="BXF74" s="37"/>
      <c r="BXG74" s="37"/>
      <c r="BXH74" s="37"/>
      <c r="BXI74" s="38"/>
      <c r="BXJ74" s="36"/>
      <c r="BXK74" s="65"/>
      <c r="BXL74" s="65"/>
      <c r="BXM74" s="65"/>
      <c r="BXN74" s="37"/>
      <c r="BXO74" s="133"/>
      <c r="BXP74" s="37"/>
      <c r="BXQ74" s="37"/>
      <c r="BXR74" s="37"/>
      <c r="BXS74" s="37"/>
      <c r="BXT74" s="37"/>
      <c r="BXU74" s="138"/>
      <c r="BXV74" s="37"/>
      <c r="BXW74" s="37"/>
      <c r="BXX74" s="37"/>
      <c r="BXY74" s="37"/>
      <c r="BXZ74" s="37"/>
      <c r="BYA74" s="75"/>
      <c r="BYB74" s="37"/>
      <c r="BYC74" s="37"/>
      <c r="BYD74" s="37"/>
      <c r="BYE74" s="37"/>
      <c r="BYF74" s="37"/>
      <c r="BYG74" s="138"/>
      <c r="BYH74" s="37"/>
      <c r="BYI74" s="37"/>
      <c r="BYJ74" s="37"/>
      <c r="BYK74" s="37"/>
      <c r="BYL74" s="37"/>
      <c r="BYM74" s="75"/>
      <c r="BYN74" s="65"/>
      <c r="BYO74" s="65"/>
      <c r="BYP74" s="65"/>
      <c r="BYQ74" s="65"/>
      <c r="BYR74" s="37"/>
      <c r="BYS74" s="138"/>
      <c r="BYT74" s="37"/>
      <c r="BYU74" s="37"/>
      <c r="BYV74" s="37"/>
      <c r="BYW74" s="37"/>
      <c r="BYX74" s="37"/>
      <c r="BYY74" s="75"/>
      <c r="BYZ74" s="37"/>
      <c r="BZA74" s="37"/>
      <c r="BZB74" s="37"/>
      <c r="BZC74" s="37"/>
      <c r="BZD74" s="37"/>
      <c r="BZE74" s="138"/>
      <c r="BZF74" s="37"/>
      <c r="BZG74" s="37"/>
      <c r="BZH74" s="37"/>
      <c r="BZI74" s="37"/>
      <c r="BZJ74" s="37"/>
      <c r="BZK74" s="75"/>
      <c r="BZL74" s="37"/>
      <c r="BZM74" s="37"/>
      <c r="BZN74" s="37"/>
      <c r="BZO74" s="37"/>
      <c r="BZP74" s="37"/>
      <c r="BZQ74" s="38"/>
      <c r="BZR74" s="36"/>
      <c r="BZS74" s="65"/>
      <c r="BZT74" s="65"/>
      <c r="BZU74" s="65"/>
      <c r="BZV74" s="37"/>
      <c r="BZW74" s="133"/>
      <c r="BZX74" s="37"/>
      <c r="BZY74" s="37"/>
      <c r="BZZ74" s="37"/>
      <c r="CAA74" s="37"/>
      <c r="CAB74" s="37"/>
      <c r="CAC74" s="138"/>
      <c r="CAD74" s="37"/>
      <c r="CAE74" s="37"/>
      <c r="CAF74" s="37"/>
      <c r="CAG74" s="37"/>
      <c r="CAH74" s="37"/>
      <c r="CAI74" s="75"/>
      <c r="CAJ74" s="37"/>
      <c r="CAK74" s="37"/>
      <c r="CAL74" s="37"/>
      <c r="CAM74" s="37"/>
      <c r="CAN74" s="37"/>
      <c r="CAO74" s="138"/>
      <c r="CAP74" s="37"/>
      <c r="CAQ74" s="37"/>
      <c r="CAR74" s="37"/>
      <c r="CAS74" s="37"/>
      <c r="CAT74" s="37"/>
      <c r="CAU74" s="75"/>
      <c r="CAV74" s="65"/>
      <c r="CAW74" s="65"/>
      <c r="CAX74" s="65"/>
      <c r="CAY74" s="65"/>
      <c r="CAZ74" s="37"/>
      <c r="CBA74" s="138"/>
      <c r="CBB74" s="37"/>
      <c r="CBC74" s="37"/>
      <c r="CBD74" s="37"/>
      <c r="CBE74" s="37"/>
      <c r="CBF74" s="37"/>
      <c r="CBG74" s="75"/>
      <c r="CBH74" s="37"/>
      <c r="CBI74" s="37"/>
      <c r="CBJ74" s="37"/>
      <c r="CBK74" s="37"/>
      <c r="CBL74" s="37"/>
      <c r="CBM74" s="138"/>
      <c r="CBN74" s="37"/>
      <c r="CBO74" s="37"/>
      <c r="CBP74" s="37"/>
      <c r="CBQ74" s="37"/>
      <c r="CBR74" s="37"/>
      <c r="CBS74" s="75"/>
      <c r="CBT74" s="37"/>
      <c r="CBU74" s="37"/>
      <c r="CBV74" s="37"/>
      <c r="CBW74" s="37"/>
      <c r="CBX74" s="37"/>
      <c r="CBY74" s="38"/>
      <c r="CBZ74" s="36"/>
      <c r="CCA74" s="65"/>
      <c r="CCB74" s="65"/>
      <c r="CCC74" s="65"/>
      <c r="CCD74" s="37"/>
      <c r="CCE74" s="133"/>
      <c r="CCF74" s="37"/>
      <c r="CCG74" s="37"/>
      <c r="CCH74" s="37"/>
      <c r="CCI74" s="37"/>
      <c r="CCJ74" s="37"/>
      <c r="CCK74" s="138"/>
      <c r="CCL74" s="37"/>
      <c r="CCM74" s="37"/>
      <c r="CCN74" s="37"/>
      <c r="CCO74" s="37"/>
      <c r="CCP74" s="37"/>
      <c r="CCQ74" s="75"/>
      <c r="CCR74" s="37"/>
      <c r="CCS74" s="37"/>
      <c r="CCT74" s="37"/>
      <c r="CCU74" s="37"/>
      <c r="CCV74" s="37"/>
      <c r="CCW74" s="138"/>
      <c r="CCX74" s="37"/>
      <c r="CCY74" s="37"/>
      <c r="CCZ74" s="37"/>
      <c r="CDA74" s="37"/>
      <c r="CDB74" s="37"/>
      <c r="CDC74" s="75"/>
      <c r="CDD74" s="65"/>
      <c r="CDE74" s="65"/>
      <c r="CDF74" s="65"/>
      <c r="CDG74" s="65"/>
      <c r="CDH74" s="37"/>
      <c r="CDI74" s="138"/>
      <c r="CDJ74" s="37"/>
      <c r="CDK74" s="37"/>
      <c r="CDL74" s="37"/>
      <c r="CDM74" s="37"/>
      <c r="CDN74" s="37"/>
      <c r="CDO74" s="75"/>
      <c r="CDP74" s="37"/>
      <c r="CDQ74" s="37"/>
      <c r="CDR74" s="37"/>
      <c r="CDS74" s="37"/>
      <c r="CDT74" s="37"/>
      <c r="CDU74" s="138"/>
      <c r="CDV74" s="37"/>
      <c r="CDW74" s="37"/>
      <c r="CDX74" s="37"/>
      <c r="CDY74" s="37"/>
      <c r="CDZ74" s="37"/>
      <c r="CEA74" s="75"/>
      <c r="CEB74" s="37"/>
      <c r="CEC74" s="37"/>
      <c r="CED74" s="37"/>
      <c r="CEE74" s="37"/>
      <c r="CEF74" s="37"/>
      <c r="CEG74" s="38"/>
      <c r="CEH74" s="36"/>
      <c r="CEI74" s="65"/>
      <c r="CEJ74" s="65"/>
      <c r="CEK74" s="65"/>
      <c r="CEL74" s="37"/>
      <c r="CEM74" s="133"/>
      <c r="CEN74" s="37"/>
      <c r="CEO74" s="37"/>
      <c r="CEP74" s="37"/>
      <c r="CEQ74" s="37"/>
      <c r="CER74" s="37"/>
      <c r="CES74" s="138"/>
      <c r="CET74" s="37"/>
      <c r="CEU74" s="37"/>
      <c r="CEV74" s="37"/>
      <c r="CEW74" s="37"/>
      <c r="CEX74" s="37"/>
      <c r="CEY74" s="75"/>
      <c r="CEZ74" s="37"/>
      <c r="CFA74" s="37"/>
      <c r="CFB74" s="37"/>
      <c r="CFC74" s="37"/>
      <c r="CFD74" s="37"/>
      <c r="CFE74" s="138"/>
      <c r="CFF74" s="37"/>
      <c r="CFG74" s="37"/>
      <c r="CFH74" s="37"/>
      <c r="CFI74" s="37"/>
      <c r="CFJ74" s="37"/>
      <c r="CFK74" s="75"/>
      <c r="CFL74" s="65"/>
      <c r="CFM74" s="65"/>
      <c r="CFN74" s="65"/>
      <c r="CFO74" s="65"/>
      <c r="CFP74" s="37"/>
      <c r="CFQ74" s="138"/>
      <c r="CFR74" s="37"/>
      <c r="CFS74" s="37"/>
      <c r="CFT74" s="37"/>
      <c r="CFU74" s="37"/>
      <c r="CFV74" s="37"/>
      <c r="CFW74" s="75"/>
      <c r="CFX74" s="37"/>
      <c r="CFY74" s="37"/>
      <c r="CFZ74" s="37"/>
      <c r="CGA74" s="37"/>
      <c r="CGB74" s="37"/>
      <c r="CGC74" s="138"/>
      <c r="CGD74" s="37"/>
      <c r="CGE74" s="37"/>
      <c r="CGF74" s="37"/>
      <c r="CGG74" s="37"/>
      <c r="CGH74" s="37"/>
      <c r="CGI74" s="75"/>
      <c r="CGJ74" s="37"/>
      <c r="CGK74" s="37"/>
      <c r="CGL74" s="37"/>
      <c r="CGM74" s="37"/>
      <c r="CGN74" s="37"/>
      <c r="CGO74" s="38"/>
      <c r="CGP74" s="36"/>
      <c r="CGQ74" s="65"/>
      <c r="CGR74" s="65"/>
      <c r="CGS74" s="65"/>
      <c r="CGT74" s="37"/>
      <c r="CGU74" s="133"/>
      <c r="CGV74" s="37"/>
      <c r="CGW74" s="37"/>
      <c r="CGX74" s="37"/>
      <c r="CGY74" s="37"/>
      <c r="CGZ74" s="37"/>
      <c r="CHA74" s="138"/>
      <c r="CHB74" s="37"/>
      <c r="CHC74" s="37"/>
      <c r="CHD74" s="37"/>
      <c r="CHE74" s="37"/>
      <c r="CHF74" s="37"/>
      <c r="CHG74" s="75"/>
      <c r="CHH74" s="37"/>
      <c r="CHI74" s="37"/>
      <c r="CHJ74" s="37"/>
      <c r="CHK74" s="37"/>
      <c r="CHL74" s="37"/>
      <c r="CHM74" s="138"/>
      <c r="CHN74" s="37"/>
      <c r="CHO74" s="37"/>
      <c r="CHP74" s="37"/>
      <c r="CHQ74" s="37"/>
      <c r="CHR74" s="37"/>
      <c r="CHS74" s="75"/>
      <c r="CHT74" s="65"/>
      <c r="CHU74" s="65"/>
      <c r="CHV74" s="65"/>
      <c r="CHW74" s="65"/>
      <c r="CHX74" s="37"/>
      <c r="CHY74" s="138"/>
      <c r="CHZ74" s="37"/>
      <c r="CIA74" s="37"/>
      <c r="CIB74" s="37"/>
      <c r="CIC74" s="37"/>
      <c r="CID74" s="37"/>
      <c r="CIE74" s="75"/>
      <c r="CIF74" s="37"/>
      <c r="CIG74" s="37"/>
      <c r="CIH74" s="37"/>
      <c r="CII74" s="37"/>
      <c r="CIJ74" s="37"/>
      <c r="CIK74" s="138"/>
      <c r="CIL74" s="37"/>
      <c r="CIM74" s="37"/>
      <c r="CIN74" s="37"/>
      <c r="CIO74" s="37"/>
      <c r="CIP74" s="37"/>
      <c r="CIQ74" s="75"/>
      <c r="CIR74" s="37"/>
      <c r="CIS74" s="37"/>
      <c r="CIT74" s="37"/>
      <c r="CIU74" s="37"/>
      <c r="CIV74" s="37"/>
      <c r="CIW74" s="38"/>
      <c r="CIX74" s="36"/>
      <c r="CIY74" s="65"/>
      <c r="CIZ74" s="65"/>
      <c r="CJA74" s="65"/>
      <c r="CJB74" s="37"/>
      <c r="CJC74" s="133"/>
      <c r="CJD74" s="37"/>
      <c r="CJE74" s="37"/>
      <c r="CJF74" s="37"/>
      <c r="CJG74" s="37"/>
      <c r="CJH74" s="37"/>
      <c r="CJI74" s="138"/>
      <c r="CJJ74" s="37"/>
      <c r="CJK74" s="37"/>
      <c r="CJL74" s="37"/>
      <c r="CJM74" s="37"/>
      <c r="CJN74" s="37"/>
      <c r="CJO74" s="75"/>
      <c r="CJP74" s="37"/>
      <c r="CJQ74" s="37"/>
      <c r="CJR74" s="37"/>
      <c r="CJS74" s="37"/>
      <c r="CJT74" s="37"/>
      <c r="CJU74" s="138"/>
      <c r="CJV74" s="37"/>
      <c r="CJW74" s="37"/>
      <c r="CJX74" s="37"/>
      <c r="CJY74" s="37"/>
      <c r="CJZ74" s="37"/>
      <c r="CKA74" s="75"/>
      <c r="CKB74" s="65"/>
      <c r="CKC74" s="65"/>
      <c r="CKD74" s="65"/>
      <c r="CKE74" s="65"/>
      <c r="CKF74" s="37"/>
      <c r="CKG74" s="138"/>
      <c r="CKH74" s="37"/>
      <c r="CKI74" s="37"/>
      <c r="CKJ74" s="37"/>
      <c r="CKK74" s="37"/>
      <c r="CKL74" s="37"/>
      <c r="CKM74" s="75"/>
      <c r="CKN74" s="37"/>
      <c r="CKO74" s="37"/>
      <c r="CKP74" s="37"/>
      <c r="CKQ74" s="37"/>
      <c r="CKR74" s="37"/>
      <c r="CKS74" s="138"/>
      <c r="CKT74" s="37"/>
      <c r="CKU74" s="37"/>
      <c r="CKV74" s="37"/>
      <c r="CKW74" s="37"/>
      <c r="CKX74" s="37"/>
      <c r="CKY74" s="75"/>
      <c r="CKZ74" s="37"/>
      <c r="CLA74" s="37"/>
      <c r="CLB74" s="37"/>
      <c r="CLC74" s="37"/>
      <c r="CLD74" s="37"/>
      <c r="CLE74" s="38"/>
      <c r="CLF74" s="36"/>
      <c r="CLG74" s="65"/>
      <c r="CLH74" s="65"/>
      <c r="CLI74" s="65"/>
      <c r="CLJ74" s="37"/>
      <c r="CLK74" s="133"/>
      <c r="CLL74" s="37"/>
      <c r="CLM74" s="37"/>
      <c r="CLN74" s="37"/>
      <c r="CLO74" s="37"/>
      <c r="CLP74" s="37"/>
      <c r="CLQ74" s="138"/>
      <c r="CLR74" s="37"/>
      <c r="CLS74" s="37"/>
      <c r="CLT74" s="37"/>
      <c r="CLU74" s="37"/>
      <c r="CLV74" s="37"/>
      <c r="CLW74" s="75"/>
      <c r="CLX74" s="37"/>
      <c r="CLY74" s="37"/>
      <c r="CLZ74" s="37"/>
      <c r="CMA74" s="37"/>
      <c r="CMB74" s="37"/>
      <c r="CMC74" s="138"/>
      <c r="CMD74" s="37"/>
      <c r="CME74" s="37"/>
      <c r="CMF74" s="37"/>
      <c r="CMG74" s="37"/>
      <c r="CMH74" s="37"/>
      <c r="CMI74" s="75"/>
      <c r="CMJ74" s="65"/>
      <c r="CMK74" s="65"/>
      <c r="CML74" s="65"/>
      <c r="CMM74" s="65"/>
      <c r="CMN74" s="37"/>
      <c r="CMO74" s="138"/>
      <c r="CMP74" s="37"/>
      <c r="CMQ74" s="37"/>
      <c r="CMR74" s="37"/>
      <c r="CMS74" s="37"/>
      <c r="CMT74" s="37"/>
      <c r="CMU74" s="75"/>
      <c r="CMV74" s="37"/>
      <c r="CMW74" s="37"/>
      <c r="CMX74" s="37"/>
      <c r="CMY74" s="37"/>
      <c r="CMZ74" s="37"/>
      <c r="CNA74" s="138"/>
      <c r="CNB74" s="37"/>
      <c r="CNC74" s="37"/>
      <c r="CND74" s="37"/>
      <c r="CNE74" s="37"/>
      <c r="CNF74" s="37"/>
      <c r="CNG74" s="75"/>
      <c r="CNH74" s="37"/>
      <c r="CNI74" s="37"/>
      <c r="CNJ74" s="37"/>
      <c r="CNK74" s="37"/>
      <c r="CNL74" s="37"/>
      <c r="CNM74" s="38"/>
      <c r="CNN74" s="36"/>
      <c r="CNO74" s="65"/>
      <c r="CNP74" s="65"/>
      <c r="CNQ74" s="65"/>
      <c r="CNR74" s="37"/>
      <c r="CNS74" s="133"/>
      <c r="CNT74" s="37"/>
      <c r="CNU74" s="37"/>
      <c r="CNV74" s="37"/>
      <c r="CNW74" s="37"/>
      <c r="CNX74" s="37"/>
      <c r="CNY74" s="138"/>
      <c r="CNZ74" s="37"/>
      <c r="COA74" s="37"/>
      <c r="COB74" s="37"/>
      <c r="COC74" s="37"/>
      <c r="COD74" s="37"/>
      <c r="COE74" s="75"/>
      <c r="COF74" s="37"/>
      <c r="COG74" s="37"/>
      <c r="COH74" s="37"/>
      <c r="COI74" s="37"/>
      <c r="COJ74" s="37"/>
      <c r="COK74" s="138"/>
      <c r="COL74" s="37"/>
      <c r="COM74" s="37"/>
      <c r="CON74" s="37"/>
      <c r="COO74" s="37"/>
      <c r="COP74" s="37"/>
      <c r="COQ74" s="75"/>
      <c r="COR74" s="65"/>
      <c r="COS74" s="65"/>
      <c r="COT74" s="65"/>
      <c r="COU74" s="65"/>
      <c r="COV74" s="37"/>
      <c r="COW74" s="138"/>
      <c r="COX74" s="37"/>
      <c r="COY74" s="37"/>
      <c r="COZ74" s="37"/>
      <c r="CPA74" s="37"/>
      <c r="CPB74" s="37"/>
      <c r="CPC74" s="75"/>
      <c r="CPD74" s="37"/>
      <c r="CPE74" s="37"/>
      <c r="CPF74" s="37"/>
      <c r="CPG74" s="37"/>
      <c r="CPH74" s="37"/>
      <c r="CPI74" s="138"/>
      <c r="CPJ74" s="37"/>
      <c r="CPK74" s="37"/>
      <c r="CPL74" s="37"/>
      <c r="CPM74" s="37"/>
      <c r="CPN74" s="37"/>
      <c r="CPO74" s="75"/>
      <c r="CPP74" s="37"/>
      <c r="CPQ74" s="37"/>
      <c r="CPR74" s="37"/>
      <c r="CPS74" s="37"/>
      <c r="CPT74" s="37"/>
      <c r="CPU74" s="38"/>
      <c r="CPV74" s="36"/>
      <c r="CPW74" s="65"/>
      <c r="CPX74" s="65"/>
      <c r="CPY74" s="65"/>
      <c r="CPZ74" s="37"/>
      <c r="CQA74" s="133"/>
      <c r="CQB74" s="37"/>
      <c r="CQC74" s="37"/>
      <c r="CQD74" s="37"/>
      <c r="CQE74" s="37"/>
      <c r="CQF74" s="37"/>
      <c r="CQG74" s="138"/>
      <c r="CQH74" s="37"/>
      <c r="CQI74" s="37"/>
      <c r="CQJ74" s="37"/>
      <c r="CQK74" s="37"/>
      <c r="CQL74" s="37"/>
      <c r="CQM74" s="75"/>
      <c r="CQN74" s="37"/>
      <c r="CQO74" s="37"/>
      <c r="CQP74" s="37"/>
      <c r="CQQ74" s="37"/>
      <c r="CQR74" s="37"/>
      <c r="CQS74" s="138"/>
      <c r="CQT74" s="37"/>
      <c r="CQU74" s="37"/>
      <c r="CQV74" s="37"/>
      <c r="CQW74" s="37"/>
      <c r="CQX74" s="37"/>
      <c r="CQY74" s="75"/>
      <c r="CQZ74" s="65"/>
      <c r="CRA74" s="65"/>
      <c r="CRB74" s="65"/>
      <c r="CRC74" s="65"/>
      <c r="CRD74" s="37"/>
      <c r="CRE74" s="138"/>
      <c r="CRF74" s="37"/>
      <c r="CRG74" s="37"/>
      <c r="CRH74" s="37"/>
      <c r="CRI74" s="37"/>
      <c r="CRJ74" s="37"/>
      <c r="CRK74" s="75"/>
      <c r="CRL74" s="37"/>
      <c r="CRM74" s="37"/>
      <c r="CRN74" s="37"/>
      <c r="CRO74" s="37"/>
      <c r="CRP74" s="37"/>
      <c r="CRQ74" s="138"/>
      <c r="CRR74" s="37"/>
      <c r="CRS74" s="37"/>
      <c r="CRT74" s="37"/>
      <c r="CRU74" s="37"/>
      <c r="CRV74" s="37"/>
      <c r="CRW74" s="75"/>
      <c r="CRX74" s="37"/>
      <c r="CRY74" s="37"/>
      <c r="CRZ74" s="37"/>
      <c r="CSA74" s="37"/>
      <c r="CSB74" s="37"/>
      <c r="CSC74" s="38"/>
      <c r="CSD74" s="90"/>
    </row>
    <row r="75" spans="1:2526" ht="20.100000000000001" customHeight="1" x14ac:dyDescent="0.25">
      <c r="A75" s="100" t="s">
        <v>18</v>
      </c>
      <c r="B75" s="63"/>
      <c r="C75" s="211"/>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32"/>
      <c r="BLW75" s="64"/>
      <c r="BLX75" s="64"/>
      <c r="BLY75" s="64"/>
      <c r="BLZ75" s="33"/>
      <c r="BMA75" s="132"/>
      <c r="BMB75" s="33"/>
      <c r="BMC75" s="33"/>
      <c r="BMD75" s="33"/>
      <c r="BME75" s="33"/>
      <c r="BMF75" s="33"/>
      <c r="BMG75" s="137"/>
      <c r="BMH75" s="33"/>
      <c r="BMI75" s="33"/>
      <c r="BMJ75" s="33"/>
      <c r="BMK75" s="33"/>
      <c r="BML75" s="33"/>
      <c r="BMM75" s="74"/>
      <c r="BMN75" s="33"/>
      <c r="BMO75" s="33"/>
      <c r="BMP75" s="33"/>
      <c r="BMQ75" s="33"/>
      <c r="BMR75" s="33"/>
      <c r="BMS75" s="137"/>
      <c r="BMT75" s="33"/>
      <c r="BMU75" s="33"/>
      <c r="BMV75" s="33"/>
      <c r="BMW75" s="33"/>
      <c r="BMX75" s="33"/>
      <c r="BMY75" s="74"/>
      <c r="BMZ75" s="64"/>
      <c r="BNA75" s="64"/>
      <c r="BNB75" s="64"/>
      <c r="BNC75" s="64"/>
      <c r="BND75" s="33"/>
      <c r="BNE75" s="137"/>
      <c r="BNF75" s="33"/>
      <c r="BNG75" s="33"/>
      <c r="BNH75" s="33"/>
      <c r="BNI75" s="33"/>
      <c r="BNJ75" s="33"/>
      <c r="BNK75" s="74"/>
      <c r="BNL75" s="33"/>
      <c r="BNM75" s="33"/>
      <c r="BNN75" s="33"/>
      <c r="BNO75" s="33"/>
      <c r="BNP75" s="33"/>
      <c r="BNQ75" s="137"/>
      <c r="BNR75" s="33"/>
      <c r="BNS75" s="33"/>
      <c r="BNT75" s="33"/>
      <c r="BNU75" s="33"/>
      <c r="BNV75" s="33"/>
      <c r="BNW75" s="74"/>
      <c r="BNX75" s="33"/>
      <c r="BNY75" s="33"/>
      <c r="BNZ75" s="33"/>
      <c r="BOA75" s="33"/>
      <c r="BOB75" s="33"/>
      <c r="BOC75" s="34"/>
      <c r="BOD75" s="32"/>
      <c r="BOE75" s="64"/>
      <c r="BOF75" s="64"/>
      <c r="BOG75" s="64"/>
      <c r="BOH75" s="33"/>
      <c r="BOI75" s="132"/>
      <c r="BOJ75" s="33"/>
      <c r="BOK75" s="33"/>
      <c r="BOL75" s="33"/>
      <c r="BOM75" s="33"/>
      <c r="BON75" s="33"/>
      <c r="BOO75" s="137"/>
      <c r="BOP75" s="33"/>
      <c r="BOQ75" s="33"/>
      <c r="BOR75" s="33"/>
      <c r="BOS75" s="33"/>
      <c r="BOT75" s="33"/>
      <c r="BOU75" s="74"/>
      <c r="BOV75" s="33"/>
      <c r="BOW75" s="33"/>
      <c r="BOX75" s="33"/>
      <c r="BOY75" s="33"/>
      <c r="BOZ75" s="33"/>
      <c r="BPA75" s="137"/>
      <c r="BPB75" s="33"/>
      <c r="BPC75" s="33"/>
      <c r="BPD75" s="33"/>
      <c r="BPE75" s="33"/>
      <c r="BPF75" s="33"/>
      <c r="BPG75" s="74"/>
      <c r="BPH75" s="64"/>
      <c r="BPI75" s="64"/>
      <c r="BPJ75" s="64"/>
      <c r="BPK75" s="64"/>
      <c r="BPL75" s="33"/>
      <c r="BPM75" s="137"/>
      <c r="BPN75" s="33"/>
      <c r="BPO75" s="33"/>
      <c r="BPP75" s="33"/>
      <c r="BPQ75" s="33"/>
      <c r="BPR75" s="33"/>
      <c r="BPS75" s="74"/>
      <c r="BPT75" s="33"/>
      <c r="BPU75" s="33"/>
      <c r="BPV75" s="33"/>
      <c r="BPW75" s="33"/>
      <c r="BPX75" s="33"/>
      <c r="BPY75" s="137"/>
      <c r="BPZ75" s="33"/>
      <c r="BQA75" s="33"/>
      <c r="BQB75" s="33"/>
      <c r="BQC75" s="33"/>
      <c r="BQD75" s="33"/>
      <c r="BQE75" s="74"/>
      <c r="BQF75" s="33"/>
      <c r="BQG75" s="33"/>
      <c r="BQH75" s="33"/>
      <c r="BQI75" s="33"/>
      <c r="BQJ75" s="33"/>
      <c r="BQK75" s="34"/>
      <c r="BQL75" s="32"/>
      <c r="BQM75" s="64"/>
      <c r="BQN75" s="64"/>
      <c r="BQO75" s="64"/>
      <c r="BQP75" s="33"/>
      <c r="BQQ75" s="132"/>
      <c r="BQR75" s="33"/>
      <c r="BQS75" s="33"/>
      <c r="BQT75" s="33"/>
      <c r="BQU75" s="33"/>
      <c r="BQV75" s="33"/>
      <c r="BQW75" s="137"/>
      <c r="BQX75" s="33"/>
      <c r="BQY75" s="33"/>
      <c r="BQZ75" s="33"/>
      <c r="BRA75" s="33"/>
      <c r="BRB75" s="33"/>
      <c r="BRC75" s="74"/>
      <c r="BRD75" s="33"/>
      <c r="BRE75" s="33"/>
      <c r="BRF75" s="33"/>
      <c r="BRG75" s="33"/>
      <c r="BRH75" s="33"/>
      <c r="BRI75" s="137"/>
      <c r="BRJ75" s="33"/>
      <c r="BRK75" s="33"/>
      <c r="BRL75" s="33"/>
      <c r="BRM75" s="33"/>
      <c r="BRN75" s="33"/>
      <c r="BRO75" s="74"/>
      <c r="BRP75" s="64"/>
      <c r="BRQ75" s="64"/>
      <c r="BRR75" s="64"/>
      <c r="BRS75" s="64"/>
      <c r="BRT75" s="33"/>
      <c r="BRU75" s="137"/>
      <c r="BRV75" s="33"/>
      <c r="BRW75" s="33"/>
      <c r="BRX75" s="33"/>
      <c r="BRY75" s="33"/>
      <c r="BRZ75" s="33"/>
      <c r="BSA75" s="74"/>
      <c r="BSB75" s="33"/>
      <c r="BSC75" s="33"/>
      <c r="BSD75" s="33"/>
      <c r="BSE75" s="33"/>
      <c r="BSF75" s="33"/>
      <c r="BSG75" s="137"/>
      <c r="BSH75" s="33"/>
      <c r="BSI75" s="33"/>
      <c r="BSJ75" s="33"/>
      <c r="BSK75" s="33"/>
      <c r="BSL75" s="33"/>
      <c r="BSM75" s="74"/>
      <c r="BSN75" s="33"/>
      <c r="BSO75" s="33"/>
      <c r="BSP75" s="33"/>
      <c r="BSQ75" s="33"/>
      <c r="BSR75" s="33"/>
      <c r="BSS75" s="34"/>
      <c r="BST75" s="32"/>
      <c r="BSU75" s="64"/>
      <c r="BSV75" s="64"/>
      <c r="BSW75" s="64"/>
      <c r="BSX75" s="33"/>
      <c r="BSY75" s="132"/>
      <c r="BSZ75" s="33"/>
      <c r="BTA75" s="33"/>
      <c r="BTB75" s="33"/>
      <c r="BTC75" s="33"/>
      <c r="BTD75" s="33"/>
      <c r="BTE75" s="137"/>
      <c r="BTF75" s="33"/>
      <c r="BTG75" s="33"/>
      <c r="BTH75" s="33"/>
      <c r="BTI75" s="33"/>
      <c r="BTJ75" s="33"/>
      <c r="BTK75" s="74"/>
      <c r="BTL75" s="33"/>
      <c r="BTM75" s="33"/>
      <c r="BTN75" s="33"/>
      <c r="BTO75" s="33"/>
      <c r="BTP75" s="33"/>
      <c r="BTQ75" s="137"/>
      <c r="BTR75" s="33"/>
      <c r="BTS75" s="33"/>
      <c r="BTT75" s="33"/>
      <c r="BTU75" s="33"/>
      <c r="BTV75" s="33"/>
      <c r="BTW75" s="74"/>
      <c r="BTX75" s="64"/>
      <c r="BTY75" s="64"/>
      <c r="BTZ75" s="64"/>
      <c r="BUA75" s="64"/>
      <c r="BUB75" s="33"/>
      <c r="BUC75" s="137"/>
      <c r="BUD75" s="33"/>
      <c r="BUE75" s="33"/>
      <c r="BUF75" s="33"/>
      <c r="BUG75" s="33"/>
      <c r="BUH75" s="33"/>
      <c r="BUI75" s="74"/>
      <c r="BUJ75" s="33"/>
      <c r="BUK75" s="33"/>
      <c r="BUL75" s="33"/>
      <c r="BUM75" s="33"/>
      <c r="BUN75" s="33"/>
      <c r="BUO75" s="137"/>
      <c r="BUP75" s="33"/>
      <c r="BUQ75" s="33"/>
      <c r="BUR75" s="33"/>
      <c r="BUS75" s="33"/>
      <c r="BUT75" s="33"/>
      <c r="BUU75" s="74"/>
      <c r="BUV75" s="33"/>
      <c r="BUW75" s="33"/>
      <c r="BUX75" s="33"/>
      <c r="BUY75" s="33"/>
      <c r="BUZ75" s="33"/>
      <c r="BVA75" s="34"/>
      <c r="BVB75" s="32"/>
      <c r="BVC75" s="64"/>
      <c r="BVD75" s="64"/>
      <c r="BVE75" s="64"/>
      <c r="BVF75" s="33"/>
      <c r="BVG75" s="132"/>
      <c r="BVH75" s="33"/>
      <c r="BVI75" s="33"/>
      <c r="BVJ75" s="33"/>
      <c r="BVK75" s="33"/>
      <c r="BVL75" s="33"/>
      <c r="BVM75" s="137"/>
      <c r="BVN75" s="33"/>
      <c r="BVO75" s="33"/>
      <c r="BVP75" s="33"/>
      <c r="BVQ75" s="33"/>
      <c r="BVR75" s="33"/>
      <c r="BVS75" s="74"/>
      <c r="BVT75" s="33"/>
      <c r="BVU75" s="33"/>
      <c r="BVV75" s="33"/>
      <c r="BVW75" s="33"/>
      <c r="BVX75" s="33"/>
      <c r="BVY75" s="137"/>
      <c r="BVZ75" s="33"/>
      <c r="BWA75" s="33"/>
      <c r="BWB75" s="33"/>
      <c r="BWC75" s="33"/>
      <c r="BWD75" s="33"/>
      <c r="BWE75" s="74"/>
      <c r="BWF75" s="64"/>
      <c r="BWG75" s="64"/>
      <c r="BWH75" s="64"/>
      <c r="BWI75" s="64"/>
      <c r="BWJ75" s="33"/>
      <c r="BWK75" s="137"/>
      <c r="BWL75" s="33"/>
      <c r="BWM75" s="33"/>
      <c r="BWN75" s="33"/>
      <c r="BWO75" s="33"/>
      <c r="BWP75" s="33"/>
      <c r="BWQ75" s="74"/>
      <c r="BWR75" s="33"/>
      <c r="BWS75" s="33"/>
      <c r="BWT75" s="33"/>
      <c r="BWU75" s="33"/>
      <c r="BWV75" s="33"/>
      <c r="BWW75" s="137"/>
      <c r="BWX75" s="33"/>
      <c r="BWY75" s="33"/>
      <c r="BWZ75" s="33"/>
      <c r="BXA75" s="33"/>
      <c r="BXB75" s="33"/>
      <c r="BXC75" s="74"/>
      <c r="BXD75" s="33"/>
      <c r="BXE75" s="33"/>
      <c r="BXF75" s="33"/>
      <c r="BXG75" s="33"/>
      <c r="BXH75" s="33"/>
      <c r="BXI75" s="34"/>
      <c r="BXJ75" s="32"/>
      <c r="BXK75" s="64"/>
      <c r="BXL75" s="64"/>
      <c r="BXM75" s="64"/>
      <c r="BXN75" s="33"/>
      <c r="BXO75" s="132"/>
      <c r="BXP75" s="33"/>
      <c r="BXQ75" s="33"/>
      <c r="BXR75" s="33"/>
      <c r="BXS75" s="33"/>
      <c r="BXT75" s="33"/>
      <c r="BXU75" s="137"/>
      <c r="BXV75" s="33"/>
      <c r="BXW75" s="33"/>
      <c r="BXX75" s="33"/>
      <c r="BXY75" s="33"/>
      <c r="BXZ75" s="33"/>
      <c r="BYA75" s="74"/>
      <c r="BYB75" s="33"/>
      <c r="BYC75" s="33"/>
      <c r="BYD75" s="33"/>
      <c r="BYE75" s="33"/>
      <c r="BYF75" s="33"/>
      <c r="BYG75" s="137"/>
      <c r="BYH75" s="33"/>
      <c r="BYI75" s="33"/>
      <c r="BYJ75" s="33"/>
      <c r="BYK75" s="33"/>
      <c r="BYL75" s="33"/>
      <c r="BYM75" s="74"/>
      <c r="BYN75" s="64"/>
      <c r="BYO75" s="64"/>
      <c r="BYP75" s="64"/>
      <c r="BYQ75" s="64"/>
      <c r="BYR75" s="33"/>
      <c r="BYS75" s="137"/>
      <c r="BYT75" s="33"/>
      <c r="BYU75" s="33"/>
      <c r="BYV75" s="33"/>
      <c r="BYW75" s="33"/>
      <c r="BYX75" s="33"/>
      <c r="BYY75" s="74"/>
      <c r="BYZ75" s="33"/>
      <c r="BZA75" s="33"/>
      <c r="BZB75" s="33"/>
      <c r="BZC75" s="33"/>
      <c r="BZD75" s="33"/>
      <c r="BZE75" s="137"/>
      <c r="BZF75" s="33"/>
      <c r="BZG75" s="33"/>
      <c r="BZH75" s="33"/>
      <c r="BZI75" s="33"/>
      <c r="BZJ75" s="33"/>
      <c r="BZK75" s="74"/>
      <c r="BZL75" s="33"/>
      <c r="BZM75" s="33"/>
      <c r="BZN75" s="33"/>
      <c r="BZO75" s="33"/>
      <c r="BZP75" s="33"/>
      <c r="BZQ75" s="34"/>
      <c r="BZR75" s="32"/>
      <c r="BZS75" s="64"/>
      <c r="BZT75" s="64"/>
      <c r="BZU75" s="64"/>
      <c r="BZV75" s="33"/>
      <c r="BZW75" s="132"/>
      <c r="BZX75" s="33"/>
      <c r="BZY75" s="33"/>
      <c r="BZZ75" s="33"/>
      <c r="CAA75" s="33"/>
      <c r="CAB75" s="33"/>
      <c r="CAC75" s="137"/>
      <c r="CAD75" s="33"/>
      <c r="CAE75" s="33"/>
      <c r="CAF75" s="33"/>
      <c r="CAG75" s="33"/>
      <c r="CAH75" s="33"/>
      <c r="CAI75" s="74"/>
      <c r="CAJ75" s="33"/>
      <c r="CAK75" s="33"/>
      <c r="CAL75" s="33"/>
      <c r="CAM75" s="33"/>
      <c r="CAN75" s="33"/>
      <c r="CAO75" s="137"/>
      <c r="CAP75" s="33"/>
      <c r="CAQ75" s="33"/>
      <c r="CAR75" s="33"/>
      <c r="CAS75" s="33"/>
      <c r="CAT75" s="33"/>
      <c r="CAU75" s="74"/>
      <c r="CAV75" s="64"/>
      <c r="CAW75" s="64"/>
      <c r="CAX75" s="64"/>
      <c r="CAY75" s="64"/>
      <c r="CAZ75" s="33"/>
      <c r="CBA75" s="137"/>
      <c r="CBB75" s="33"/>
      <c r="CBC75" s="33"/>
      <c r="CBD75" s="33"/>
      <c r="CBE75" s="33"/>
      <c r="CBF75" s="33"/>
      <c r="CBG75" s="74"/>
      <c r="CBH75" s="33"/>
      <c r="CBI75" s="33"/>
      <c r="CBJ75" s="33"/>
      <c r="CBK75" s="33"/>
      <c r="CBL75" s="33"/>
      <c r="CBM75" s="137"/>
      <c r="CBN75" s="33"/>
      <c r="CBO75" s="33"/>
      <c r="CBP75" s="33"/>
      <c r="CBQ75" s="33"/>
      <c r="CBR75" s="33"/>
      <c r="CBS75" s="74"/>
      <c r="CBT75" s="33"/>
      <c r="CBU75" s="33"/>
      <c r="CBV75" s="33"/>
      <c r="CBW75" s="33"/>
      <c r="CBX75" s="33"/>
      <c r="CBY75" s="34"/>
      <c r="CBZ75" s="32"/>
      <c r="CCA75" s="64"/>
      <c r="CCB75" s="64"/>
      <c r="CCC75" s="64"/>
      <c r="CCD75" s="33"/>
      <c r="CCE75" s="132"/>
      <c r="CCF75" s="33"/>
      <c r="CCG75" s="33"/>
      <c r="CCH75" s="33"/>
      <c r="CCI75" s="33"/>
      <c r="CCJ75" s="33"/>
      <c r="CCK75" s="137"/>
      <c r="CCL75" s="33"/>
      <c r="CCM75" s="33"/>
      <c r="CCN75" s="33"/>
      <c r="CCO75" s="33"/>
      <c r="CCP75" s="33"/>
      <c r="CCQ75" s="74"/>
      <c r="CCR75" s="33"/>
      <c r="CCS75" s="33"/>
      <c r="CCT75" s="33"/>
      <c r="CCU75" s="33"/>
      <c r="CCV75" s="33"/>
      <c r="CCW75" s="137"/>
      <c r="CCX75" s="33"/>
      <c r="CCY75" s="33"/>
      <c r="CCZ75" s="33"/>
      <c r="CDA75" s="33"/>
      <c r="CDB75" s="33"/>
      <c r="CDC75" s="74"/>
      <c r="CDD75" s="64"/>
      <c r="CDE75" s="64"/>
      <c r="CDF75" s="64"/>
      <c r="CDG75" s="64"/>
      <c r="CDH75" s="33"/>
      <c r="CDI75" s="137"/>
      <c r="CDJ75" s="33"/>
      <c r="CDK75" s="33"/>
      <c r="CDL75" s="33"/>
      <c r="CDM75" s="33"/>
      <c r="CDN75" s="33"/>
      <c r="CDO75" s="74"/>
      <c r="CDP75" s="33"/>
      <c r="CDQ75" s="33"/>
      <c r="CDR75" s="33"/>
      <c r="CDS75" s="33"/>
      <c r="CDT75" s="33"/>
      <c r="CDU75" s="137"/>
      <c r="CDV75" s="33"/>
      <c r="CDW75" s="33"/>
      <c r="CDX75" s="33"/>
      <c r="CDY75" s="33"/>
      <c r="CDZ75" s="33"/>
      <c r="CEA75" s="74"/>
      <c r="CEB75" s="33"/>
      <c r="CEC75" s="33"/>
      <c r="CED75" s="33"/>
      <c r="CEE75" s="33"/>
      <c r="CEF75" s="33"/>
      <c r="CEG75" s="34"/>
      <c r="CEH75" s="32"/>
      <c r="CEI75" s="64"/>
      <c r="CEJ75" s="64"/>
      <c r="CEK75" s="64"/>
      <c r="CEL75" s="33"/>
      <c r="CEM75" s="132"/>
      <c r="CEN75" s="33"/>
      <c r="CEO75" s="33"/>
      <c r="CEP75" s="33"/>
      <c r="CEQ75" s="33"/>
      <c r="CER75" s="33"/>
      <c r="CES75" s="137"/>
      <c r="CET75" s="33"/>
      <c r="CEU75" s="33"/>
      <c r="CEV75" s="33"/>
      <c r="CEW75" s="33"/>
      <c r="CEX75" s="33"/>
      <c r="CEY75" s="74"/>
      <c r="CEZ75" s="33"/>
      <c r="CFA75" s="33"/>
      <c r="CFB75" s="33"/>
      <c r="CFC75" s="33"/>
      <c r="CFD75" s="33"/>
      <c r="CFE75" s="137"/>
      <c r="CFF75" s="33"/>
      <c r="CFG75" s="33"/>
      <c r="CFH75" s="33"/>
      <c r="CFI75" s="33"/>
      <c r="CFJ75" s="33"/>
      <c r="CFK75" s="74"/>
      <c r="CFL75" s="64"/>
      <c r="CFM75" s="64"/>
      <c r="CFN75" s="64"/>
      <c r="CFO75" s="64"/>
      <c r="CFP75" s="33"/>
      <c r="CFQ75" s="137"/>
      <c r="CFR75" s="33"/>
      <c r="CFS75" s="33"/>
      <c r="CFT75" s="33"/>
      <c r="CFU75" s="33"/>
      <c r="CFV75" s="33"/>
      <c r="CFW75" s="74"/>
      <c r="CFX75" s="33"/>
      <c r="CFY75" s="33"/>
      <c r="CFZ75" s="33"/>
      <c r="CGA75" s="33"/>
      <c r="CGB75" s="33"/>
      <c r="CGC75" s="137"/>
      <c r="CGD75" s="33"/>
      <c r="CGE75" s="33"/>
      <c r="CGF75" s="33"/>
      <c r="CGG75" s="33"/>
      <c r="CGH75" s="33"/>
      <c r="CGI75" s="74"/>
      <c r="CGJ75" s="33"/>
      <c r="CGK75" s="33"/>
      <c r="CGL75" s="33"/>
      <c r="CGM75" s="33"/>
      <c r="CGN75" s="33"/>
      <c r="CGO75" s="34"/>
      <c r="CGP75" s="32"/>
      <c r="CGQ75" s="64"/>
      <c r="CGR75" s="64"/>
      <c r="CGS75" s="64"/>
      <c r="CGT75" s="33"/>
      <c r="CGU75" s="132"/>
      <c r="CGV75" s="33"/>
      <c r="CGW75" s="33"/>
      <c r="CGX75" s="33"/>
      <c r="CGY75" s="33"/>
      <c r="CGZ75" s="33"/>
      <c r="CHA75" s="137"/>
      <c r="CHB75" s="33"/>
      <c r="CHC75" s="33"/>
      <c r="CHD75" s="33"/>
      <c r="CHE75" s="33"/>
      <c r="CHF75" s="33"/>
      <c r="CHG75" s="74"/>
      <c r="CHH75" s="33"/>
      <c r="CHI75" s="33"/>
      <c r="CHJ75" s="33"/>
      <c r="CHK75" s="33"/>
      <c r="CHL75" s="33"/>
      <c r="CHM75" s="137"/>
      <c r="CHN75" s="33"/>
      <c r="CHO75" s="33"/>
      <c r="CHP75" s="33"/>
      <c r="CHQ75" s="33"/>
      <c r="CHR75" s="33"/>
      <c r="CHS75" s="74"/>
      <c r="CHT75" s="64"/>
      <c r="CHU75" s="64"/>
      <c r="CHV75" s="64"/>
      <c r="CHW75" s="64"/>
      <c r="CHX75" s="33"/>
      <c r="CHY75" s="137"/>
      <c r="CHZ75" s="33"/>
      <c r="CIA75" s="33"/>
      <c r="CIB75" s="33"/>
      <c r="CIC75" s="33"/>
      <c r="CID75" s="33"/>
      <c r="CIE75" s="74"/>
      <c r="CIF75" s="33"/>
      <c r="CIG75" s="33"/>
      <c r="CIH75" s="33"/>
      <c r="CII75" s="33"/>
      <c r="CIJ75" s="33"/>
      <c r="CIK75" s="137"/>
      <c r="CIL75" s="33"/>
      <c r="CIM75" s="33"/>
      <c r="CIN75" s="33"/>
      <c r="CIO75" s="33"/>
      <c r="CIP75" s="33"/>
      <c r="CIQ75" s="74"/>
      <c r="CIR75" s="33"/>
      <c r="CIS75" s="33"/>
      <c r="CIT75" s="33"/>
      <c r="CIU75" s="33"/>
      <c r="CIV75" s="33"/>
      <c r="CIW75" s="34"/>
      <c r="CIX75" s="32"/>
      <c r="CIY75" s="64"/>
      <c r="CIZ75" s="64"/>
      <c r="CJA75" s="64"/>
      <c r="CJB75" s="33"/>
      <c r="CJC75" s="132"/>
      <c r="CJD75" s="33"/>
      <c r="CJE75" s="33"/>
      <c r="CJF75" s="33"/>
      <c r="CJG75" s="33"/>
      <c r="CJH75" s="33"/>
      <c r="CJI75" s="137"/>
      <c r="CJJ75" s="33"/>
      <c r="CJK75" s="33"/>
      <c r="CJL75" s="33"/>
      <c r="CJM75" s="33"/>
      <c r="CJN75" s="33"/>
      <c r="CJO75" s="74"/>
      <c r="CJP75" s="33"/>
      <c r="CJQ75" s="33"/>
      <c r="CJR75" s="33"/>
      <c r="CJS75" s="33"/>
      <c r="CJT75" s="33"/>
      <c r="CJU75" s="137"/>
      <c r="CJV75" s="33"/>
      <c r="CJW75" s="33"/>
      <c r="CJX75" s="33"/>
      <c r="CJY75" s="33"/>
      <c r="CJZ75" s="33"/>
      <c r="CKA75" s="74"/>
      <c r="CKB75" s="64"/>
      <c r="CKC75" s="64"/>
      <c r="CKD75" s="64"/>
      <c r="CKE75" s="64"/>
      <c r="CKF75" s="33"/>
      <c r="CKG75" s="137"/>
      <c r="CKH75" s="33"/>
      <c r="CKI75" s="33"/>
      <c r="CKJ75" s="33"/>
      <c r="CKK75" s="33"/>
      <c r="CKL75" s="33"/>
      <c r="CKM75" s="74"/>
      <c r="CKN75" s="33"/>
      <c r="CKO75" s="33"/>
      <c r="CKP75" s="33"/>
      <c r="CKQ75" s="33"/>
      <c r="CKR75" s="33"/>
      <c r="CKS75" s="137"/>
      <c r="CKT75" s="33"/>
      <c r="CKU75" s="33"/>
      <c r="CKV75" s="33"/>
      <c r="CKW75" s="33"/>
      <c r="CKX75" s="33"/>
      <c r="CKY75" s="74"/>
      <c r="CKZ75" s="33"/>
      <c r="CLA75" s="33"/>
      <c r="CLB75" s="33"/>
      <c r="CLC75" s="33"/>
      <c r="CLD75" s="33"/>
      <c r="CLE75" s="34"/>
      <c r="CLF75" s="32"/>
      <c r="CLG75" s="64"/>
      <c r="CLH75" s="64"/>
      <c r="CLI75" s="64"/>
      <c r="CLJ75" s="33"/>
      <c r="CLK75" s="132"/>
      <c r="CLL75" s="33"/>
      <c r="CLM75" s="33"/>
      <c r="CLN75" s="33"/>
      <c r="CLO75" s="33"/>
      <c r="CLP75" s="33"/>
      <c r="CLQ75" s="137"/>
      <c r="CLR75" s="33"/>
      <c r="CLS75" s="33"/>
      <c r="CLT75" s="33"/>
      <c r="CLU75" s="33"/>
      <c r="CLV75" s="33"/>
      <c r="CLW75" s="74"/>
      <c r="CLX75" s="33"/>
      <c r="CLY75" s="33"/>
      <c r="CLZ75" s="33"/>
      <c r="CMA75" s="33"/>
      <c r="CMB75" s="33"/>
      <c r="CMC75" s="137"/>
      <c r="CMD75" s="33"/>
      <c r="CME75" s="33"/>
      <c r="CMF75" s="33"/>
      <c r="CMG75" s="33"/>
      <c r="CMH75" s="33"/>
      <c r="CMI75" s="74"/>
      <c r="CMJ75" s="64"/>
      <c r="CMK75" s="64"/>
      <c r="CML75" s="64"/>
      <c r="CMM75" s="64"/>
      <c r="CMN75" s="33"/>
      <c r="CMO75" s="137"/>
      <c r="CMP75" s="33"/>
      <c r="CMQ75" s="33"/>
      <c r="CMR75" s="33"/>
      <c r="CMS75" s="33"/>
      <c r="CMT75" s="33"/>
      <c r="CMU75" s="74"/>
      <c r="CMV75" s="33"/>
      <c r="CMW75" s="33"/>
      <c r="CMX75" s="33"/>
      <c r="CMY75" s="33"/>
      <c r="CMZ75" s="33"/>
      <c r="CNA75" s="137"/>
      <c r="CNB75" s="33"/>
      <c r="CNC75" s="33"/>
      <c r="CND75" s="33"/>
      <c r="CNE75" s="33"/>
      <c r="CNF75" s="33"/>
      <c r="CNG75" s="74"/>
      <c r="CNH75" s="33"/>
      <c r="CNI75" s="33"/>
      <c r="CNJ75" s="33"/>
      <c r="CNK75" s="33"/>
      <c r="CNL75" s="33"/>
      <c r="CNM75" s="34"/>
      <c r="CNN75" s="32"/>
      <c r="CNO75" s="64"/>
      <c r="CNP75" s="64"/>
      <c r="CNQ75" s="64"/>
      <c r="CNR75" s="33"/>
      <c r="CNS75" s="132"/>
      <c r="CNT75" s="33"/>
      <c r="CNU75" s="33"/>
      <c r="CNV75" s="33"/>
      <c r="CNW75" s="33"/>
      <c r="CNX75" s="33"/>
      <c r="CNY75" s="137"/>
      <c r="CNZ75" s="33"/>
      <c r="COA75" s="33"/>
      <c r="COB75" s="33"/>
      <c r="COC75" s="33"/>
      <c r="COD75" s="33"/>
      <c r="COE75" s="74"/>
      <c r="COF75" s="33"/>
      <c r="COG75" s="33"/>
      <c r="COH75" s="33"/>
      <c r="COI75" s="33"/>
      <c r="COJ75" s="33"/>
      <c r="COK75" s="137"/>
      <c r="COL75" s="33"/>
      <c r="COM75" s="33"/>
      <c r="CON75" s="33"/>
      <c r="COO75" s="33"/>
      <c r="COP75" s="33"/>
      <c r="COQ75" s="74"/>
      <c r="COR75" s="64"/>
      <c r="COS75" s="64"/>
      <c r="COT75" s="64"/>
      <c r="COU75" s="64"/>
      <c r="COV75" s="33"/>
      <c r="COW75" s="137"/>
      <c r="COX75" s="33"/>
      <c r="COY75" s="33"/>
      <c r="COZ75" s="33"/>
      <c r="CPA75" s="33"/>
      <c r="CPB75" s="33"/>
      <c r="CPC75" s="74"/>
      <c r="CPD75" s="33"/>
      <c r="CPE75" s="33"/>
      <c r="CPF75" s="33"/>
      <c r="CPG75" s="33"/>
      <c r="CPH75" s="33"/>
      <c r="CPI75" s="137"/>
      <c r="CPJ75" s="33"/>
      <c r="CPK75" s="33"/>
      <c r="CPL75" s="33"/>
      <c r="CPM75" s="33"/>
      <c r="CPN75" s="33"/>
      <c r="CPO75" s="74"/>
      <c r="CPP75" s="33"/>
      <c r="CPQ75" s="33"/>
      <c r="CPR75" s="33"/>
      <c r="CPS75" s="33"/>
      <c r="CPT75" s="33"/>
      <c r="CPU75" s="34"/>
      <c r="CPV75" s="32"/>
      <c r="CPW75" s="64"/>
      <c r="CPX75" s="64"/>
      <c r="CPY75" s="64"/>
      <c r="CPZ75" s="33"/>
      <c r="CQA75" s="132"/>
      <c r="CQB75" s="33"/>
      <c r="CQC75" s="33"/>
      <c r="CQD75" s="33"/>
      <c r="CQE75" s="33"/>
      <c r="CQF75" s="33"/>
      <c r="CQG75" s="137"/>
      <c r="CQH75" s="33"/>
      <c r="CQI75" s="33"/>
      <c r="CQJ75" s="33"/>
      <c r="CQK75" s="33"/>
      <c r="CQL75" s="33"/>
      <c r="CQM75" s="74"/>
      <c r="CQN75" s="33"/>
      <c r="CQO75" s="33"/>
      <c r="CQP75" s="33"/>
      <c r="CQQ75" s="33"/>
      <c r="CQR75" s="33"/>
      <c r="CQS75" s="137"/>
      <c r="CQT75" s="33"/>
      <c r="CQU75" s="33"/>
      <c r="CQV75" s="33"/>
      <c r="CQW75" s="33"/>
      <c r="CQX75" s="33"/>
      <c r="CQY75" s="74"/>
      <c r="CQZ75" s="64"/>
      <c r="CRA75" s="64"/>
      <c r="CRB75" s="64"/>
      <c r="CRC75" s="64"/>
      <c r="CRD75" s="33"/>
      <c r="CRE75" s="137"/>
      <c r="CRF75" s="33"/>
      <c r="CRG75" s="33"/>
      <c r="CRH75" s="33"/>
      <c r="CRI75" s="33"/>
      <c r="CRJ75" s="33"/>
      <c r="CRK75" s="74"/>
      <c r="CRL75" s="33"/>
      <c r="CRM75" s="33"/>
      <c r="CRN75" s="33"/>
      <c r="CRO75" s="33"/>
      <c r="CRP75" s="33"/>
      <c r="CRQ75" s="137"/>
      <c r="CRR75" s="33"/>
      <c r="CRS75" s="33"/>
      <c r="CRT75" s="33"/>
      <c r="CRU75" s="33"/>
      <c r="CRV75" s="33"/>
      <c r="CRW75" s="74"/>
      <c r="CRX75" s="33"/>
      <c r="CRY75" s="33"/>
      <c r="CRZ75" s="33"/>
      <c r="CSA75" s="33"/>
      <c r="CSB75" s="33"/>
      <c r="CSC75" s="34"/>
      <c r="CSD75" s="90"/>
    </row>
    <row r="76" spans="1:2526" ht="20.100000000000001" customHeight="1" x14ac:dyDescent="0.3">
      <c r="A76" s="100" t="s">
        <v>19</v>
      </c>
      <c r="B76" s="63"/>
      <c r="C76" s="212"/>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36"/>
      <c r="BLW76" s="65"/>
      <c r="BLX76" s="65"/>
      <c r="BLY76" s="65"/>
      <c r="BLZ76" s="37"/>
      <c r="BMA76" s="133"/>
      <c r="BMB76" s="37"/>
      <c r="BMC76" s="37"/>
      <c r="BMD76" s="37"/>
      <c r="BME76" s="37"/>
      <c r="BMF76" s="37"/>
      <c r="BMG76" s="138"/>
      <c r="BMH76" s="37"/>
      <c r="BMI76" s="37"/>
      <c r="BMJ76" s="37"/>
      <c r="BMK76" s="37"/>
      <c r="BML76" s="37"/>
      <c r="BMM76" s="75"/>
      <c r="BMN76" s="37"/>
      <c r="BMO76" s="37"/>
      <c r="BMP76" s="37"/>
      <c r="BMQ76" s="37"/>
      <c r="BMR76" s="37"/>
      <c r="BMS76" s="138"/>
      <c r="BMT76" s="37"/>
      <c r="BMU76" s="37"/>
      <c r="BMV76" s="37"/>
      <c r="BMW76" s="37"/>
      <c r="BMX76" s="37"/>
      <c r="BMY76" s="75"/>
      <c r="BMZ76" s="65"/>
      <c r="BNA76" s="65"/>
      <c r="BNB76" s="65"/>
      <c r="BNC76" s="65"/>
      <c r="BND76" s="37"/>
      <c r="BNE76" s="138"/>
      <c r="BNF76" s="37"/>
      <c r="BNG76" s="37"/>
      <c r="BNH76" s="37"/>
      <c r="BNI76" s="37"/>
      <c r="BNJ76" s="37"/>
      <c r="BNK76" s="75"/>
      <c r="BNL76" s="37"/>
      <c r="BNM76" s="37"/>
      <c r="BNN76" s="37"/>
      <c r="BNO76" s="37"/>
      <c r="BNP76" s="37"/>
      <c r="BNQ76" s="138"/>
      <c r="BNR76" s="37"/>
      <c r="BNS76" s="37"/>
      <c r="BNT76" s="37"/>
      <c r="BNU76" s="37"/>
      <c r="BNV76" s="37"/>
      <c r="BNW76" s="75"/>
      <c r="BNX76" s="37"/>
      <c r="BNY76" s="37"/>
      <c r="BNZ76" s="37"/>
      <c r="BOA76" s="37"/>
      <c r="BOB76" s="37"/>
      <c r="BOC76" s="38"/>
      <c r="BOD76" s="36"/>
      <c r="BOE76" s="65"/>
      <c r="BOF76" s="65"/>
      <c r="BOG76" s="65"/>
      <c r="BOH76" s="37"/>
      <c r="BOI76" s="133"/>
      <c r="BOJ76" s="37"/>
      <c r="BOK76" s="37"/>
      <c r="BOL76" s="37"/>
      <c r="BOM76" s="37"/>
      <c r="BON76" s="37"/>
      <c r="BOO76" s="138"/>
      <c r="BOP76" s="37"/>
      <c r="BOQ76" s="37"/>
      <c r="BOR76" s="37"/>
      <c r="BOS76" s="37"/>
      <c r="BOT76" s="37"/>
      <c r="BOU76" s="75"/>
      <c r="BOV76" s="37"/>
      <c r="BOW76" s="37"/>
      <c r="BOX76" s="37"/>
      <c r="BOY76" s="37"/>
      <c r="BOZ76" s="37"/>
      <c r="BPA76" s="138"/>
      <c r="BPB76" s="37"/>
      <c r="BPC76" s="37"/>
      <c r="BPD76" s="37"/>
      <c r="BPE76" s="37"/>
      <c r="BPF76" s="37"/>
      <c r="BPG76" s="75"/>
      <c r="BPH76" s="65"/>
      <c r="BPI76" s="65"/>
      <c r="BPJ76" s="65"/>
      <c r="BPK76" s="65"/>
      <c r="BPL76" s="37"/>
      <c r="BPM76" s="138"/>
      <c r="BPN76" s="37"/>
      <c r="BPO76" s="37"/>
      <c r="BPP76" s="37"/>
      <c r="BPQ76" s="37"/>
      <c r="BPR76" s="37"/>
      <c r="BPS76" s="75"/>
      <c r="BPT76" s="37"/>
      <c r="BPU76" s="37"/>
      <c r="BPV76" s="37"/>
      <c r="BPW76" s="37"/>
      <c r="BPX76" s="37"/>
      <c r="BPY76" s="138"/>
      <c r="BPZ76" s="37"/>
      <c r="BQA76" s="37"/>
      <c r="BQB76" s="37"/>
      <c r="BQC76" s="37"/>
      <c r="BQD76" s="37"/>
      <c r="BQE76" s="75"/>
      <c r="BQF76" s="37"/>
      <c r="BQG76" s="37"/>
      <c r="BQH76" s="37"/>
      <c r="BQI76" s="37"/>
      <c r="BQJ76" s="37"/>
      <c r="BQK76" s="38"/>
      <c r="BQL76" s="36"/>
      <c r="BQM76" s="65"/>
      <c r="BQN76" s="65"/>
      <c r="BQO76" s="65"/>
      <c r="BQP76" s="37"/>
      <c r="BQQ76" s="133"/>
      <c r="BQR76" s="37"/>
      <c r="BQS76" s="37"/>
      <c r="BQT76" s="37"/>
      <c r="BQU76" s="37"/>
      <c r="BQV76" s="37"/>
      <c r="BQW76" s="138"/>
      <c r="BQX76" s="37"/>
      <c r="BQY76" s="37"/>
      <c r="BQZ76" s="37"/>
      <c r="BRA76" s="37"/>
      <c r="BRB76" s="37"/>
      <c r="BRC76" s="75"/>
      <c r="BRD76" s="37"/>
      <c r="BRE76" s="37"/>
      <c r="BRF76" s="37"/>
      <c r="BRG76" s="37"/>
      <c r="BRH76" s="37"/>
      <c r="BRI76" s="138"/>
      <c r="BRJ76" s="37"/>
      <c r="BRK76" s="37"/>
      <c r="BRL76" s="37"/>
      <c r="BRM76" s="37"/>
      <c r="BRN76" s="37"/>
      <c r="BRO76" s="75"/>
      <c r="BRP76" s="65"/>
      <c r="BRQ76" s="65"/>
      <c r="BRR76" s="65"/>
      <c r="BRS76" s="65"/>
      <c r="BRT76" s="37"/>
      <c r="BRU76" s="138"/>
      <c r="BRV76" s="37"/>
      <c r="BRW76" s="37"/>
      <c r="BRX76" s="37"/>
      <c r="BRY76" s="37"/>
      <c r="BRZ76" s="37"/>
      <c r="BSA76" s="75"/>
      <c r="BSB76" s="37"/>
      <c r="BSC76" s="37"/>
      <c r="BSD76" s="37"/>
      <c r="BSE76" s="37"/>
      <c r="BSF76" s="37"/>
      <c r="BSG76" s="138"/>
      <c r="BSH76" s="37"/>
      <c r="BSI76" s="37"/>
      <c r="BSJ76" s="37"/>
      <c r="BSK76" s="37"/>
      <c r="BSL76" s="37"/>
      <c r="BSM76" s="75"/>
      <c r="BSN76" s="37"/>
      <c r="BSO76" s="37"/>
      <c r="BSP76" s="37"/>
      <c r="BSQ76" s="37"/>
      <c r="BSR76" s="37"/>
      <c r="BSS76" s="38"/>
      <c r="BST76" s="36"/>
      <c r="BSU76" s="65"/>
      <c r="BSV76" s="65"/>
      <c r="BSW76" s="65"/>
      <c r="BSX76" s="37"/>
      <c r="BSY76" s="133"/>
      <c r="BSZ76" s="37"/>
      <c r="BTA76" s="37"/>
      <c r="BTB76" s="37"/>
      <c r="BTC76" s="37"/>
      <c r="BTD76" s="37"/>
      <c r="BTE76" s="138"/>
      <c r="BTF76" s="37"/>
      <c r="BTG76" s="37"/>
      <c r="BTH76" s="37"/>
      <c r="BTI76" s="37"/>
      <c r="BTJ76" s="37"/>
      <c r="BTK76" s="75"/>
      <c r="BTL76" s="37"/>
      <c r="BTM76" s="37"/>
      <c r="BTN76" s="37"/>
      <c r="BTO76" s="37"/>
      <c r="BTP76" s="37"/>
      <c r="BTQ76" s="138"/>
      <c r="BTR76" s="37"/>
      <c r="BTS76" s="37"/>
      <c r="BTT76" s="37"/>
      <c r="BTU76" s="37"/>
      <c r="BTV76" s="37"/>
      <c r="BTW76" s="75"/>
      <c r="BTX76" s="65"/>
      <c r="BTY76" s="65"/>
      <c r="BTZ76" s="65"/>
      <c r="BUA76" s="65"/>
      <c r="BUB76" s="37"/>
      <c r="BUC76" s="138"/>
      <c r="BUD76" s="37"/>
      <c r="BUE76" s="37"/>
      <c r="BUF76" s="37"/>
      <c r="BUG76" s="37"/>
      <c r="BUH76" s="37"/>
      <c r="BUI76" s="75"/>
      <c r="BUJ76" s="37"/>
      <c r="BUK76" s="37"/>
      <c r="BUL76" s="37"/>
      <c r="BUM76" s="37"/>
      <c r="BUN76" s="37"/>
      <c r="BUO76" s="138"/>
      <c r="BUP76" s="37"/>
      <c r="BUQ76" s="37"/>
      <c r="BUR76" s="37"/>
      <c r="BUS76" s="37"/>
      <c r="BUT76" s="37"/>
      <c r="BUU76" s="75"/>
      <c r="BUV76" s="37"/>
      <c r="BUW76" s="37"/>
      <c r="BUX76" s="37"/>
      <c r="BUY76" s="37"/>
      <c r="BUZ76" s="37"/>
      <c r="BVA76" s="38"/>
      <c r="BVB76" s="36"/>
      <c r="BVC76" s="65"/>
      <c r="BVD76" s="65"/>
      <c r="BVE76" s="65"/>
      <c r="BVF76" s="37"/>
      <c r="BVG76" s="133"/>
      <c r="BVH76" s="37"/>
      <c r="BVI76" s="37"/>
      <c r="BVJ76" s="37"/>
      <c r="BVK76" s="37"/>
      <c r="BVL76" s="37"/>
      <c r="BVM76" s="138"/>
      <c r="BVN76" s="37"/>
      <c r="BVO76" s="37"/>
      <c r="BVP76" s="37"/>
      <c r="BVQ76" s="37"/>
      <c r="BVR76" s="37"/>
      <c r="BVS76" s="75"/>
      <c r="BVT76" s="37"/>
      <c r="BVU76" s="37"/>
      <c r="BVV76" s="37"/>
      <c r="BVW76" s="37"/>
      <c r="BVX76" s="37"/>
      <c r="BVY76" s="138"/>
      <c r="BVZ76" s="37"/>
      <c r="BWA76" s="37"/>
      <c r="BWB76" s="37"/>
      <c r="BWC76" s="37"/>
      <c r="BWD76" s="37"/>
      <c r="BWE76" s="75"/>
      <c r="BWF76" s="65"/>
      <c r="BWG76" s="65"/>
      <c r="BWH76" s="65"/>
      <c r="BWI76" s="65"/>
      <c r="BWJ76" s="37"/>
      <c r="BWK76" s="138"/>
      <c r="BWL76" s="37"/>
      <c r="BWM76" s="37"/>
      <c r="BWN76" s="37"/>
      <c r="BWO76" s="37"/>
      <c r="BWP76" s="37"/>
      <c r="BWQ76" s="75"/>
      <c r="BWR76" s="37"/>
      <c r="BWS76" s="37"/>
      <c r="BWT76" s="37"/>
      <c r="BWU76" s="37"/>
      <c r="BWV76" s="37"/>
      <c r="BWW76" s="138"/>
      <c r="BWX76" s="37"/>
      <c r="BWY76" s="37"/>
      <c r="BWZ76" s="37"/>
      <c r="BXA76" s="37"/>
      <c r="BXB76" s="37"/>
      <c r="BXC76" s="75"/>
      <c r="BXD76" s="37"/>
      <c r="BXE76" s="37"/>
      <c r="BXF76" s="37"/>
      <c r="BXG76" s="37"/>
      <c r="BXH76" s="37"/>
      <c r="BXI76" s="38"/>
      <c r="BXJ76" s="36"/>
      <c r="BXK76" s="65"/>
      <c r="BXL76" s="65"/>
      <c r="BXM76" s="65"/>
      <c r="BXN76" s="37"/>
      <c r="BXO76" s="133"/>
      <c r="BXP76" s="37"/>
      <c r="BXQ76" s="37"/>
      <c r="BXR76" s="37"/>
      <c r="BXS76" s="37"/>
      <c r="BXT76" s="37"/>
      <c r="BXU76" s="138"/>
      <c r="BXV76" s="37"/>
      <c r="BXW76" s="37"/>
      <c r="BXX76" s="37"/>
      <c r="BXY76" s="37"/>
      <c r="BXZ76" s="37"/>
      <c r="BYA76" s="75"/>
      <c r="BYB76" s="37"/>
      <c r="BYC76" s="37"/>
      <c r="BYD76" s="37"/>
      <c r="BYE76" s="37"/>
      <c r="BYF76" s="37"/>
      <c r="BYG76" s="138"/>
      <c r="BYH76" s="37"/>
      <c r="BYI76" s="37"/>
      <c r="BYJ76" s="37"/>
      <c r="BYK76" s="37"/>
      <c r="BYL76" s="37"/>
      <c r="BYM76" s="75"/>
      <c r="BYN76" s="65"/>
      <c r="BYO76" s="65"/>
      <c r="BYP76" s="65"/>
      <c r="BYQ76" s="65"/>
      <c r="BYR76" s="37"/>
      <c r="BYS76" s="138"/>
      <c r="BYT76" s="37"/>
      <c r="BYU76" s="37"/>
      <c r="BYV76" s="37"/>
      <c r="BYW76" s="37"/>
      <c r="BYX76" s="37"/>
      <c r="BYY76" s="75"/>
      <c r="BYZ76" s="37"/>
      <c r="BZA76" s="37"/>
      <c r="BZB76" s="37"/>
      <c r="BZC76" s="37"/>
      <c r="BZD76" s="37"/>
      <c r="BZE76" s="138"/>
      <c r="BZF76" s="37"/>
      <c r="BZG76" s="37"/>
      <c r="BZH76" s="37"/>
      <c r="BZI76" s="37"/>
      <c r="BZJ76" s="37"/>
      <c r="BZK76" s="75"/>
      <c r="BZL76" s="37"/>
      <c r="BZM76" s="37"/>
      <c r="BZN76" s="37"/>
      <c r="BZO76" s="37"/>
      <c r="BZP76" s="37"/>
      <c r="BZQ76" s="38"/>
      <c r="BZR76" s="36"/>
      <c r="BZS76" s="65"/>
      <c r="BZT76" s="65"/>
      <c r="BZU76" s="65"/>
      <c r="BZV76" s="37"/>
      <c r="BZW76" s="133"/>
      <c r="BZX76" s="37"/>
      <c r="BZY76" s="37"/>
      <c r="BZZ76" s="37"/>
      <c r="CAA76" s="37"/>
      <c r="CAB76" s="37"/>
      <c r="CAC76" s="138"/>
      <c r="CAD76" s="37"/>
      <c r="CAE76" s="37"/>
      <c r="CAF76" s="37"/>
      <c r="CAG76" s="37"/>
      <c r="CAH76" s="37"/>
      <c r="CAI76" s="75"/>
      <c r="CAJ76" s="37"/>
      <c r="CAK76" s="37"/>
      <c r="CAL76" s="37"/>
      <c r="CAM76" s="37"/>
      <c r="CAN76" s="37"/>
      <c r="CAO76" s="138"/>
      <c r="CAP76" s="37"/>
      <c r="CAQ76" s="37"/>
      <c r="CAR76" s="37"/>
      <c r="CAS76" s="37"/>
      <c r="CAT76" s="37"/>
      <c r="CAU76" s="75"/>
      <c r="CAV76" s="65"/>
      <c r="CAW76" s="65"/>
      <c r="CAX76" s="65"/>
      <c r="CAY76" s="65"/>
      <c r="CAZ76" s="37"/>
      <c r="CBA76" s="138"/>
      <c r="CBB76" s="37"/>
      <c r="CBC76" s="37"/>
      <c r="CBD76" s="37"/>
      <c r="CBE76" s="37"/>
      <c r="CBF76" s="37"/>
      <c r="CBG76" s="75"/>
      <c r="CBH76" s="37"/>
      <c r="CBI76" s="37"/>
      <c r="CBJ76" s="37"/>
      <c r="CBK76" s="37"/>
      <c r="CBL76" s="37"/>
      <c r="CBM76" s="138"/>
      <c r="CBN76" s="37"/>
      <c r="CBO76" s="37"/>
      <c r="CBP76" s="37"/>
      <c r="CBQ76" s="37"/>
      <c r="CBR76" s="37"/>
      <c r="CBS76" s="75"/>
      <c r="CBT76" s="37"/>
      <c r="CBU76" s="37"/>
      <c r="CBV76" s="37"/>
      <c r="CBW76" s="37"/>
      <c r="CBX76" s="37"/>
      <c r="CBY76" s="38"/>
      <c r="CBZ76" s="36"/>
      <c r="CCA76" s="65"/>
      <c r="CCB76" s="65"/>
      <c r="CCC76" s="65"/>
      <c r="CCD76" s="37"/>
      <c r="CCE76" s="133"/>
      <c r="CCF76" s="37"/>
      <c r="CCG76" s="37"/>
      <c r="CCH76" s="37"/>
      <c r="CCI76" s="37"/>
      <c r="CCJ76" s="37"/>
      <c r="CCK76" s="138"/>
      <c r="CCL76" s="37"/>
      <c r="CCM76" s="37"/>
      <c r="CCN76" s="37"/>
      <c r="CCO76" s="37"/>
      <c r="CCP76" s="37"/>
      <c r="CCQ76" s="75"/>
      <c r="CCR76" s="37"/>
      <c r="CCS76" s="37"/>
      <c r="CCT76" s="37"/>
      <c r="CCU76" s="37"/>
      <c r="CCV76" s="37"/>
      <c r="CCW76" s="138"/>
      <c r="CCX76" s="37"/>
      <c r="CCY76" s="37"/>
      <c r="CCZ76" s="37"/>
      <c r="CDA76" s="37"/>
      <c r="CDB76" s="37"/>
      <c r="CDC76" s="75"/>
      <c r="CDD76" s="65"/>
      <c r="CDE76" s="65"/>
      <c r="CDF76" s="65"/>
      <c r="CDG76" s="65"/>
      <c r="CDH76" s="37"/>
      <c r="CDI76" s="138"/>
      <c r="CDJ76" s="37"/>
      <c r="CDK76" s="37"/>
      <c r="CDL76" s="37"/>
      <c r="CDM76" s="37"/>
      <c r="CDN76" s="37"/>
      <c r="CDO76" s="75"/>
      <c r="CDP76" s="37"/>
      <c r="CDQ76" s="37"/>
      <c r="CDR76" s="37"/>
      <c r="CDS76" s="37"/>
      <c r="CDT76" s="37"/>
      <c r="CDU76" s="138"/>
      <c r="CDV76" s="37"/>
      <c r="CDW76" s="37"/>
      <c r="CDX76" s="37"/>
      <c r="CDY76" s="37"/>
      <c r="CDZ76" s="37"/>
      <c r="CEA76" s="75"/>
      <c r="CEB76" s="37"/>
      <c r="CEC76" s="37"/>
      <c r="CED76" s="37"/>
      <c r="CEE76" s="37"/>
      <c r="CEF76" s="37"/>
      <c r="CEG76" s="38"/>
      <c r="CEH76" s="36"/>
      <c r="CEI76" s="65"/>
      <c r="CEJ76" s="65"/>
      <c r="CEK76" s="65"/>
      <c r="CEL76" s="37"/>
      <c r="CEM76" s="133"/>
      <c r="CEN76" s="37"/>
      <c r="CEO76" s="37"/>
      <c r="CEP76" s="37"/>
      <c r="CEQ76" s="37"/>
      <c r="CER76" s="37"/>
      <c r="CES76" s="138"/>
      <c r="CET76" s="37"/>
      <c r="CEU76" s="37"/>
      <c r="CEV76" s="37"/>
      <c r="CEW76" s="37"/>
      <c r="CEX76" s="37"/>
      <c r="CEY76" s="75"/>
      <c r="CEZ76" s="37"/>
      <c r="CFA76" s="37"/>
      <c r="CFB76" s="37"/>
      <c r="CFC76" s="37"/>
      <c r="CFD76" s="37"/>
      <c r="CFE76" s="138"/>
      <c r="CFF76" s="37"/>
      <c r="CFG76" s="37"/>
      <c r="CFH76" s="37"/>
      <c r="CFI76" s="37"/>
      <c r="CFJ76" s="37"/>
      <c r="CFK76" s="75"/>
      <c r="CFL76" s="65"/>
      <c r="CFM76" s="65"/>
      <c r="CFN76" s="65"/>
      <c r="CFO76" s="65"/>
      <c r="CFP76" s="37"/>
      <c r="CFQ76" s="138"/>
      <c r="CFR76" s="37"/>
      <c r="CFS76" s="37"/>
      <c r="CFT76" s="37"/>
      <c r="CFU76" s="37"/>
      <c r="CFV76" s="37"/>
      <c r="CFW76" s="75"/>
      <c r="CFX76" s="37"/>
      <c r="CFY76" s="37"/>
      <c r="CFZ76" s="37"/>
      <c r="CGA76" s="37"/>
      <c r="CGB76" s="37"/>
      <c r="CGC76" s="138"/>
      <c r="CGD76" s="37"/>
      <c r="CGE76" s="37"/>
      <c r="CGF76" s="37"/>
      <c r="CGG76" s="37"/>
      <c r="CGH76" s="37"/>
      <c r="CGI76" s="75"/>
      <c r="CGJ76" s="37"/>
      <c r="CGK76" s="37"/>
      <c r="CGL76" s="37"/>
      <c r="CGM76" s="37"/>
      <c r="CGN76" s="37"/>
      <c r="CGO76" s="38"/>
      <c r="CGP76" s="36"/>
      <c r="CGQ76" s="65"/>
      <c r="CGR76" s="65"/>
      <c r="CGS76" s="65"/>
      <c r="CGT76" s="37"/>
      <c r="CGU76" s="133"/>
      <c r="CGV76" s="37"/>
      <c r="CGW76" s="37"/>
      <c r="CGX76" s="37"/>
      <c r="CGY76" s="37"/>
      <c r="CGZ76" s="37"/>
      <c r="CHA76" s="138"/>
      <c r="CHB76" s="37"/>
      <c r="CHC76" s="37"/>
      <c r="CHD76" s="37"/>
      <c r="CHE76" s="37"/>
      <c r="CHF76" s="37"/>
      <c r="CHG76" s="75"/>
      <c r="CHH76" s="37"/>
      <c r="CHI76" s="37"/>
      <c r="CHJ76" s="37"/>
      <c r="CHK76" s="37"/>
      <c r="CHL76" s="37"/>
      <c r="CHM76" s="138"/>
      <c r="CHN76" s="37"/>
      <c r="CHO76" s="37"/>
      <c r="CHP76" s="37"/>
      <c r="CHQ76" s="37"/>
      <c r="CHR76" s="37"/>
      <c r="CHS76" s="75"/>
      <c r="CHT76" s="65"/>
      <c r="CHU76" s="65"/>
      <c r="CHV76" s="65"/>
      <c r="CHW76" s="65"/>
      <c r="CHX76" s="37"/>
      <c r="CHY76" s="138"/>
      <c r="CHZ76" s="37"/>
      <c r="CIA76" s="37"/>
      <c r="CIB76" s="37"/>
      <c r="CIC76" s="37"/>
      <c r="CID76" s="37"/>
      <c r="CIE76" s="75"/>
      <c r="CIF76" s="37"/>
      <c r="CIG76" s="37"/>
      <c r="CIH76" s="37"/>
      <c r="CII76" s="37"/>
      <c r="CIJ76" s="37"/>
      <c r="CIK76" s="138"/>
      <c r="CIL76" s="37"/>
      <c r="CIM76" s="37"/>
      <c r="CIN76" s="37"/>
      <c r="CIO76" s="37"/>
      <c r="CIP76" s="37"/>
      <c r="CIQ76" s="75"/>
      <c r="CIR76" s="37"/>
      <c r="CIS76" s="37"/>
      <c r="CIT76" s="37"/>
      <c r="CIU76" s="37"/>
      <c r="CIV76" s="37"/>
      <c r="CIW76" s="38"/>
      <c r="CIX76" s="36"/>
      <c r="CIY76" s="65"/>
      <c r="CIZ76" s="65"/>
      <c r="CJA76" s="65"/>
      <c r="CJB76" s="37"/>
      <c r="CJC76" s="133"/>
      <c r="CJD76" s="37"/>
      <c r="CJE76" s="37"/>
      <c r="CJF76" s="37"/>
      <c r="CJG76" s="37"/>
      <c r="CJH76" s="37"/>
      <c r="CJI76" s="138"/>
      <c r="CJJ76" s="37"/>
      <c r="CJK76" s="37"/>
      <c r="CJL76" s="37"/>
      <c r="CJM76" s="37"/>
      <c r="CJN76" s="37"/>
      <c r="CJO76" s="75"/>
      <c r="CJP76" s="37"/>
      <c r="CJQ76" s="37"/>
      <c r="CJR76" s="37"/>
      <c r="CJS76" s="37"/>
      <c r="CJT76" s="37"/>
      <c r="CJU76" s="138"/>
      <c r="CJV76" s="37"/>
      <c r="CJW76" s="37"/>
      <c r="CJX76" s="37"/>
      <c r="CJY76" s="37"/>
      <c r="CJZ76" s="37"/>
      <c r="CKA76" s="75"/>
      <c r="CKB76" s="65"/>
      <c r="CKC76" s="65"/>
      <c r="CKD76" s="65"/>
      <c r="CKE76" s="65"/>
      <c r="CKF76" s="37"/>
      <c r="CKG76" s="138"/>
      <c r="CKH76" s="37"/>
      <c r="CKI76" s="37"/>
      <c r="CKJ76" s="37"/>
      <c r="CKK76" s="37"/>
      <c r="CKL76" s="37"/>
      <c r="CKM76" s="75"/>
      <c r="CKN76" s="37"/>
      <c r="CKO76" s="37"/>
      <c r="CKP76" s="37"/>
      <c r="CKQ76" s="37"/>
      <c r="CKR76" s="37"/>
      <c r="CKS76" s="138"/>
      <c r="CKT76" s="37"/>
      <c r="CKU76" s="37"/>
      <c r="CKV76" s="37"/>
      <c r="CKW76" s="37"/>
      <c r="CKX76" s="37"/>
      <c r="CKY76" s="75"/>
      <c r="CKZ76" s="37"/>
      <c r="CLA76" s="37"/>
      <c r="CLB76" s="37"/>
      <c r="CLC76" s="37"/>
      <c r="CLD76" s="37"/>
      <c r="CLE76" s="38"/>
      <c r="CLF76" s="36"/>
      <c r="CLG76" s="65"/>
      <c r="CLH76" s="65"/>
      <c r="CLI76" s="65"/>
      <c r="CLJ76" s="37"/>
      <c r="CLK76" s="133"/>
      <c r="CLL76" s="37"/>
      <c r="CLM76" s="37"/>
      <c r="CLN76" s="37"/>
      <c r="CLO76" s="37"/>
      <c r="CLP76" s="37"/>
      <c r="CLQ76" s="138"/>
      <c r="CLR76" s="37"/>
      <c r="CLS76" s="37"/>
      <c r="CLT76" s="37"/>
      <c r="CLU76" s="37"/>
      <c r="CLV76" s="37"/>
      <c r="CLW76" s="75"/>
      <c r="CLX76" s="37"/>
      <c r="CLY76" s="37"/>
      <c r="CLZ76" s="37"/>
      <c r="CMA76" s="37"/>
      <c r="CMB76" s="37"/>
      <c r="CMC76" s="138"/>
      <c r="CMD76" s="37"/>
      <c r="CME76" s="37"/>
      <c r="CMF76" s="37"/>
      <c r="CMG76" s="37"/>
      <c r="CMH76" s="37"/>
      <c r="CMI76" s="75"/>
      <c r="CMJ76" s="65"/>
      <c r="CMK76" s="65"/>
      <c r="CML76" s="65"/>
      <c r="CMM76" s="65"/>
      <c r="CMN76" s="37"/>
      <c r="CMO76" s="138"/>
      <c r="CMP76" s="37"/>
      <c r="CMQ76" s="37"/>
      <c r="CMR76" s="37"/>
      <c r="CMS76" s="37"/>
      <c r="CMT76" s="37"/>
      <c r="CMU76" s="75"/>
      <c r="CMV76" s="37"/>
      <c r="CMW76" s="37"/>
      <c r="CMX76" s="37"/>
      <c r="CMY76" s="37"/>
      <c r="CMZ76" s="37"/>
      <c r="CNA76" s="138"/>
      <c r="CNB76" s="37"/>
      <c r="CNC76" s="37"/>
      <c r="CND76" s="37"/>
      <c r="CNE76" s="37"/>
      <c r="CNF76" s="37"/>
      <c r="CNG76" s="75"/>
      <c r="CNH76" s="37"/>
      <c r="CNI76" s="37"/>
      <c r="CNJ76" s="37"/>
      <c r="CNK76" s="37"/>
      <c r="CNL76" s="37"/>
      <c r="CNM76" s="38"/>
      <c r="CNN76" s="36"/>
      <c r="CNO76" s="65"/>
      <c r="CNP76" s="65"/>
      <c r="CNQ76" s="65"/>
      <c r="CNR76" s="37"/>
      <c r="CNS76" s="133"/>
      <c r="CNT76" s="37"/>
      <c r="CNU76" s="37"/>
      <c r="CNV76" s="37"/>
      <c r="CNW76" s="37"/>
      <c r="CNX76" s="37"/>
      <c r="CNY76" s="138"/>
      <c r="CNZ76" s="37"/>
      <c r="COA76" s="37"/>
      <c r="COB76" s="37"/>
      <c r="COC76" s="37"/>
      <c r="COD76" s="37"/>
      <c r="COE76" s="75"/>
      <c r="COF76" s="37"/>
      <c r="COG76" s="37"/>
      <c r="COH76" s="37"/>
      <c r="COI76" s="37"/>
      <c r="COJ76" s="37"/>
      <c r="COK76" s="138"/>
      <c r="COL76" s="37"/>
      <c r="COM76" s="37"/>
      <c r="CON76" s="37"/>
      <c r="COO76" s="37"/>
      <c r="COP76" s="37"/>
      <c r="COQ76" s="75"/>
      <c r="COR76" s="65"/>
      <c r="COS76" s="65"/>
      <c r="COT76" s="65"/>
      <c r="COU76" s="65"/>
      <c r="COV76" s="37"/>
      <c r="COW76" s="138"/>
      <c r="COX76" s="37"/>
      <c r="COY76" s="37"/>
      <c r="COZ76" s="37"/>
      <c r="CPA76" s="37"/>
      <c r="CPB76" s="37"/>
      <c r="CPC76" s="75"/>
      <c r="CPD76" s="37"/>
      <c r="CPE76" s="37"/>
      <c r="CPF76" s="37"/>
      <c r="CPG76" s="37"/>
      <c r="CPH76" s="37"/>
      <c r="CPI76" s="138"/>
      <c r="CPJ76" s="37"/>
      <c r="CPK76" s="37"/>
      <c r="CPL76" s="37"/>
      <c r="CPM76" s="37"/>
      <c r="CPN76" s="37"/>
      <c r="CPO76" s="75"/>
      <c r="CPP76" s="37"/>
      <c r="CPQ76" s="37"/>
      <c r="CPR76" s="37"/>
      <c r="CPS76" s="37"/>
      <c r="CPT76" s="37"/>
      <c r="CPU76" s="38"/>
      <c r="CPV76" s="36"/>
      <c r="CPW76" s="65"/>
      <c r="CPX76" s="65"/>
      <c r="CPY76" s="65"/>
      <c r="CPZ76" s="37"/>
      <c r="CQA76" s="133"/>
      <c r="CQB76" s="37"/>
      <c r="CQC76" s="37"/>
      <c r="CQD76" s="37"/>
      <c r="CQE76" s="37"/>
      <c r="CQF76" s="37"/>
      <c r="CQG76" s="138"/>
      <c r="CQH76" s="37"/>
      <c r="CQI76" s="37"/>
      <c r="CQJ76" s="37"/>
      <c r="CQK76" s="37"/>
      <c r="CQL76" s="37"/>
      <c r="CQM76" s="75"/>
      <c r="CQN76" s="37"/>
      <c r="CQO76" s="37"/>
      <c r="CQP76" s="37"/>
      <c r="CQQ76" s="37"/>
      <c r="CQR76" s="37"/>
      <c r="CQS76" s="138"/>
      <c r="CQT76" s="37"/>
      <c r="CQU76" s="37"/>
      <c r="CQV76" s="37"/>
      <c r="CQW76" s="37"/>
      <c r="CQX76" s="37"/>
      <c r="CQY76" s="75"/>
      <c r="CQZ76" s="65"/>
      <c r="CRA76" s="65"/>
      <c r="CRB76" s="65"/>
      <c r="CRC76" s="65"/>
      <c r="CRD76" s="37"/>
      <c r="CRE76" s="138"/>
      <c r="CRF76" s="37"/>
      <c r="CRG76" s="37"/>
      <c r="CRH76" s="37"/>
      <c r="CRI76" s="37"/>
      <c r="CRJ76" s="37"/>
      <c r="CRK76" s="75"/>
      <c r="CRL76" s="37"/>
      <c r="CRM76" s="37"/>
      <c r="CRN76" s="37"/>
      <c r="CRO76" s="37"/>
      <c r="CRP76" s="37"/>
      <c r="CRQ76" s="138"/>
      <c r="CRR76" s="37"/>
      <c r="CRS76" s="37"/>
      <c r="CRT76" s="37"/>
      <c r="CRU76" s="37"/>
      <c r="CRV76" s="37"/>
      <c r="CRW76" s="75"/>
      <c r="CRX76" s="37"/>
      <c r="CRY76" s="37"/>
      <c r="CRZ76" s="37"/>
      <c r="CSA76" s="37"/>
      <c r="CSB76" s="37"/>
      <c r="CSC76" s="38"/>
      <c r="CSD76" s="90"/>
    </row>
    <row r="77" spans="1:2526" ht="20.100000000000001" customHeight="1" x14ac:dyDescent="0.25">
      <c r="A77" s="100" t="s">
        <v>18</v>
      </c>
      <c r="B77" s="63"/>
      <c r="C77" s="211"/>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40"/>
      <c r="BLW77" s="66"/>
      <c r="BLX77" s="66"/>
      <c r="BLY77" s="66"/>
      <c r="BLZ77" s="41"/>
      <c r="BMA77" s="134"/>
      <c r="BMB77" s="41"/>
      <c r="BMC77" s="41"/>
      <c r="BMD77" s="41"/>
      <c r="BME77" s="41"/>
      <c r="BMF77" s="41"/>
      <c r="BMG77" s="139"/>
      <c r="BMH77" s="41"/>
      <c r="BMI77" s="41"/>
      <c r="BMJ77" s="41"/>
      <c r="BMK77" s="41"/>
      <c r="BML77" s="41"/>
      <c r="BMM77" s="76"/>
      <c r="BMN77" s="41"/>
      <c r="BMO77" s="41"/>
      <c r="BMP77" s="41"/>
      <c r="BMQ77" s="41"/>
      <c r="BMR77" s="41"/>
      <c r="BMS77" s="139"/>
      <c r="BMT77" s="41"/>
      <c r="BMU77" s="41"/>
      <c r="BMV77" s="41"/>
      <c r="BMW77" s="41"/>
      <c r="BMX77" s="41"/>
      <c r="BMY77" s="76"/>
      <c r="BMZ77" s="66"/>
      <c r="BNA77" s="66"/>
      <c r="BNB77" s="66"/>
      <c r="BNC77" s="66"/>
      <c r="BND77" s="41"/>
      <c r="BNE77" s="139"/>
      <c r="BNF77" s="41"/>
      <c r="BNG77" s="41"/>
      <c r="BNH77" s="41"/>
      <c r="BNI77" s="41"/>
      <c r="BNJ77" s="41"/>
      <c r="BNK77" s="76"/>
      <c r="BNL77" s="41"/>
      <c r="BNM77" s="41"/>
      <c r="BNN77" s="41"/>
      <c r="BNO77" s="41"/>
      <c r="BNP77" s="41"/>
      <c r="BNQ77" s="139"/>
      <c r="BNR77" s="41"/>
      <c r="BNS77" s="41"/>
      <c r="BNT77" s="41"/>
      <c r="BNU77" s="41"/>
      <c r="BNV77" s="41"/>
      <c r="BNW77" s="76"/>
      <c r="BNX77" s="41"/>
      <c r="BNY77" s="41"/>
      <c r="BNZ77" s="41"/>
      <c r="BOA77" s="41"/>
      <c r="BOB77" s="41"/>
      <c r="BOC77" s="42"/>
      <c r="BOD77" s="40"/>
      <c r="BOE77" s="66"/>
      <c r="BOF77" s="66"/>
      <c r="BOG77" s="66"/>
      <c r="BOH77" s="41"/>
      <c r="BOI77" s="134"/>
      <c r="BOJ77" s="41"/>
      <c r="BOK77" s="41"/>
      <c r="BOL77" s="41"/>
      <c r="BOM77" s="41"/>
      <c r="BON77" s="41"/>
      <c r="BOO77" s="139"/>
      <c r="BOP77" s="41"/>
      <c r="BOQ77" s="41"/>
      <c r="BOR77" s="41"/>
      <c r="BOS77" s="41"/>
      <c r="BOT77" s="41"/>
      <c r="BOU77" s="76"/>
      <c r="BOV77" s="41"/>
      <c r="BOW77" s="41"/>
      <c r="BOX77" s="41"/>
      <c r="BOY77" s="41"/>
      <c r="BOZ77" s="41"/>
      <c r="BPA77" s="139"/>
      <c r="BPB77" s="41"/>
      <c r="BPC77" s="41"/>
      <c r="BPD77" s="41"/>
      <c r="BPE77" s="41"/>
      <c r="BPF77" s="41"/>
      <c r="BPG77" s="76"/>
      <c r="BPH77" s="66"/>
      <c r="BPI77" s="66"/>
      <c r="BPJ77" s="66"/>
      <c r="BPK77" s="66"/>
      <c r="BPL77" s="41"/>
      <c r="BPM77" s="139"/>
      <c r="BPN77" s="41"/>
      <c r="BPO77" s="41"/>
      <c r="BPP77" s="41"/>
      <c r="BPQ77" s="41"/>
      <c r="BPR77" s="41"/>
      <c r="BPS77" s="76"/>
      <c r="BPT77" s="41"/>
      <c r="BPU77" s="41"/>
      <c r="BPV77" s="41"/>
      <c r="BPW77" s="41"/>
      <c r="BPX77" s="41"/>
      <c r="BPY77" s="139"/>
      <c r="BPZ77" s="41"/>
      <c r="BQA77" s="41"/>
      <c r="BQB77" s="41"/>
      <c r="BQC77" s="41"/>
      <c r="BQD77" s="41"/>
      <c r="BQE77" s="76"/>
      <c r="BQF77" s="41"/>
      <c r="BQG77" s="41"/>
      <c r="BQH77" s="41"/>
      <c r="BQI77" s="41"/>
      <c r="BQJ77" s="41"/>
      <c r="BQK77" s="42"/>
      <c r="BQL77" s="40"/>
      <c r="BQM77" s="66"/>
      <c r="BQN77" s="66"/>
      <c r="BQO77" s="66"/>
      <c r="BQP77" s="41"/>
      <c r="BQQ77" s="134"/>
      <c r="BQR77" s="41"/>
      <c r="BQS77" s="41"/>
      <c r="BQT77" s="41"/>
      <c r="BQU77" s="41"/>
      <c r="BQV77" s="41"/>
      <c r="BQW77" s="139"/>
      <c r="BQX77" s="41"/>
      <c r="BQY77" s="41"/>
      <c r="BQZ77" s="41"/>
      <c r="BRA77" s="41"/>
      <c r="BRB77" s="41"/>
      <c r="BRC77" s="76"/>
      <c r="BRD77" s="41"/>
      <c r="BRE77" s="41"/>
      <c r="BRF77" s="41"/>
      <c r="BRG77" s="41"/>
      <c r="BRH77" s="41"/>
      <c r="BRI77" s="139"/>
      <c r="BRJ77" s="41"/>
      <c r="BRK77" s="41"/>
      <c r="BRL77" s="41"/>
      <c r="BRM77" s="41"/>
      <c r="BRN77" s="41"/>
      <c r="BRO77" s="76"/>
      <c r="BRP77" s="66"/>
      <c r="BRQ77" s="66"/>
      <c r="BRR77" s="66"/>
      <c r="BRS77" s="66"/>
      <c r="BRT77" s="41"/>
      <c r="BRU77" s="139"/>
      <c r="BRV77" s="41"/>
      <c r="BRW77" s="41"/>
      <c r="BRX77" s="41"/>
      <c r="BRY77" s="41"/>
      <c r="BRZ77" s="41"/>
      <c r="BSA77" s="76"/>
      <c r="BSB77" s="41"/>
      <c r="BSC77" s="41"/>
      <c r="BSD77" s="41"/>
      <c r="BSE77" s="41"/>
      <c r="BSF77" s="41"/>
      <c r="BSG77" s="139"/>
      <c r="BSH77" s="41"/>
      <c r="BSI77" s="41"/>
      <c r="BSJ77" s="41"/>
      <c r="BSK77" s="41"/>
      <c r="BSL77" s="41"/>
      <c r="BSM77" s="76"/>
      <c r="BSN77" s="41"/>
      <c r="BSO77" s="41"/>
      <c r="BSP77" s="41"/>
      <c r="BSQ77" s="41"/>
      <c r="BSR77" s="41"/>
      <c r="BSS77" s="42"/>
      <c r="BST77" s="40"/>
      <c r="BSU77" s="66"/>
      <c r="BSV77" s="66"/>
      <c r="BSW77" s="66"/>
      <c r="BSX77" s="41"/>
      <c r="BSY77" s="134"/>
      <c r="BSZ77" s="41"/>
      <c r="BTA77" s="41"/>
      <c r="BTB77" s="41"/>
      <c r="BTC77" s="41"/>
      <c r="BTD77" s="41"/>
      <c r="BTE77" s="139"/>
      <c r="BTF77" s="41"/>
      <c r="BTG77" s="41"/>
      <c r="BTH77" s="41"/>
      <c r="BTI77" s="41"/>
      <c r="BTJ77" s="41"/>
      <c r="BTK77" s="76"/>
      <c r="BTL77" s="41"/>
      <c r="BTM77" s="41"/>
      <c r="BTN77" s="41"/>
      <c r="BTO77" s="41"/>
      <c r="BTP77" s="41"/>
      <c r="BTQ77" s="139"/>
      <c r="BTR77" s="41"/>
      <c r="BTS77" s="41"/>
      <c r="BTT77" s="41"/>
      <c r="BTU77" s="41"/>
      <c r="BTV77" s="41"/>
      <c r="BTW77" s="76"/>
      <c r="BTX77" s="66"/>
      <c r="BTY77" s="66"/>
      <c r="BTZ77" s="66"/>
      <c r="BUA77" s="66"/>
      <c r="BUB77" s="41"/>
      <c r="BUC77" s="139"/>
      <c r="BUD77" s="41"/>
      <c r="BUE77" s="41"/>
      <c r="BUF77" s="41"/>
      <c r="BUG77" s="41"/>
      <c r="BUH77" s="41"/>
      <c r="BUI77" s="76"/>
      <c r="BUJ77" s="41"/>
      <c r="BUK77" s="41"/>
      <c r="BUL77" s="41"/>
      <c r="BUM77" s="41"/>
      <c r="BUN77" s="41"/>
      <c r="BUO77" s="139"/>
      <c r="BUP77" s="41"/>
      <c r="BUQ77" s="41"/>
      <c r="BUR77" s="41"/>
      <c r="BUS77" s="41"/>
      <c r="BUT77" s="41"/>
      <c r="BUU77" s="76"/>
      <c r="BUV77" s="41"/>
      <c r="BUW77" s="41"/>
      <c r="BUX77" s="41"/>
      <c r="BUY77" s="41"/>
      <c r="BUZ77" s="41"/>
      <c r="BVA77" s="42"/>
      <c r="BVB77" s="40"/>
      <c r="BVC77" s="66"/>
      <c r="BVD77" s="66"/>
      <c r="BVE77" s="66"/>
      <c r="BVF77" s="41"/>
      <c r="BVG77" s="134"/>
      <c r="BVH77" s="41"/>
      <c r="BVI77" s="41"/>
      <c r="BVJ77" s="41"/>
      <c r="BVK77" s="41"/>
      <c r="BVL77" s="41"/>
      <c r="BVM77" s="139"/>
      <c r="BVN77" s="41"/>
      <c r="BVO77" s="41"/>
      <c r="BVP77" s="41"/>
      <c r="BVQ77" s="41"/>
      <c r="BVR77" s="41"/>
      <c r="BVS77" s="76"/>
      <c r="BVT77" s="41"/>
      <c r="BVU77" s="41"/>
      <c r="BVV77" s="41"/>
      <c r="BVW77" s="41"/>
      <c r="BVX77" s="41"/>
      <c r="BVY77" s="139"/>
      <c r="BVZ77" s="41"/>
      <c r="BWA77" s="41"/>
      <c r="BWB77" s="41"/>
      <c r="BWC77" s="41"/>
      <c r="BWD77" s="41"/>
      <c r="BWE77" s="76"/>
      <c r="BWF77" s="66"/>
      <c r="BWG77" s="66"/>
      <c r="BWH77" s="66"/>
      <c r="BWI77" s="66"/>
      <c r="BWJ77" s="41"/>
      <c r="BWK77" s="139"/>
      <c r="BWL77" s="41"/>
      <c r="BWM77" s="41"/>
      <c r="BWN77" s="41"/>
      <c r="BWO77" s="41"/>
      <c r="BWP77" s="41"/>
      <c r="BWQ77" s="76"/>
      <c r="BWR77" s="41"/>
      <c r="BWS77" s="41"/>
      <c r="BWT77" s="41"/>
      <c r="BWU77" s="41"/>
      <c r="BWV77" s="41"/>
      <c r="BWW77" s="139"/>
      <c r="BWX77" s="41"/>
      <c r="BWY77" s="41"/>
      <c r="BWZ77" s="41"/>
      <c r="BXA77" s="41"/>
      <c r="BXB77" s="41"/>
      <c r="BXC77" s="76"/>
      <c r="BXD77" s="41"/>
      <c r="BXE77" s="41"/>
      <c r="BXF77" s="41"/>
      <c r="BXG77" s="41"/>
      <c r="BXH77" s="41"/>
      <c r="BXI77" s="42"/>
      <c r="BXJ77" s="40"/>
      <c r="BXK77" s="66"/>
      <c r="BXL77" s="66"/>
      <c r="BXM77" s="66"/>
      <c r="BXN77" s="41"/>
      <c r="BXO77" s="134"/>
      <c r="BXP77" s="41"/>
      <c r="BXQ77" s="41"/>
      <c r="BXR77" s="41"/>
      <c r="BXS77" s="41"/>
      <c r="BXT77" s="41"/>
      <c r="BXU77" s="139"/>
      <c r="BXV77" s="41"/>
      <c r="BXW77" s="41"/>
      <c r="BXX77" s="41"/>
      <c r="BXY77" s="41"/>
      <c r="BXZ77" s="41"/>
      <c r="BYA77" s="76"/>
      <c r="BYB77" s="41"/>
      <c r="BYC77" s="41"/>
      <c r="BYD77" s="41"/>
      <c r="BYE77" s="41"/>
      <c r="BYF77" s="41"/>
      <c r="BYG77" s="139"/>
      <c r="BYH77" s="41"/>
      <c r="BYI77" s="41"/>
      <c r="BYJ77" s="41"/>
      <c r="BYK77" s="41"/>
      <c r="BYL77" s="41"/>
      <c r="BYM77" s="76"/>
      <c r="BYN77" s="66"/>
      <c r="BYO77" s="66"/>
      <c r="BYP77" s="66"/>
      <c r="BYQ77" s="66"/>
      <c r="BYR77" s="41"/>
      <c r="BYS77" s="139"/>
      <c r="BYT77" s="41"/>
      <c r="BYU77" s="41"/>
      <c r="BYV77" s="41"/>
      <c r="BYW77" s="41"/>
      <c r="BYX77" s="41"/>
      <c r="BYY77" s="76"/>
      <c r="BYZ77" s="41"/>
      <c r="BZA77" s="41"/>
      <c r="BZB77" s="41"/>
      <c r="BZC77" s="41"/>
      <c r="BZD77" s="41"/>
      <c r="BZE77" s="139"/>
      <c r="BZF77" s="41"/>
      <c r="BZG77" s="41"/>
      <c r="BZH77" s="41"/>
      <c r="BZI77" s="41"/>
      <c r="BZJ77" s="41"/>
      <c r="BZK77" s="76"/>
      <c r="BZL77" s="41"/>
      <c r="BZM77" s="41"/>
      <c r="BZN77" s="41"/>
      <c r="BZO77" s="41"/>
      <c r="BZP77" s="41"/>
      <c r="BZQ77" s="42"/>
      <c r="BZR77" s="40"/>
      <c r="BZS77" s="66"/>
      <c r="BZT77" s="66"/>
      <c r="BZU77" s="66"/>
      <c r="BZV77" s="41"/>
      <c r="BZW77" s="134"/>
      <c r="BZX77" s="41"/>
      <c r="BZY77" s="41"/>
      <c r="BZZ77" s="41"/>
      <c r="CAA77" s="41"/>
      <c r="CAB77" s="41"/>
      <c r="CAC77" s="139"/>
      <c r="CAD77" s="41"/>
      <c r="CAE77" s="41"/>
      <c r="CAF77" s="41"/>
      <c r="CAG77" s="41"/>
      <c r="CAH77" s="41"/>
      <c r="CAI77" s="76"/>
      <c r="CAJ77" s="41"/>
      <c r="CAK77" s="41"/>
      <c r="CAL77" s="41"/>
      <c r="CAM77" s="41"/>
      <c r="CAN77" s="41"/>
      <c r="CAO77" s="139"/>
      <c r="CAP77" s="41"/>
      <c r="CAQ77" s="41"/>
      <c r="CAR77" s="41"/>
      <c r="CAS77" s="41"/>
      <c r="CAT77" s="41"/>
      <c r="CAU77" s="76"/>
      <c r="CAV77" s="66"/>
      <c r="CAW77" s="66"/>
      <c r="CAX77" s="66"/>
      <c r="CAY77" s="66"/>
      <c r="CAZ77" s="41"/>
      <c r="CBA77" s="139"/>
      <c r="CBB77" s="41"/>
      <c r="CBC77" s="41"/>
      <c r="CBD77" s="41"/>
      <c r="CBE77" s="41"/>
      <c r="CBF77" s="41"/>
      <c r="CBG77" s="76"/>
      <c r="CBH77" s="41"/>
      <c r="CBI77" s="41"/>
      <c r="CBJ77" s="41"/>
      <c r="CBK77" s="41"/>
      <c r="CBL77" s="41"/>
      <c r="CBM77" s="139"/>
      <c r="CBN77" s="41"/>
      <c r="CBO77" s="41"/>
      <c r="CBP77" s="41"/>
      <c r="CBQ77" s="41"/>
      <c r="CBR77" s="41"/>
      <c r="CBS77" s="76"/>
      <c r="CBT77" s="41"/>
      <c r="CBU77" s="41"/>
      <c r="CBV77" s="41"/>
      <c r="CBW77" s="41"/>
      <c r="CBX77" s="41"/>
      <c r="CBY77" s="42"/>
      <c r="CBZ77" s="40"/>
      <c r="CCA77" s="66"/>
      <c r="CCB77" s="66"/>
      <c r="CCC77" s="66"/>
      <c r="CCD77" s="41"/>
      <c r="CCE77" s="134"/>
      <c r="CCF77" s="41"/>
      <c r="CCG77" s="41"/>
      <c r="CCH77" s="41"/>
      <c r="CCI77" s="41"/>
      <c r="CCJ77" s="41"/>
      <c r="CCK77" s="139"/>
      <c r="CCL77" s="41"/>
      <c r="CCM77" s="41"/>
      <c r="CCN77" s="41"/>
      <c r="CCO77" s="41"/>
      <c r="CCP77" s="41"/>
      <c r="CCQ77" s="76"/>
      <c r="CCR77" s="41"/>
      <c r="CCS77" s="41"/>
      <c r="CCT77" s="41"/>
      <c r="CCU77" s="41"/>
      <c r="CCV77" s="41"/>
      <c r="CCW77" s="139"/>
      <c r="CCX77" s="41"/>
      <c r="CCY77" s="41"/>
      <c r="CCZ77" s="41"/>
      <c r="CDA77" s="41"/>
      <c r="CDB77" s="41"/>
      <c r="CDC77" s="76"/>
      <c r="CDD77" s="66"/>
      <c r="CDE77" s="66"/>
      <c r="CDF77" s="66"/>
      <c r="CDG77" s="66"/>
      <c r="CDH77" s="41"/>
      <c r="CDI77" s="139"/>
      <c r="CDJ77" s="41"/>
      <c r="CDK77" s="41"/>
      <c r="CDL77" s="41"/>
      <c r="CDM77" s="41"/>
      <c r="CDN77" s="41"/>
      <c r="CDO77" s="76"/>
      <c r="CDP77" s="41"/>
      <c r="CDQ77" s="41"/>
      <c r="CDR77" s="41"/>
      <c r="CDS77" s="41"/>
      <c r="CDT77" s="41"/>
      <c r="CDU77" s="139"/>
      <c r="CDV77" s="41"/>
      <c r="CDW77" s="41"/>
      <c r="CDX77" s="41"/>
      <c r="CDY77" s="41"/>
      <c r="CDZ77" s="41"/>
      <c r="CEA77" s="76"/>
      <c r="CEB77" s="41"/>
      <c r="CEC77" s="41"/>
      <c r="CED77" s="41"/>
      <c r="CEE77" s="41"/>
      <c r="CEF77" s="41"/>
      <c r="CEG77" s="42"/>
      <c r="CEH77" s="40"/>
      <c r="CEI77" s="66"/>
      <c r="CEJ77" s="66"/>
      <c r="CEK77" s="66"/>
      <c r="CEL77" s="41"/>
      <c r="CEM77" s="134"/>
      <c r="CEN77" s="41"/>
      <c r="CEO77" s="41"/>
      <c r="CEP77" s="41"/>
      <c r="CEQ77" s="41"/>
      <c r="CER77" s="41"/>
      <c r="CES77" s="139"/>
      <c r="CET77" s="41"/>
      <c r="CEU77" s="41"/>
      <c r="CEV77" s="41"/>
      <c r="CEW77" s="41"/>
      <c r="CEX77" s="41"/>
      <c r="CEY77" s="76"/>
      <c r="CEZ77" s="41"/>
      <c r="CFA77" s="41"/>
      <c r="CFB77" s="41"/>
      <c r="CFC77" s="41"/>
      <c r="CFD77" s="41"/>
      <c r="CFE77" s="139"/>
      <c r="CFF77" s="41"/>
      <c r="CFG77" s="41"/>
      <c r="CFH77" s="41"/>
      <c r="CFI77" s="41"/>
      <c r="CFJ77" s="41"/>
      <c r="CFK77" s="76"/>
      <c r="CFL77" s="66"/>
      <c r="CFM77" s="66"/>
      <c r="CFN77" s="66"/>
      <c r="CFO77" s="66"/>
      <c r="CFP77" s="41"/>
      <c r="CFQ77" s="139"/>
      <c r="CFR77" s="41"/>
      <c r="CFS77" s="41"/>
      <c r="CFT77" s="41"/>
      <c r="CFU77" s="41"/>
      <c r="CFV77" s="41"/>
      <c r="CFW77" s="76"/>
      <c r="CFX77" s="41"/>
      <c r="CFY77" s="41"/>
      <c r="CFZ77" s="41"/>
      <c r="CGA77" s="41"/>
      <c r="CGB77" s="41"/>
      <c r="CGC77" s="139"/>
      <c r="CGD77" s="41"/>
      <c r="CGE77" s="41"/>
      <c r="CGF77" s="41"/>
      <c r="CGG77" s="41"/>
      <c r="CGH77" s="41"/>
      <c r="CGI77" s="76"/>
      <c r="CGJ77" s="41"/>
      <c r="CGK77" s="41"/>
      <c r="CGL77" s="41"/>
      <c r="CGM77" s="41"/>
      <c r="CGN77" s="41"/>
      <c r="CGO77" s="42"/>
      <c r="CGP77" s="40"/>
      <c r="CGQ77" s="66"/>
      <c r="CGR77" s="66"/>
      <c r="CGS77" s="66"/>
      <c r="CGT77" s="41"/>
      <c r="CGU77" s="134"/>
      <c r="CGV77" s="41"/>
      <c r="CGW77" s="41"/>
      <c r="CGX77" s="41"/>
      <c r="CGY77" s="41"/>
      <c r="CGZ77" s="41"/>
      <c r="CHA77" s="139"/>
      <c r="CHB77" s="41"/>
      <c r="CHC77" s="41"/>
      <c r="CHD77" s="41"/>
      <c r="CHE77" s="41"/>
      <c r="CHF77" s="41"/>
      <c r="CHG77" s="76"/>
      <c r="CHH77" s="41"/>
      <c r="CHI77" s="41"/>
      <c r="CHJ77" s="41"/>
      <c r="CHK77" s="41"/>
      <c r="CHL77" s="41"/>
      <c r="CHM77" s="139"/>
      <c r="CHN77" s="41"/>
      <c r="CHO77" s="41"/>
      <c r="CHP77" s="41"/>
      <c r="CHQ77" s="41"/>
      <c r="CHR77" s="41"/>
      <c r="CHS77" s="76"/>
      <c r="CHT77" s="66"/>
      <c r="CHU77" s="66"/>
      <c r="CHV77" s="66"/>
      <c r="CHW77" s="66"/>
      <c r="CHX77" s="41"/>
      <c r="CHY77" s="139"/>
      <c r="CHZ77" s="41"/>
      <c r="CIA77" s="41"/>
      <c r="CIB77" s="41"/>
      <c r="CIC77" s="41"/>
      <c r="CID77" s="41"/>
      <c r="CIE77" s="76"/>
      <c r="CIF77" s="41"/>
      <c r="CIG77" s="41"/>
      <c r="CIH77" s="41"/>
      <c r="CII77" s="41"/>
      <c r="CIJ77" s="41"/>
      <c r="CIK77" s="139"/>
      <c r="CIL77" s="41"/>
      <c r="CIM77" s="41"/>
      <c r="CIN77" s="41"/>
      <c r="CIO77" s="41"/>
      <c r="CIP77" s="41"/>
      <c r="CIQ77" s="76"/>
      <c r="CIR77" s="41"/>
      <c r="CIS77" s="41"/>
      <c r="CIT77" s="41"/>
      <c r="CIU77" s="41"/>
      <c r="CIV77" s="41"/>
      <c r="CIW77" s="42"/>
      <c r="CIX77" s="40"/>
      <c r="CIY77" s="66"/>
      <c r="CIZ77" s="66"/>
      <c r="CJA77" s="66"/>
      <c r="CJB77" s="41"/>
      <c r="CJC77" s="134"/>
      <c r="CJD77" s="41"/>
      <c r="CJE77" s="41"/>
      <c r="CJF77" s="41"/>
      <c r="CJG77" s="41"/>
      <c r="CJH77" s="41"/>
      <c r="CJI77" s="139"/>
      <c r="CJJ77" s="41"/>
      <c r="CJK77" s="41"/>
      <c r="CJL77" s="41"/>
      <c r="CJM77" s="41"/>
      <c r="CJN77" s="41"/>
      <c r="CJO77" s="76"/>
      <c r="CJP77" s="41"/>
      <c r="CJQ77" s="41"/>
      <c r="CJR77" s="41"/>
      <c r="CJS77" s="41"/>
      <c r="CJT77" s="41"/>
      <c r="CJU77" s="139"/>
      <c r="CJV77" s="41"/>
      <c r="CJW77" s="41"/>
      <c r="CJX77" s="41"/>
      <c r="CJY77" s="41"/>
      <c r="CJZ77" s="41"/>
      <c r="CKA77" s="76"/>
      <c r="CKB77" s="66"/>
      <c r="CKC77" s="66"/>
      <c r="CKD77" s="66"/>
      <c r="CKE77" s="66"/>
      <c r="CKF77" s="41"/>
      <c r="CKG77" s="139"/>
      <c r="CKH77" s="41"/>
      <c r="CKI77" s="41"/>
      <c r="CKJ77" s="41"/>
      <c r="CKK77" s="41"/>
      <c r="CKL77" s="41"/>
      <c r="CKM77" s="76"/>
      <c r="CKN77" s="41"/>
      <c r="CKO77" s="41"/>
      <c r="CKP77" s="41"/>
      <c r="CKQ77" s="41"/>
      <c r="CKR77" s="41"/>
      <c r="CKS77" s="139"/>
      <c r="CKT77" s="41"/>
      <c r="CKU77" s="41"/>
      <c r="CKV77" s="41"/>
      <c r="CKW77" s="41"/>
      <c r="CKX77" s="41"/>
      <c r="CKY77" s="76"/>
      <c r="CKZ77" s="41"/>
      <c r="CLA77" s="41"/>
      <c r="CLB77" s="41"/>
      <c r="CLC77" s="41"/>
      <c r="CLD77" s="41"/>
      <c r="CLE77" s="42"/>
      <c r="CLF77" s="40"/>
      <c r="CLG77" s="66"/>
      <c r="CLH77" s="66"/>
      <c r="CLI77" s="66"/>
      <c r="CLJ77" s="41"/>
      <c r="CLK77" s="134"/>
      <c r="CLL77" s="41"/>
      <c r="CLM77" s="41"/>
      <c r="CLN77" s="41"/>
      <c r="CLO77" s="41"/>
      <c r="CLP77" s="41"/>
      <c r="CLQ77" s="139"/>
      <c r="CLR77" s="41"/>
      <c r="CLS77" s="41"/>
      <c r="CLT77" s="41"/>
      <c r="CLU77" s="41"/>
      <c r="CLV77" s="41"/>
      <c r="CLW77" s="76"/>
      <c r="CLX77" s="41"/>
      <c r="CLY77" s="41"/>
      <c r="CLZ77" s="41"/>
      <c r="CMA77" s="41"/>
      <c r="CMB77" s="41"/>
      <c r="CMC77" s="139"/>
      <c r="CMD77" s="41"/>
      <c r="CME77" s="41"/>
      <c r="CMF77" s="41"/>
      <c r="CMG77" s="41"/>
      <c r="CMH77" s="41"/>
      <c r="CMI77" s="76"/>
      <c r="CMJ77" s="66"/>
      <c r="CMK77" s="66"/>
      <c r="CML77" s="66"/>
      <c r="CMM77" s="66"/>
      <c r="CMN77" s="41"/>
      <c r="CMO77" s="139"/>
      <c r="CMP77" s="41"/>
      <c r="CMQ77" s="41"/>
      <c r="CMR77" s="41"/>
      <c r="CMS77" s="41"/>
      <c r="CMT77" s="41"/>
      <c r="CMU77" s="76"/>
      <c r="CMV77" s="41"/>
      <c r="CMW77" s="41"/>
      <c r="CMX77" s="41"/>
      <c r="CMY77" s="41"/>
      <c r="CMZ77" s="41"/>
      <c r="CNA77" s="139"/>
      <c r="CNB77" s="41"/>
      <c r="CNC77" s="41"/>
      <c r="CND77" s="41"/>
      <c r="CNE77" s="41"/>
      <c r="CNF77" s="41"/>
      <c r="CNG77" s="76"/>
      <c r="CNH77" s="41"/>
      <c r="CNI77" s="41"/>
      <c r="CNJ77" s="41"/>
      <c r="CNK77" s="41"/>
      <c r="CNL77" s="41"/>
      <c r="CNM77" s="42"/>
      <c r="CNN77" s="40"/>
      <c r="CNO77" s="66"/>
      <c r="CNP77" s="66"/>
      <c r="CNQ77" s="66"/>
      <c r="CNR77" s="41"/>
      <c r="CNS77" s="134"/>
      <c r="CNT77" s="41"/>
      <c r="CNU77" s="41"/>
      <c r="CNV77" s="41"/>
      <c r="CNW77" s="41"/>
      <c r="CNX77" s="41"/>
      <c r="CNY77" s="139"/>
      <c r="CNZ77" s="41"/>
      <c r="COA77" s="41"/>
      <c r="COB77" s="41"/>
      <c r="COC77" s="41"/>
      <c r="COD77" s="41"/>
      <c r="COE77" s="76"/>
      <c r="COF77" s="41"/>
      <c r="COG77" s="41"/>
      <c r="COH77" s="41"/>
      <c r="COI77" s="41"/>
      <c r="COJ77" s="41"/>
      <c r="COK77" s="139"/>
      <c r="COL77" s="41"/>
      <c r="COM77" s="41"/>
      <c r="CON77" s="41"/>
      <c r="COO77" s="41"/>
      <c r="COP77" s="41"/>
      <c r="COQ77" s="76"/>
      <c r="COR77" s="66"/>
      <c r="COS77" s="66"/>
      <c r="COT77" s="66"/>
      <c r="COU77" s="66"/>
      <c r="COV77" s="41"/>
      <c r="COW77" s="139"/>
      <c r="COX77" s="41"/>
      <c r="COY77" s="41"/>
      <c r="COZ77" s="41"/>
      <c r="CPA77" s="41"/>
      <c r="CPB77" s="41"/>
      <c r="CPC77" s="76"/>
      <c r="CPD77" s="41"/>
      <c r="CPE77" s="41"/>
      <c r="CPF77" s="41"/>
      <c r="CPG77" s="41"/>
      <c r="CPH77" s="41"/>
      <c r="CPI77" s="139"/>
      <c r="CPJ77" s="41"/>
      <c r="CPK77" s="41"/>
      <c r="CPL77" s="41"/>
      <c r="CPM77" s="41"/>
      <c r="CPN77" s="41"/>
      <c r="CPO77" s="76"/>
      <c r="CPP77" s="41"/>
      <c r="CPQ77" s="41"/>
      <c r="CPR77" s="41"/>
      <c r="CPS77" s="41"/>
      <c r="CPT77" s="41"/>
      <c r="CPU77" s="42"/>
      <c r="CPV77" s="40"/>
      <c r="CPW77" s="66"/>
      <c r="CPX77" s="66"/>
      <c r="CPY77" s="66"/>
      <c r="CPZ77" s="41"/>
      <c r="CQA77" s="134"/>
      <c r="CQB77" s="41"/>
      <c r="CQC77" s="41"/>
      <c r="CQD77" s="41"/>
      <c r="CQE77" s="41"/>
      <c r="CQF77" s="41"/>
      <c r="CQG77" s="139"/>
      <c r="CQH77" s="41"/>
      <c r="CQI77" s="41"/>
      <c r="CQJ77" s="41"/>
      <c r="CQK77" s="41"/>
      <c r="CQL77" s="41"/>
      <c r="CQM77" s="76"/>
      <c r="CQN77" s="41"/>
      <c r="CQO77" s="41"/>
      <c r="CQP77" s="41"/>
      <c r="CQQ77" s="41"/>
      <c r="CQR77" s="41"/>
      <c r="CQS77" s="139"/>
      <c r="CQT77" s="41"/>
      <c r="CQU77" s="41"/>
      <c r="CQV77" s="41"/>
      <c r="CQW77" s="41"/>
      <c r="CQX77" s="41"/>
      <c r="CQY77" s="76"/>
      <c r="CQZ77" s="66"/>
      <c r="CRA77" s="66"/>
      <c r="CRB77" s="66"/>
      <c r="CRC77" s="66"/>
      <c r="CRD77" s="41"/>
      <c r="CRE77" s="139"/>
      <c r="CRF77" s="41"/>
      <c r="CRG77" s="41"/>
      <c r="CRH77" s="41"/>
      <c r="CRI77" s="41"/>
      <c r="CRJ77" s="41"/>
      <c r="CRK77" s="76"/>
      <c r="CRL77" s="41"/>
      <c r="CRM77" s="41"/>
      <c r="CRN77" s="41"/>
      <c r="CRO77" s="41"/>
      <c r="CRP77" s="41"/>
      <c r="CRQ77" s="139"/>
      <c r="CRR77" s="41"/>
      <c r="CRS77" s="41"/>
      <c r="CRT77" s="41"/>
      <c r="CRU77" s="41"/>
      <c r="CRV77" s="41"/>
      <c r="CRW77" s="76"/>
      <c r="CRX77" s="41"/>
      <c r="CRY77" s="41"/>
      <c r="CRZ77" s="41"/>
      <c r="CSA77" s="41"/>
      <c r="CSB77" s="41"/>
      <c r="CSC77" s="42"/>
      <c r="CSD77" s="90"/>
    </row>
    <row r="78" spans="1:2526" ht="20.100000000000001" customHeight="1" x14ac:dyDescent="0.25">
      <c r="A78" s="100" t="s">
        <v>19</v>
      </c>
      <c r="B78" s="63"/>
      <c r="C78" s="213"/>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28"/>
      <c r="BLW78" s="67"/>
      <c r="BLX78" s="67"/>
      <c r="BLY78" s="67"/>
      <c r="BLZ78" s="29"/>
      <c r="BMA78" s="133"/>
      <c r="BMB78" s="29"/>
      <c r="BMC78" s="29"/>
      <c r="BMD78" s="29"/>
      <c r="BME78" s="29"/>
      <c r="BMF78" s="29"/>
      <c r="BMG78" s="138"/>
      <c r="BMH78" s="29"/>
      <c r="BMI78" s="29"/>
      <c r="BMJ78" s="29"/>
      <c r="BMK78" s="29"/>
      <c r="BML78" s="29"/>
      <c r="BMM78" s="75"/>
      <c r="BMN78" s="29"/>
      <c r="BMO78" s="29"/>
      <c r="BMP78" s="29"/>
      <c r="BMQ78" s="29"/>
      <c r="BMR78" s="29"/>
      <c r="BMS78" s="138"/>
      <c r="BMT78" s="29"/>
      <c r="BMU78" s="29"/>
      <c r="BMV78" s="29"/>
      <c r="BMW78" s="29"/>
      <c r="BMX78" s="29"/>
      <c r="BMY78" s="75"/>
      <c r="BMZ78" s="67"/>
      <c r="BNA78" s="67"/>
      <c r="BNB78" s="67"/>
      <c r="BNC78" s="67"/>
      <c r="BND78" s="29"/>
      <c r="BNE78" s="138"/>
      <c r="BNF78" s="29"/>
      <c r="BNG78" s="29"/>
      <c r="BNH78" s="29"/>
      <c r="BNI78" s="29"/>
      <c r="BNJ78" s="29"/>
      <c r="BNK78" s="75"/>
      <c r="BNL78" s="29"/>
      <c r="BNM78" s="29"/>
      <c r="BNN78" s="29"/>
      <c r="BNO78" s="29"/>
      <c r="BNP78" s="29"/>
      <c r="BNQ78" s="138"/>
      <c r="BNR78" s="29"/>
      <c r="BNS78" s="29"/>
      <c r="BNT78" s="29"/>
      <c r="BNU78" s="29"/>
      <c r="BNV78" s="29"/>
      <c r="BNW78" s="75"/>
      <c r="BNX78" s="29"/>
      <c r="BNY78" s="29"/>
      <c r="BNZ78" s="29"/>
      <c r="BOA78" s="29"/>
      <c r="BOB78" s="29"/>
      <c r="BOC78" s="30"/>
      <c r="BOD78" s="28"/>
      <c r="BOE78" s="67"/>
      <c r="BOF78" s="67"/>
      <c r="BOG78" s="67"/>
      <c r="BOH78" s="29"/>
      <c r="BOI78" s="133"/>
      <c r="BOJ78" s="29"/>
      <c r="BOK78" s="29"/>
      <c r="BOL78" s="29"/>
      <c r="BOM78" s="29"/>
      <c r="BON78" s="29"/>
      <c r="BOO78" s="138"/>
      <c r="BOP78" s="29"/>
      <c r="BOQ78" s="29"/>
      <c r="BOR78" s="29"/>
      <c r="BOS78" s="29"/>
      <c r="BOT78" s="29"/>
      <c r="BOU78" s="75"/>
      <c r="BOV78" s="29"/>
      <c r="BOW78" s="29"/>
      <c r="BOX78" s="29"/>
      <c r="BOY78" s="29"/>
      <c r="BOZ78" s="29"/>
      <c r="BPA78" s="138"/>
      <c r="BPB78" s="29"/>
      <c r="BPC78" s="29"/>
      <c r="BPD78" s="29"/>
      <c r="BPE78" s="29"/>
      <c r="BPF78" s="29"/>
      <c r="BPG78" s="75"/>
      <c r="BPH78" s="67"/>
      <c r="BPI78" s="67"/>
      <c r="BPJ78" s="67"/>
      <c r="BPK78" s="67"/>
      <c r="BPL78" s="29"/>
      <c r="BPM78" s="138"/>
      <c r="BPN78" s="29"/>
      <c r="BPO78" s="29"/>
      <c r="BPP78" s="29"/>
      <c r="BPQ78" s="29"/>
      <c r="BPR78" s="29"/>
      <c r="BPS78" s="75"/>
      <c r="BPT78" s="29"/>
      <c r="BPU78" s="29"/>
      <c r="BPV78" s="29"/>
      <c r="BPW78" s="29"/>
      <c r="BPX78" s="29"/>
      <c r="BPY78" s="138"/>
      <c r="BPZ78" s="29"/>
      <c r="BQA78" s="29"/>
      <c r="BQB78" s="29"/>
      <c r="BQC78" s="29"/>
      <c r="BQD78" s="29"/>
      <c r="BQE78" s="75"/>
      <c r="BQF78" s="29"/>
      <c r="BQG78" s="29"/>
      <c r="BQH78" s="29"/>
      <c r="BQI78" s="29"/>
      <c r="BQJ78" s="29"/>
      <c r="BQK78" s="30"/>
      <c r="BQL78" s="28"/>
      <c r="BQM78" s="67"/>
      <c r="BQN78" s="67"/>
      <c r="BQO78" s="67"/>
      <c r="BQP78" s="29"/>
      <c r="BQQ78" s="133"/>
      <c r="BQR78" s="29"/>
      <c r="BQS78" s="29"/>
      <c r="BQT78" s="29"/>
      <c r="BQU78" s="29"/>
      <c r="BQV78" s="29"/>
      <c r="BQW78" s="138"/>
      <c r="BQX78" s="29"/>
      <c r="BQY78" s="29"/>
      <c r="BQZ78" s="29"/>
      <c r="BRA78" s="29"/>
      <c r="BRB78" s="29"/>
      <c r="BRC78" s="75"/>
      <c r="BRD78" s="29"/>
      <c r="BRE78" s="29"/>
      <c r="BRF78" s="29"/>
      <c r="BRG78" s="29"/>
      <c r="BRH78" s="29"/>
      <c r="BRI78" s="138"/>
      <c r="BRJ78" s="29"/>
      <c r="BRK78" s="29"/>
      <c r="BRL78" s="29"/>
      <c r="BRM78" s="29"/>
      <c r="BRN78" s="29"/>
      <c r="BRO78" s="75"/>
      <c r="BRP78" s="67"/>
      <c r="BRQ78" s="67"/>
      <c r="BRR78" s="67"/>
      <c r="BRS78" s="67"/>
      <c r="BRT78" s="29"/>
      <c r="BRU78" s="138"/>
      <c r="BRV78" s="29"/>
      <c r="BRW78" s="29"/>
      <c r="BRX78" s="29"/>
      <c r="BRY78" s="29"/>
      <c r="BRZ78" s="29"/>
      <c r="BSA78" s="75"/>
      <c r="BSB78" s="29"/>
      <c r="BSC78" s="29"/>
      <c r="BSD78" s="29"/>
      <c r="BSE78" s="29"/>
      <c r="BSF78" s="29"/>
      <c r="BSG78" s="138"/>
      <c r="BSH78" s="29"/>
      <c r="BSI78" s="29"/>
      <c r="BSJ78" s="29"/>
      <c r="BSK78" s="29"/>
      <c r="BSL78" s="29"/>
      <c r="BSM78" s="75"/>
      <c r="BSN78" s="29"/>
      <c r="BSO78" s="29"/>
      <c r="BSP78" s="29"/>
      <c r="BSQ78" s="29"/>
      <c r="BSR78" s="29"/>
      <c r="BSS78" s="30"/>
      <c r="BST78" s="28"/>
      <c r="BSU78" s="67"/>
      <c r="BSV78" s="67"/>
      <c r="BSW78" s="67"/>
      <c r="BSX78" s="29"/>
      <c r="BSY78" s="133"/>
      <c r="BSZ78" s="29"/>
      <c r="BTA78" s="29"/>
      <c r="BTB78" s="29"/>
      <c r="BTC78" s="29"/>
      <c r="BTD78" s="29"/>
      <c r="BTE78" s="138"/>
      <c r="BTF78" s="29"/>
      <c r="BTG78" s="29"/>
      <c r="BTH78" s="29"/>
      <c r="BTI78" s="29"/>
      <c r="BTJ78" s="29"/>
      <c r="BTK78" s="75"/>
      <c r="BTL78" s="29"/>
      <c r="BTM78" s="29"/>
      <c r="BTN78" s="29"/>
      <c r="BTO78" s="29"/>
      <c r="BTP78" s="29"/>
      <c r="BTQ78" s="138"/>
      <c r="BTR78" s="29"/>
      <c r="BTS78" s="29"/>
      <c r="BTT78" s="29"/>
      <c r="BTU78" s="29"/>
      <c r="BTV78" s="29"/>
      <c r="BTW78" s="75"/>
      <c r="BTX78" s="67"/>
      <c r="BTY78" s="67"/>
      <c r="BTZ78" s="67"/>
      <c r="BUA78" s="67"/>
      <c r="BUB78" s="29"/>
      <c r="BUC78" s="138"/>
      <c r="BUD78" s="29"/>
      <c r="BUE78" s="29"/>
      <c r="BUF78" s="29"/>
      <c r="BUG78" s="29"/>
      <c r="BUH78" s="29"/>
      <c r="BUI78" s="75"/>
      <c r="BUJ78" s="29"/>
      <c r="BUK78" s="29"/>
      <c r="BUL78" s="29"/>
      <c r="BUM78" s="29"/>
      <c r="BUN78" s="29"/>
      <c r="BUO78" s="138"/>
      <c r="BUP78" s="29"/>
      <c r="BUQ78" s="29"/>
      <c r="BUR78" s="29"/>
      <c r="BUS78" s="29"/>
      <c r="BUT78" s="29"/>
      <c r="BUU78" s="75"/>
      <c r="BUV78" s="29"/>
      <c r="BUW78" s="29"/>
      <c r="BUX78" s="29"/>
      <c r="BUY78" s="29"/>
      <c r="BUZ78" s="29"/>
      <c r="BVA78" s="30"/>
      <c r="BVB78" s="28"/>
      <c r="BVC78" s="67"/>
      <c r="BVD78" s="67"/>
      <c r="BVE78" s="67"/>
      <c r="BVF78" s="29"/>
      <c r="BVG78" s="133"/>
      <c r="BVH78" s="29"/>
      <c r="BVI78" s="29"/>
      <c r="BVJ78" s="29"/>
      <c r="BVK78" s="29"/>
      <c r="BVL78" s="29"/>
      <c r="BVM78" s="138"/>
      <c r="BVN78" s="29"/>
      <c r="BVO78" s="29"/>
      <c r="BVP78" s="29"/>
      <c r="BVQ78" s="29"/>
      <c r="BVR78" s="29"/>
      <c r="BVS78" s="75"/>
      <c r="BVT78" s="29"/>
      <c r="BVU78" s="29"/>
      <c r="BVV78" s="29"/>
      <c r="BVW78" s="29"/>
      <c r="BVX78" s="29"/>
      <c r="BVY78" s="138"/>
      <c r="BVZ78" s="29"/>
      <c r="BWA78" s="29"/>
      <c r="BWB78" s="29"/>
      <c r="BWC78" s="29"/>
      <c r="BWD78" s="29"/>
      <c r="BWE78" s="75"/>
      <c r="BWF78" s="67"/>
      <c r="BWG78" s="67"/>
      <c r="BWH78" s="67"/>
      <c r="BWI78" s="67"/>
      <c r="BWJ78" s="29"/>
      <c r="BWK78" s="138"/>
      <c r="BWL78" s="29"/>
      <c r="BWM78" s="29"/>
      <c r="BWN78" s="29"/>
      <c r="BWO78" s="29"/>
      <c r="BWP78" s="29"/>
      <c r="BWQ78" s="75"/>
      <c r="BWR78" s="29"/>
      <c r="BWS78" s="29"/>
      <c r="BWT78" s="29"/>
      <c r="BWU78" s="29"/>
      <c r="BWV78" s="29"/>
      <c r="BWW78" s="138"/>
      <c r="BWX78" s="29"/>
      <c r="BWY78" s="29"/>
      <c r="BWZ78" s="29"/>
      <c r="BXA78" s="29"/>
      <c r="BXB78" s="29"/>
      <c r="BXC78" s="75"/>
      <c r="BXD78" s="29"/>
      <c r="BXE78" s="29"/>
      <c r="BXF78" s="29"/>
      <c r="BXG78" s="29"/>
      <c r="BXH78" s="29"/>
      <c r="BXI78" s="30"/>
      <c r="BXJ78" s="28"/>
      <c r="BXK78" s="67"/>
      <c r="BXL78" s="67"/>
      <c r="BXM78" s="67"/>
      <c r="BXN78" s="29"/>
      <c r="BXO78" s="133"/>
      <c r="BXP78" s="29"/>
      <c r="BXQ78" s="29"/>
      <c r="BXR78" s="29"/>
      <c r="BXS78" s="29"/>
      <c r="BXT78" s="29"/>
      <c r="BXU78" s="138"/>
      <c r="BXV78" s="29"/>
      <c r="BXW78" s="29"/>
      <c r="BXX78" s="29"/>
      <c r="BXY78" s="29"/>
      <c r="BXZ78" s="29"/>
      <c r="BYA78" s="75"/>
      <c r="BYB78" s="29"/>
      <c r="BYC78" s="29"/>
      <c r="BYD78" s="29"/>
      <c r="BYE78" s="29"/>
      <c r="BYF78" s="29"/>
      <c r="BYG78" s="138"/>
      <c r="BYH78" s="29"/>
      <c r="BYI78" s="29"/>
      <c r="BYJ78" s="29"/>
      <c r="BYK78" s="29"/>
      <c r="BYL78" s="29"/>
      <c r="BYM78" s="75"/>
      <c r="BYN78" s="67"/>
      <c r="BYO78" s="67"/>
      <c r="BYP78" s="67"/>
      <c r="BYQ78" s="67"/>
      <c r="BYR78" s="29"/>
      <c r="BYS78" s="138"/>
      <c r="BYT78" s="29"/>
      <c r="BYU78" s="29"/>
      <c r="BYV78" s="29"/>
      <c r="BYW78" s="29"/>
      <c r="BYX78" s="29"/>
      <c r="BYY78" s="75"/>
      <c r="BYZ78" s="29"/>
      <c r="BZA78" s="29"/>
      <c r="BZB78" s="29"/>
      <c r="BZC78" s="29"/>
      <c r="BZD78" s="29"/>
      <c r="BZE78" s="138"/>
      <c r="BZF78" s="29"/>
      <c r="BZG78" s="29"/>
      <c r="BZH78" s="29"/>
      <c r="BZI78" s="29"/>
      <c r="BZJ78" s="29"/>
      <c r="BZK78" s="75"/>
      <c r="BZL78" s="29"/>
      <c r="BZM78" s="29"/>
      <c r="BZN78" s="29"/>
      <c r="BZO78" s="29"/>
      <c r="BZP78" s="29"/>
      <c r="BZQ78" s="30"/>
      <c r="BZR78" s="28"/>
      <c r="BZS78" s="67"/>
      <c r="BZT78" s="67"/>
      <c r="BZU78" s="67"/>
      <c r="BZV78" s="29"/>
      <c r="BZW78" s="133"/>
      <c r="BZX78" s="29"/>
      <c r="BZY78" s="29"/>
      <c r="BZZ78" s="29"/>
      <c r="CAA78" s="29"/>
      <c r="CAB78" s="29"/>
      <c r="CAC78" s="138"/>
      <c r="CAD78" s="29"/>
      <c r="CAE78" s="29"/>
      <c r="CAF78" s="29"/>
      <c r="CAG78" s="29"/>
      <c r="CAH78" s="29"/>
      <c r="CAI78" s="75"/>
      <c r="CAJ78" s="29"/>
      <c r="CAK78" s="29"/>
      <c r="CAL78" s="29"/>
      <c r="CAM78" s="29"/>
      <c r="CAN78" s="29"/>
      <c r="CAO78" s="138"/>
      <c r="CAP78" s="29"/>
      <c r="CAQ78" s="29"/>
      <c r="CAR78" s="29"/>
      <c r="CAS78" s="29"/>
      <c r="CAT78" s="29"/>
      <c r="CAU78" s="75"/>
      <c r="CAV78" s="67"/>
      <c r="CAW78" s="67"/>
      <c r="CAX78" s="67"/>
      <c r="CAY78" s="67"/>
      <c r="CAZ78" s="29"/>
      <c r="CBA78" s="138"/>
      <c r="CBB78" s="29"/>
      <c r="CBC78" s="29"/>
      <c r="CBD78" s="29"/>
      <c r="CBE78" s="29"/>
      <c r="CBF78" s="29"/>
      <c r="CBG78" s="75"/>
      <c r="CBH78" s="29"/>
      <c r="CBI78" s="29"/>
      <c r="CBJ78" s="29"/>
      <c r="CBK78" s="29"/>
      <c r="CBL78" s="29"/>
      <c r="CBM78" s="138"/>
      <c r="CBN78" s="29"/>
      <c r="CBO78" s="29"/>
      <c r="CBP78" s="29"/>
      <c r="CBQ78" s="29"/>
      <c r="CBR78" s="29"/>
      <c r="CBS78" s="75"/>
      <c r="CBT78" s="29"/>
      <c r="CBU78" s="29"/>
      <c r="CBV78" s="29"/>
      <c r="CBW78" s="29"/>
      <c r="CBX78" s="29"/>
      <c r="CBY78" s="30"/>
      <c r="CBZ78" s="28"/>
      <c r="CCA78" s="67"/>
      <c r="CCB78" s="67"/>
      <c r="CCC78" s="67"/>
      <c r="CCD78" s="29"/>
      <c r="CCE78" s="133"/>
      <c r="CCF78" s="29"/>
      <c r="CCG78" s="29"/>
      <c r="CCH78" s="29"/>
      <c r="CCI78" s="29"/>
      <c r="CCJ78" s="29"/>
      <c r="CCK78" s="138"/>
      <c r="CCL78" s="29"/>
      <c r="CCM78" s="29"/>
      <c r="CCN78" s="29"/>
      <c r="CCO78" s="29"/>
      <c r="CCP78" s="29"/>
      <c r="CCQ78" s="75"/>
      <c r="CCR78" s="29"/>
      <c r="CCS78" s="29"/>
      <c r="CCT78" s="29"/>
      <c r="CCU78" s="29"/>
      <c r="CCV78" s="29"/>
      <c r="CCW78" s="138"/>
      <c r="CCX78" s="29"/>
      <c r="CCY78" s="29"/>
      <c r="CCZ78" s="29"/>
      <c r="CDA78" s="29"/>
      <c r="CDB78" s="29"/>
      <c r="CDC78" s="75"/>
      <c r="CDD78" s="67"/>
      <c r="CDE78" s="67"/>
      <c r="CDF78" s="67"/>
      <c r="CDG78" s="67"/>
      <c r="CDH78" s="29"/>
      <c r="CDI78" s="138"/>
      <c r="CDJ78" s="29"/>
      <c r="CDK78" s="29"/>
      <c r="CDL78" s="29"/>
      <c r="CDM78" s="29"/>
      <c r="CDN78" s="29"/>
      <c r="CDO78" s="75"/>
      <c r="CDP78" s="29"/>
      <c r="CDQ78" s="29"/>
      <c r="CDR78" s="29"/>
      <c r="CDS78" s="29"/>
      <c r="CDT78" s="29"/>
      <c r="CDU78" s="138"/>
      <c r="CDV78" s="29"/>
      <c r="CDW78" s="29"/>
      <c r="CDX78" s="29"/>
      <c r="CDY78" s="29"/>
      <c r="CDZ78" s="29"/>
      <c r="CEA78" s="75"/>
      <c r="CEB78" s="29"/>
      <c r="CEC78" s="29"/>
      <c r="CED78" s="29"/>
      <c r="CEE78" s="29"/>
      <c r="CEF78" s="29"/>
      <c r="CEG78" s="30"/>
      <c r="CEH78" s="28"/>
      <c r="CEI78" s="67"/>
      <c r="CEJ78" s="67"/>
      <c r="CEK78" s="67"/>
      <c r="CEL78" s="29"/>
      <c r="CEM78" s="133"/>
      <c r="CEN78" s="29"/>
      <c r="CEO78" s="29"/>
      <c r="CEP78" s="29"/>
      <c r="CEQ78" s="29"/>
      <c r="CER78" s="29"/>
      <c r="CES78" s="138"/>
      <c r="CET78" s="29"/>
      <c r="CEU78" s="29"/>
      <c r="CEV78" s="29"/>
      <c r="CEW78" s="29"/>
      <c r="CEX78" s="29"/>
      <c r="CEY78" s="75"/>
      <c r="CEZ78" s="29"/>
      <c r="CFA78" s="29"/>
      <c r="CFB78" s="29"/>
      <c r="CFC78" s="29"/>
      <c r="CFD78" s="29"/>
      <c r="CFE78" s="138"/>
      <c r="CFF78" s="29"/>
      <c r="CFG78" s="29"/>
      <c r="CFH78" s="29"/>
      <c r="CFI78" s="29"/>
      <c r="CFJ78" s="29"/>
      <c r="CFK78" s="75"/>
      <c r="CFL78" s="67"/>
      <c r="CFM78" s="67"/>
      <c r="CFN78" s="67"/>
      <c r="CFO78" s="67"/>
      <c r="CFP78" s="29"/>
      <c r="CFQ78" s="138"/>
      <c r="CFR78" s="29"/>
      <c r="CFS78" s="29"/>
      <c r="CFT78" s="29"/>
      <c r="CFU78" s="29"/>
      <c r="CFV78" s="29"/>
      <c r="CFW78" s="75"/>
      <c r="CFX78" s="29"/>
      <c r="CFY78" s="29"/>
      <c r="CFZ78" s="29"/>
      <c r="CGA78" s="29"/>
      <c r="CGB78" s="29"/>
      <c r="CGC78" s="138"/>
      <c r="CGD78" s="29"/>
      <c r="CGE78" s="29"/>
      <c r="CGF78" s="29"/>
      <c r="CGG78" s="29"/>
      <c r="CGH78" s="29"/>
      <c r="CGI78" s="75"/>
      <c r="CGJ78" s="29"/>
      <c r="CGK78" s="29"/>
      <c r="CGL78" s="29"/>
      <c r="CGM78" s="29"/>
      <c r="CGN78" s="29"/>
      <c r="CGO78" s="30"/>
      <c r="CGP78" s="28"/>
      <c r="CGQ78" s="67"/>
      <c r="CGR78" s="67"/>
      <c r="CGS78" s="67"/>
      <c r="CGT78" s="29"/>
      <c r="CGU78" s="133"/>
      <c r="CGV78" s="29"/>
      <c r="CGW78" s="29"/>
      <c r="CGX78" s="29"/>
      <c r="CGY78" s="29"/>
      <c r="CGZ78" s="29"/>
      <c r="CHA78" s="138"/>
      <c r="CHB78" s="29"/>
      <c r="CHC78" s="29"/>
      <c r="CHD78" s="29"/>
      <c r="CHE78" s="29"/>
      <c r="CHF78" s="29"/>
      <c r="CHG78" s="75"/>
      <c r="CHH78" s="29"/>
      <c r="CHI78" s="29"/>
      <c r="CHJ78" s="29"/>
      <c r="CHK78" s="29"/>
      <c r="CHL78" s="29"/>
      <c r="CHM78" s="138"/>
      <c r="CHN78" s="29"/>
      <c r="CHO78" s="29"/>
      <c r="CHP78" s="29"/>
      <c r="CHQ78" s="29"/>
      <c r="CHR78" s="29"/>
      <c r="CHS78" s="75"/>
      <c r="CHT78" s="67"/>
      <c r="CHU78" s="67"/>
      <c r="CHV78" s="67"/>
      <c r="CHW78" s="67"/>
      <c r="CHX78" s="29"/>
      <c r="CHY78" s="138"/>
      <c r="CHZ78" s="29"/>
      <c r="CIA78" s="29"/>
      <c r="CIB78" s="29"/>
      <c r="CIC78" s="29"/>
      <c r="CID78" s="29"/>
      <c r="CIE78" s="75"/>
      <c r="CIF78" s="29"/>
      <c r="CIG78" s="29"/>
      <c r="CIH78" s="29"/>
      <c r="CII78" s="29"/>
      <c r="CIJ78" s="29"/>
      <c r="CIK78" s="138"/>
      <c r="CIL78" s="29"/>
      <c r="CIM78" s="29"/>
      <c r="CIN78" s="29"/>
      <c r="CIO78" s="29"/>
      <c r="CIP78" s="29"/>
      <c r="CIQ78" s="75"/>
      <c r="CIR78" s="29"/>
      <c r="CIS78" s="29"/>
      <c r="CIT78" s="29"/>
      <c r="CIU78" s="29"/>
      <c r="CIV78" s="29"/>
      <c r="CIW78" s="30"/>
      <c r="CIX78" s="28"/>
      <c r="CIY78" s="67"/>
      <c r="CIZ78" s="67"/>
      <c r="CJA78" s="67"/>
      <c r="CJB78" s="29"/>
      <c r="CJC78" s="133"/>
      <c r="CJD78" s="29"/>
      <c r="CJE78" s="29"/>
      <c r="CJF78" s="29"/>
      <c r="CJG78" s="29"/>
      <c r="CJH78" s="29"/>
      <c r="CJI78" s="138"/>
      <c r="CJJ78" s="29"/>
      <c r="CJK78" s="29"/>
      <c r="CJL78" s="29"/>
      <c r="CJM78" s="29"/>
      <c r="CJN78" s="29"/>
      <c r="CJO78" s="75"/>
      <c r="CJP78" s="29"/>
      <c r="CJQ78" s="29"/>
      <c r="CJR78" s="29"/>
      <c r="CJS78" s="29"/>
      <c r="CJT78" s="29"/>
      <c r="CJU78" s="138"/>
      <c r="CJV78" s="29"/>
      <c r="CJW78" s="29"/>
      <c r="CJX78" s="29"/>
      <c r="CJY78" s="29"/>
      <c r="CJZ78" s="29"/>
      <c r="CKA78" s="75"/>
      <c r="CKB78" s="67"/>
      <c r="CKC78" s="67"/>
      <c r="CKD78" s="67"/>
      <c r="CKE78" s="67"/>
      <c r="CKF78" s="29"/>
      <c r="CKG78" s="138"/>
      <c r="CKH78" s="29"/>
      <c r="CKI78" s="29"/>
      <c r="CKJ78" s="29"/>
      <c r="CKK78" s="29"/>
      <c r="CKL78" s="29"/>
      <c r="CKM78" s="75"/>
      <c r="CKN78" s="29"/>
      <c r="CKO78" s="29"/>
      <c r="CKP78" s="29"/>
      <c r="CKQ78" s="29"/>
      <c r="CKR78" s="29"/>
      <c r="CKS78" s="138"/>
      <c r="CKT78" s="29"/>
      <c r="CKU78" s="29"/>
      <c r="CKV78" s="29"/>
      <c r="CKW78" s="29"/>
      <c r="CKX78" s="29"/>
      <c r="CKY78" s="75"/>
      <c r="CKZ78" s="29"/>
      <c r="CLA78" s="29"/>
      <c r="CLB78" s="29"/>
      <c r="CLC78" s="29"/>
      <c r="CLD78" s="29"/>
      <c r="CLE78" s="30"/>
      <c r="CLF78" s="28"/>
      <c r="CLG78" s="67"/>
      <c r="CLH78" s="67"/>
      <c r="CLI78" s="67"/>
      <c r="CLJ78" s="29"/>
      <c r="CLK78" s="133"/>
      <c r="CLL78" s="29"/>
      <c r="CLM78" s="29"/>
      <c r="CLN78" s="29"/>
      <c r="CLO78" s="29"/>
      <c r="CLP78" s="29"/>
      <c r="CLQ78" s="138"/>
      <c r="CLR78" s="29"/>
      <c r="CLS78" s="29"/>
      <c r="CLT78" s="29"/>
      <c r="CLU78" s="29"/>
      <c r="CLV78" s="29"/>
      <c r="CLW78" s="75"/>
      <c r="CLX78" s="29"/>
      <c r="CLY78" s="29"/>
      <c r="CLZ78" s="29"/>
      <c r="CMA78" s="29"/>
      <c r="CMB78" s="29"/>
      <c r="CMC78" s="138"/>
      <c r="CMD78" s="29"/>
      <c r="CME78" s="29"/>
      <c r="CMF78" s="29"/>
      <c r="CMG78" s="29"/>
      <c r="CMH78" s="29"/>
      <c r="CMI78" s="75"/>
      <c r="CMJ78" s="67"/>
      <c r="CMK78" s="67"/>
      <c r="CML78" s="67"/>
      <c r="CMM78" s="67"/>
      <c r="CMN78" s="29"/>
      <c r="CMO78" s="138"/>
      <c r="CMP78" s="29"/>
      <c r="CMQ78" s="29"/>
      <c r="CMR78" s="29"/>
      <c r="CMS78" s="29"/>
      <c r="CMT78" s="29"/>
      <c r="CMU78" s="75"/>
      <c r="CMV78" s="29"/>
      <c r="CMW78" s="29"/>
      <c r="CMX78" s="29"/>
      <c r="CMY78" s="29"/>
      <c r="CMZ78" s="29"/>
      <c r="CNA78" s="138"/>
      <c r="CNB78" s="29"/>
      <c r="CNC78" s="29"/>
      <c r="CND78" s="29"/>
      <c r="CNE78" s="29"/>
      <c r="CNF78" s="29"/>
      <c r="CNG78" s="75"/>
      <c r="CNH78" s="29"/>
      <c r="CNI78" s="29"/>
      <c r="CNJ78" s="29"/>
      <c r="CNK78" s="29"/>
      <c r="CNL78" s="29"/>
      <c r="CNM78" s="30"/>
      <c r="CNN78" s="28"/>
      <c r="CNO78" s="67"/>
      <c r="CNP78" s="67"/>
      <c r="CNQ78" s="67"/>
      <c r="CNR78" s="29"/>
      <c r="CNS78" s="133"/>
      <c r="CNT78" s="29"/>
      <c r="CNU78" s="29"/>
      <c r="CNV78" s="29"/>
      <c r="CNW78" s="29"/>
      <c r="CNX78" s="29"/>
      <c r="CNY78" s="138"/>
      <c r="CNZ78" s="29"/>
      <c r="COA78" s="29"/>
      <c r="COB78" s="29"/>
      <c r="COC78" s="29"/>
      <c r="COD78" s="29"/>
      <c r="COE78" s="75"/>
      <c r="COF78" s="29"/>
      <c r="COG78" s="29"/>
      <c r="COH78" s="29"/>
      <c r="COI78" s="29"/>
      <c r="COJ78" s="29"/>
      <c r="COK78" s="138"/>
      <c r="COL78" s="29"/>
      <c r="COM78" s="29"/>
      <c r="CON78" s="29"/>
      <c r="COO78" s="29"/>
      <c r="COP78" s="29"/>
      <c r="COQ78" s="75"/>
      <c r="COR78" s="67"/>
      <c r="COS78" s="67"/>
      <c r="COT78" s="67"/>
      <c r="COU78" s="67"/>
      <c r="COV78" s="29"/>
      <c r="COW78" s="138"/>
      <c r="COX78" s="29"/>
      <c r="COY78" s="29"/>
      <c r="COZ78" s="29"/>
      <c r="CPA78" s="29"/>
      <c r="CPB78" s="29"/>
      <c r="CPC78" s="75"/>
      <c r="CPD78" s="29"/>
      <c r="CPE78" s="29"/>
      <c r="CPF78" s="29"/>
      <c r="CPG78" s="29"/>
      <c r="CPH78" s="29"/>
      <c r="CPI78" s="138"/>
      <c r="CPJ78" s="29"/>
      <c r="CPK78" s="29"/>
      <c r="CPL78" s="29"/>
      <c r="CPM78" s="29"/>
      <c r="CPN78" s="29"/>
      <c r="CPO78" s="75"/>
      <c r="CPP78" s="29"/>
      <c r="CPQ78" s="29"/>
      <c r="CPR78" s="29"/>
      <c r="CPS78" s="29"/>
      <c r="CPT78" s="29"/>
      <c r="CPU78" s="30"/>
      <c r="CPV78" s="28"/>
      <c r="CPW78" s="67"/>
      <c r="CPX78" s="67"/>
      <c r="CPY78" s="67"/>
      <c r="CPZ78" s="29"/>
      <c r="CQA78" s="133"/>
      <c r="CQB78" s="29"/>
      <c r="CQC78" s="29"/>
      <c r="CQD78" s="29"/>
      <c r="CQE78" s="29"/>
      <c r="CQF78" s="29"/>
      <c r="CQG78" s="138"/>
      <c r="CQH78" s="29"/>
      <c r="CQI78" s="29"/>
      <c r="CQJ78" s="29"/>
      <c r="CQK78" s="29"/>
      <c r="CQL78" s="29"/>
      <c r="CQM78" s="75"/>
      <c r="CQN78" s="29"/>
      <c r="CQO78" s="29"/>
      <c r="CQP78" s="29"/>
      <c r="CQQ78" s="29"/>
      <c r="CQR78" s="29"/>
      <c r="CQS78" s="138"/>
      <c r="CQT78" s="29"/>
      <c r="CQU78" s="29"/>
      <c r="CQV78" s="29"/>
      <c r="CQW78" s="29"/>
      <c r="CQX78" s="29"/>
      <c r="CQY78" s="75"/>
      <c r="CQZ78" s="67"/>
      <c r="CRA78" s="67"/>
      <c r="CRB78" s="67"/>
      <c r="CRC78" s="67"/>
      <c r="CRD78" s="29"/>
      <c r="CRE78" s="138"/>
      <c r="CRF78" s="29"/>
      <c r="CRG78" s="29"/>
      <c r="CRH78" s="29"/>
      <c r="CRI78" s="29"/>
      <c r="CRJ78" s="29"/>
      <c r="CRK78" s="75"/>
      <c r="CRL78" s="29"/>
      <c r="CRM78" s="29"/>
      <c r="CRN78" s="29"/>
      <c r="CRO78" s="29"/>
      <c r="CRP78" s="29"/>
      <c r="CRQ78" s="138"/>
      <c r="CRR78" s="29"/>
      <c r="CRS78" s="29"/>
      <c r="CRT78" s="29"/>
      <c r="CRU78" s="29"/>
      <c r="CRV78" s="29"/>
      <c r="CRW78" s="75"/>
      <c r="CRX78" s="29"/>
      <c r="CRY78" s="29"/>
      <c r="CRZ78" s="29"/>
      <c r="CSA78" s="29"/>
      <c r="CSB78" s="29"/>
      <c r="CSC78" s="30"/>
      <c r="CSD78" s="90"/>
    </row>
    <row r="79" spans="1:2526" ht="20.100000000000001" customHeight="1" x14ac:dyDescent="0.25">
      <c r="A79" s="100" t="s">
        <v>18</v>
      </c>
      <c r="B79" s="63"/>
      <c r="C79" s="211"/>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32"/>
      <c r="BLW79" s="64"/>
      <c r="BLX79" s="64"/>
      <c r="BLY79" s="64"/>
      <c r="BLZ79" s="33"/>
      <c r="BMA79" s="132"/>
      <c r="BMB79" s="33"/>
      <c r="BMC79" s="33"/>
      <c r="BMD79" s="33"/>
      <c r="BME79" s="33"/>
      <c r="BMF79" s="33"/>
      <c r="BMG79" s="137"/>
      <c r="BMH79" s="33"/>
      <c r="BMI79" s="33"/>
      <c r="BMJ79" s="33"/>
      <c r="BMK79" s="33"/>
      <c r="BML79" s="33"/>
      <c r="BMM79" s="74"/>
      <c r="BMN79" s="33"/>
      <c r="BMO79" s="33"/>
      <c r="BMP79" s="33"/>
      <c r="BMQ79" s="33"/>
      <c r="BMR79" s="33"/>
      <c r="BMS79" s="137"/>
      <c r="BMT79" s="33"/>
      <c r="BMU79" s="33"/>
      <c r="BMV79" s="33"/>
      <c r="BMW79" s="33"/>
      <c r="BMX79" s="33"/>
      <c r="BMY79" s="74"/>
      <c r="BMZ79" s="64"/>
      <c r="BNA79" s="64"/>
      <c r="BNB79" s="64"/>
      <c r="BNC79" s="64"/>
      <c r="BND79" s="33"/>
      <c r="BNE79" s="137"/>
      <c r="BNF79" s="33"/>
      <c r="BNG79" s="33"/>
      <c r="BNH79" s="33"/>
      <c r="BNI79" s="33"/>
      <c r="BNJ79" s="33"/>
      <c r="BNK79" s="74"/>
      <c r="BNL79" s="33"/>
      <c r="BNM79" s="33"/>
      <c r="BNN79" s="33"/>
      <c r="BNO79" s="33"/>
      <c r="BNP79" s="33"/>
      <c r="BNQ79" s="137"/>
      <c r="BNR79" s="33"/>
      <c r="BNS79" s="33"/>
      <c r="BNT79" s="33"/>
      <c r="BNU79" s="33"/>
      <c r="BNV79" s="33"/>
      <c r="BNW79" s="74"/>
      <c r="BNX79" s="33"/>
      <c r="BNY79" s="33"/>
      <c r="BNZ79" s="33"/>
      <c r="BOA79" s="33"/>
      <c r="BOB79" s="33"/>
      <c r="BOC79" s="34"/>
      <c r="BOD79" s="32"/>
      <c r="BOE79" s="64"/>
      <c r="BOF79" s="64"/>
      <c r="BOG79" s="64"/>
      <c r="BOH79" s="33"/>
      <c r="BOI79" s="132"/>
      <c r="BOJ79" s="33"/>
      <c r="BOK79" s="33"/>
      <c r="BOL79" s="33"/>
      <c r="BOM79" s="33"/>
      <c r="BON79" s="33"/>
      <c r="BOO79" s="137"/>
      <c r="BOP79" s="33"/>
      <c r="BOQ79" s="33"/>
      <c r="BOR79" s="33"/>
      <c r="BOS79" s="33"/>
      <c r="BOT79" s="33"/>
      <c r="BOU79" s="74"/>
      <c r="BOV79" s="33"/>
      <c r="BOW79" s="33"/>
      <c r="BOX79" s="33"/>
      <c r="BOY79" s="33"/>
      <c r="BOZ79" s="33"/>
      <c r="BPA79" s="137"/>
      <c r="BPB79" s="33"/>
      <c r="BPC79" s="33"/>
      <c r="BPD79" s="33"/>
      <c r="BPE79" s="33"/>
      <c r="BPF79" s="33"/>
      <c r="BPG79" s="74"/>
      <c r="BPH79" s="64"/>
      <c r="BPI79" s="64"/>
      <c r="BPJ79" s="64"/>
      <c r="BPK79" s="64"/>
      <c r="BPL79" s="33"/>
      <c r="BPM79" s="137"/>
      <c r="BPN79" s="33"/>
      <c r="BPO79" s="33"/>
      <c r="BPP79" s="33"/>
      <c r="BPQ79" s="33"/>
      <c r="BPR79" s="33"/>
      <c r="BPS79" s="74"/>
      <c r="BPT79" s="33"/>
      <c r="BPU79" s="33"/>
      <c r="BPV79" s="33"/>
      <c r="BPW79" s="33"/>
      <c r="BPX79" s="33"/>
      <c r="BPY79" s="137"/>
      <c r="BPZ79" s="33"/>
      <c r="BQA79" s="33"/>
      <c r="BQB79" s="33"/>
      <c r="BQC79" s="33"/>
      <c r="BQD79" s="33"/>
      <c r="BQE79" s="74"/>
      <c r="BQF79" s="33"/>
      <c r="BQG79" s="33"/>
      <c r="BQH79" s="33"/>
      <c r="BQI79" s="33"/>
      <c r="BQJ79" s="33"/>
      <c r="BQK79" s="34"/>
      <c r="BQL79" s="32"/>
      <c r="BQM79" s="64"/>
      <c r="BQN79" s="64"/>
      <c r="BQO79" s="64"/>
      <c r="BQP79" s="33"/>
      <c r="BQQ79" s="132"/>
      <c r="BQR79" s="33"/>
      <c r="BQS79" s="33"/>
      <c r="BQT79" s="33"/>
      <c r="BQU79" s="33"/>
      <c r="BQV79" s="33"/>
      <c r="BQW79" s="137"/>
      <c r="BQX79" s="33"/>
      <c r="BQY79" s="33"/>
      <c r="BQZ79" s="33"/>
      <c r="BRA79" s="33"/>
      <c r="BRB79" s="33"/>
      <c r="BRC79" s="74"/>
      <c r="BRD79" s="33"/>
      <c r="BRE79" s="33"/>
      <c r="BRF79" s="33"/>
      <c r="BRG79" s="33"/>
      <c r="BRH79" s="33"/>
      <c r="BRI79" s="137"/>
      <c r="BRJ79" s="33"/>
      <c r="BRK79" s="33"/>
      <c r="BRL79" s="33"/>
      <c r="BRM79" s="33"/>
      <c r="BRN79" s="33"/>
      <c r="BRO79" s="74"/>
      <c r="BRP79" s="64"/>
      <c r="BRQ79" s="64"/>
      <c r="BRR79" s="64"/>
      <c r="BRS79" s="64"/>
      <c r="BRT79" s="33"/>
      <c r="BRU79" s="137"/>
      <c r="BRV79" s="33"/>
      <c r="BRW79" s="33"/>
      <c r="BRX79" s="33"/>
      <c r="BRY79" s="33"/>
      <c r="BRZ79" s="33"/>
      <c r="BSA79" s="74"/>
      <c r="BSB79" s="33"/>
      <c r="BSC79" s="33"/>
      <c r="BSD79" s="33"/>
      <c r="BSE79" s="33"/>
      <c r="BSF79" s="33"/>
      <c r="BSG79" s="137"/>
      <c r="BSH79" s="33"/>
      <c r="BSI79" s="33"/>
      <c r="BSJ79" s="33"/>
      <c r="BSK79" s="33"/>
      <c r="BSL79" s="33"/>
      <c r="BSM79" s="74"/>
      <c r="BSN79" s="33"/>
      <c r="BSO79" s="33"/>
      <c r="BSP79" s="33"/>
      <c r="BSQ79" s="33"/>
      <c r="BSR79" s="33"/>
      <c r="BSS79" s="34"/>
      <c r="BST79" s="32"/>
      <c r="BSU79" s="64"/>
      <c r="BSV79" s="64"/>
      <c r="BSW79" s="64"/>
      <c r="BSX79" s="33"/>
      <c r="BSY79" s="132"/>
      <c r="BSZ79" s="33"/>
      <c r="BTA79" s="33"/>
      <c r="BTB79" s="33"/>
      <c r="BTC79" s="33"/>
      <c r="BTD79" s="33"/>
      <c r="BTE79" s="137"/>
      <c r="BTF79" s="33"/>
      <c r="BTG79" s="33"/>
      <c r="BTH79" s="33"/>
      <c r="BTI79" s="33"/>
      <c r="BTJ79" s="33"/>
      <c r="BTK79" s="74"/>
      <c r="BTL79" s="33"/>
      <c r="BTM79" s="33"/>
      <c r="BTN79" s="33"/>
      <c r="BTO79" s="33"/>
      <c r="BTP79" s="33"/>
      <c r="BTQ79" s="137"/>
      <c r="BTR79" s="33"/>
      <c r="BTS79" s="33"/>
      <c r="BTT79" s="33"/>
      <c r="BTU79" s="33"/>
      <c r="BTV79" s="33"/>
      <c r="BTW79" s="74"/>
      <c r="BTX79" s="64"/>
      <c r="BTY79" s="64"/>
      <c r="BTZ79" s="64"/>
      <c r="BUA79" s="64"/>
      <c r="BUB79" s="33"/>
      <c r="BUC79" s="137"/>
      <c r="BUD79" s="33"/>
      <c r="BUE79" s="33"/>
      <c r="BUF79" s="33"/>
      <c r="BUG79" s="33"/>
      <c r="BUH79" s="33"/>
      <c r="BUI79" s="74"/>
      <c r="BUJ79" s="33"/>
      <c r="BUK79" s="33"/>
      <c r="BUL79" s="33"/>
      <c r="BUM79" s="33"/>
      <c r="BUN79" s="33"/>
      <c r="BUO79" s="137"/>
      <c r="BUP79" s="33"/>
      <c r="BUQ79" s="33"/>
      <c r="BUR79" s="33"/>
      <c r="BUS79" s="33"/>
      <c r="BUT79" s="33"/>
      <c r="BUU79" s="74"/>
      <c r="BUV79" s="33"/>
      <c r="BUW79" s="33"/>
      <c r="BUX79" s="33"/>
      <c r="BUY79" s="33"/>
      <c r="BUZ79" s="33"/>
      <c r="BVA79" s="34"/>
      <c r="BVB79" s="32"/>
      <c r="BVC79" s="64"/>
      <c r="BVD79" s="64"/>
      <c r="BVE79" s="64"/>
      <c r="BVF79" s="33"/>
      <c r="BVG79" s="132"/>
      <c r="BVH79" s="33"/>
      <c r="BVI79" s="33"/>
      <c r="BVJ79" s="33"/>
      <c r="BVK79" s="33"/>
      <c r="BVL79" s="33"/>
      <c r="BVM79" s="137"/>
      <c r="BVN79" s="33"/>
      <c r="BVO79" s="33"/>
      <c r="BVP79" s="33"/>
      <c r="BVQ79" s="33"/>
      <c r="BVR79" s="33"/>
      <c r="BVS79" s="74"/>
      <c r="BVT79" s="33"/>
      <c r="BVU79" s="33"/>
      <c r="BVV79" s="33"/>
      <c r="BVW79" s="33"/>
      <c r="BVX79" s="33"/>
      <c r="BVY79" s="137"/>
      <c r="BVZ79" s="33"/>
      <c r="BWA79" s="33"/>
      <c r="BWB79" s="33"/>
      <c r="BWC79" s="33"/>
      <c r="BWD79" s="33"/>
      <c r="BWE79" s="74"/>
      <c r="BWF79" s="64"/>
      <c r="BWG79" s="64"/>
      <c r="BWH79" s="64"/>
      <c r="BWI79" s="64"/>
      <c r="BWJ79" s="33"/>
      <c r="BWK79" s="137"/>
      <c r="BWL79" s="33"/>
      <c r="BWM79" s="33"/>
      <c r="BWN79" s="33"/>
      <c r="BWO79" s="33"/>
      <c r="BWP79" s="33"/>
      <c r="BWQ79" s="74"/>
      <c r="BWR79" s="33"/>
      <c r="BWS79" s="33"/>
      <c r="BWT79" s="33"/>
      <c r="BWU79" s="33"/>
      <c r="BWV79" s="33"/>
      <c r="BWW79" s="137"/>
      <c r="BWX79" s="33"/>
      <c r="BWY79" s="33"/>
      <c r="BWZ79" s="33"/>
      <c r="BXA79" s="33"/>
      <c r="BXB79" s="33"/>
      <c r="BXC79" s="74"/>
      <c r="BXD79" s="33"/>
      <c r="BXE79" s="33"/>
      <c r="BXF79" s="33"/>
      <c r="BXG79" s="33"/>
      <c r="BXH79" s="33"/>
      <c r="BXI79" s="34"/>
      <c r="BXJ79" s="32"/>
      <c r="BXK79" s="64"/>
      <c r="BXL79" s="64"/>
      <c r="BXM79" s="64"/>
      <c r="BXN79" s="33"/>
      <c r="BXO79" s="132"/>
      <c r="BXP79" s="33"/>
      <c r="BXQ79" s="33"/>
      <c r="BXR79" s="33"/>
      <c r="BXS79" s="33"/>
      <c r="BXT79" s="33"/>
      <c r="BXU79" s="137"/>
      <c r="BXV79" s="33"/>
      <c r="BXW79" s="33"/>
      <c r="BXX79" s="33"/>
      <c r="BXY79" s="33"/>
      <c r="BXZ79" s="33"/>
      <c r="BYA79" s="74"/>
      <c r="BYB79" s="33"/>
      <c r="BYC79" s="33"/>
      <c r="BYD79" s="33"/>
      <c r="BYE79" s="33"/>
      <c r="BYF79" s="33"/>
      <c r="BYG79" s="137"/>
      <c r="BYH79" s="33"/>
      <c r="BYI79" s="33"/>
      <c r="BYJ79" s="33"/>
      <c r="BYK79" s="33"/>
      <c r="BYL79" s="33"/>
      <c r="BYM79" s="74"/>
      <c r="BYN79" s="64"/>
      <c r="BYO79" s="64"/>
      <c r="BYP79" s="64"/>
      <c r="BYQ79" s="64"/>
      <c r="BYR79" s="33"/>
      <c r="BYS79" s="137"/>
      <c r="BYT79" s="33"/>
      <c r="BYU79" s="33"/>
      <c r="BYV79" s="33"/>
      <c r="BYW79" s="33"/>
      <c r="BYX79" s="33"/>
      <c r="BYY79" s="74"/>
      <c r="BYZ79" s="33"/>
      <c r="BZA79" s="33"/>
      <c r="BZB79" s="33"/>
      <c r="BZC79" s="33"/>
      <c r="BZD79" s="33"/>
      <c r="BZE79" s="137"/>
      <c r="BZF79" s="33"/>
      <c r="BZG79" s="33"/>
      <c r="BZH79" s="33"/>
      <c r="BZI79" s="33"/>
      <c r="BZJ79" s="33"/>
      <c r="BZK79" s="74"/>
      <c r="BZL79" s="33"/>
      <c r="BZM79" s="33"/>
      <c r="BZN79" s="33"/>
      <c r="BZO79" s="33"/>
      <c r="BZP79" s="33"/>
      <c r="BZQ79" s="34"/>
      <c r="BZR79" s="32"/>
      <c r="BZS79" s="64"/>
      <c r="BZT79" s="64"/>
      <c r="BZU79" s="64"/>
      <c r="BZV79" s="33"/>
      <c r="BZW79" s="132"/>
      <c r="BZX79" s="33"/>
      <c r="BZY79" s="33"/>
      <c r="BZZ79" s="33"/>
      <c r="CAA79" s="33"/>
      <c r="CAB79" s="33"/>
      <c r="CAC79" s="137"/>
      <c r="CAD79" s="33"/>
      <c r="CAE79" s="33"/>
      <c r="CAF79" s="33"/>
      <c r="CAG79" s="33"/>
      <c r="CAH79" s="33"/>
      <c r="CAI79" s="74"/>
      <c r="CAJ79" s="33"/>
      <c r="CAK79" s="33"/>
      <c r="CAL79" s="33"/>
      <c r="CAM79" s="33"/>
      <c r="CAN79" s="33"/>
      <c r="CAO79" s="137"/>
      <c r="CAP79" s="33"/>
      <c r="CAQ79" s="33"/>
      <c r="CAR79" s="33"/>
      <c r="CAS79" s="33"/>
      <c r="CAT79" s="33"/>
      <c r="CAU79" s="74"/>
      <c r="CAV79" s="64"/>
      <c r="CAW79" s="64"/>
      <c r="CAX79" s="64"/>
      <c r="CAY79" s="64"/>
      <c r="CAZ79" s="33"/>
      <c r="CBA79" s="137"/>
      <c r="CBB79" s="33"/>
      <c r="CBC79" s="33"/>
      <c r="CBD79" s="33"/>
      <c r="CBE79" s="33"/>
      <c r="CBF79" s="33"/>
      <c r="CBG79" s="74"/>
      <c r="CBH79" s="33"/>
      <c r="CBI79" s="33"/>
      <c r="CBJ79" s="33"/>
      <c r="CBK79" s="33"/>
      <c r="CBL79" s="33"/>
      <c r="CBM79" s="137"/>
      <c r="CBN79" s="33"/>
      <c r="CBO79" s="33"/>
      <c r="CBP79" s="33"/>
      <c r="CBQ79" s="33"/>
      <c r="CBR79" s="33"/>
      <c r="CBS79" s="74"/>
      <c r="CBT79" s="33"/>
      <c r="CBU79" s="33"/>
      <c r="CBV79" s="33"/>
      <c r="CBW79" s="33"/>
      <c r="CBX79" s="33"/>
      <c r="CBY79" s="34"/>
      <c r="CBZ79" s="32"/>
      <c r="CCA79" s="64"/>
      <c r="CCB79" s="64"/>
      <c r="CCC79" s="64"/>
      <c r="CCD79" s="33"/>
      <c r="CCE79" s="132"/>
      <c r="CCF79" s="33"/>
      <c r="CCG79" s="33"/>
      <c r="CCH79" s="33"/>
      <c r="CCI79" s="33"/>
      <c r="CCJ79" s="33"/>
      <c r="CCK79" s="137"/>
      <c r="CCL79" s="33"/>
      <c r="CCM79" s="33"/>
      <c r="CCN79" s="33"/>
      <c r="CCO79" s="33"/>
      <c r="CCP79" s="33"/>
      <c r="CCQ79" s="74"/>
      <c r="CCR79" s="33"/>
      <c r="CCS79" s="33"/>
      <c r="CCT79" s="33"/>
      <c r="CCU79" s="33"/>
      <c r="CCV79" s="33"/>
      <c r="CCW79" s="137"/>
      <c r="CCX79" s="33"/>
      <c r="CCY79" s="33"/>
      <c r="CCZ79" s="33"/>
      <c r="CDA79" s="33"/>
      <c r="CDB79" s="33"/>
      <c r="CDC79" s="74"/>
      <c r="CDD79" s="64"/>
      <c r="CDE79" s="64"/>
      <c r="CDF79" s="64"/>
      <c r="CDG79" s="64"/>
      <c r="CDH79" s="33"/>
      <c r="CDI79" s="137"/>
      <c r="CDJ79" s="33"/>
      <c r="CDK79" s="33"/>
      <c r="CDL79" s="33"/>
      <c r="CDM79" s="33"/>
      <c r="CDN79" s="33"/>
      <c r="CDO79" s="74"/>
      <c r="CDP79" s="33"/>
      <c r="CDQ79" s="33"/>
      <c r="CDR79" s="33"/>
      <c r="CDS79" s="33"/>
      <c r="CDT79" s="33"/>
      <c r="CDU79" s="137"/>
      <c r="CDV79" s="33"/>
      <c r="CDW79" s="33"/>
      <c r="CDX79" s="33"/>
      <c r="CDY79" s="33"/>
      <c r="CDZ79" s="33"/>
      <c r="CEA79" s="74"/>
      <c r="CEB79" s="33"/>
      <c r="CEC79" s="33"/>
      <c r="CED79" s="33"/>
      <c r="CEE79" s="33"/>
      <c r="CEF79" s="33"/>
      <c r="CEG79" s="34"/>
      <c r="CEH79" s="32"/>
      <c r="CEI79" s="64"/>
      <c r="CEJ79" s="64"/>
      <c r="CEK79" s="64"/>
      <c r="CEL79" s="33"/>
      <c r="CEM79" s="132"/>
      <c r="CEN79" s="33"/>
      <c r="CEO79" s="33"/>
      <c r="CEP79" s="33"/>
      <c r="CEQ79" s="33"/>
      <c r="CER79" s="33"/>
      <c r="CES79" s="137"/>
      <c r="CET79" s="33"/>
      <c r="CEU79" s="33"/>
      <c r="CEV79" s="33"/>
      <c r="CEW79" s="33"/>
      <c r="CEX79" s="33"/>
      <c r="CEY79" s="74"/>
      <c r="CEZ79" s="33"/>
      <c r="CFA79" s="33"/>
      <c r="CFB79" s="33"/>
      <c r="CFC79" s="33"/>
      <c r="CFD79" s="33"/>
      <c r="CFE79" s="137"/>
      <c r="CFF79" s="33"/>
      <c r="CFG79" s="33"/>
      <c r="CFH79" s="33"/>
      <c r="CFI79" s="33"/>
      <c r="CFJ79" s="33"/>
      <c r="CFK79" s="74"/>
      <c r="CFL79" s="64"/>
      <c r="CFM79" s="64"/>
      <c r="CFN79" s="64"/>
      <c r="CFO79" s="64"/>
      <c r="CFP79" s="33"/>
      <c r="CFQ79" s="137"/>
      <c r="CFR79" s="33"/>
      <c r="CFS79" s="33"/>
      <c r="CFT79" s="33"/>
      <c r="CFU79" s="33"/>
      <c r="CFV79" s="33"/>
      <c r="CFW79" s="74"/>
      <c r="CFX79" s="33"/>
      <c r="CFY79" s="33"/>
      <c r="CFZ79" s="33"/>
      <c r="CGA79" s="33"/>
      <c r="CGB79" s="33"/>
      <c r="CGC79" s="137"/>
      <c r="CGD79" s="33"/>
      <c r="CGE79" s="33"/>
      <c r="CGF79" s="33"/>
      <c r="CGG79" s="33"/>
      <c r="CGH79" s="33"/>
      <c r="CGI79" s="74"/>
      <c r="CGJ79" s="33"/>
      <c r="CGK79" s="33"/>
      <c r="CGL79" s="33"/>
      <c r="CGM79" s="33"/>
      <c r="CGN79" s="33"/>
      <c r="CGO79" s="34"/>
      <c r="CGP79" s="32"/>
      <c r="CGQ79" s="64"/>
      <c r="CGR79" s="64"/>
      <c r="CGS79" s="64"/>
      <c r="CGT79" s="33"/>
      <c r="CGU79" s="132"/>
      <c r="CGV79" s="33"/>
      <c r="CGW79" s="33"/>
      <c r="CGX79" s="33"/>
      <c r="CGY79" s="33"/>
      <c r="CGZ79" s="33"/>
      <c r="CHA79" s="137"/>
      <c r="CHB79" s="33"/>
      <c r="CHC79" s="33"/>
      <c r="CHD79" s="33"/>
      <c r="CHE79" s="33"/>
      <c r="CHF79" s="33"/>
      <c r="CHG79" s="74"/>
      <c r="CHH79" s="33"/>
      <c r="CHI79" s="33"/>
      <c r="CHJ79" s="33"/>
      <c r="CHK79" s="33"/>
      <c r="CHL79" s="33"/>
      <c r="CHM79" s="137"/>
      <c r="CHN79" s="33"/>
      <c r="CHO79" s="33"/>
      <c r="CHP79" s="33"/>
      <c r="CHQ79" s="33"/>
      <c r="CHR79" s="33"/>
      <c r="CHS79" s="74"/>
      <c r="CHT79" s="64"/>
      <c r="CHU79" s="64"/>
      <c r="CHV79" s="64"/>
      <c r="CHW79" s="64"/>
      <c r="CHX79" s="33"/>
      <c r="CHY79" s="137"/>
      <c r="CHZ79" s="33"/>
      <c r="CIA79" s="33"/>
      <c r="CIB79" s="33"/>
      <c r="CIC79" s="33"/>
      <c r="CID79" s="33"/>
      <c r="CIE79" s="74"/>
      <c r="CIF79" s="33"/>
      <c r="CIG79" s="33"/>
      <c r="CIH79" s="33"/>
      <c r="CII79" s="33"/>
      <c r="CIJ79" s="33"/>
      <c r="CIK79" s="137"/>
      <c r="CIL79" s="33"/>
      <c r="CIM79" s="33"/>
      <c r="CIN79" s="33"/>
      <c r="CIO79" s="33"/>
      <c r="CIP79" s="33"/>
      <c r="CIQ79" s="74"/>
      <c r="CIR79" s="33"/>
      <c r="CIS79" s="33"/>
      <c r="CIT79" s="33"/>
      <c r="CIU79" s="33"/>
      <c r="CIV79" s="33"/>
      <c r="CIW79" s="34"/>
      <c r="CIX79" s="32"/>
      <c r="CIY79" s="64"/>
      <c r="CIZ79" s="64"/>
      <c r="CJA79" s="64"/>
      <c r="CJB79" s="33"/>
      <c r="CJC79" s="132"/>
      <c r="CJD79" s="33"/>
      <c r="CJE79" s="33"/>
      <c r="CJF79" s="33"/>
      <c r="CJG79" s="33"/>
      <c r="CJH79" s="33"/>
      <c r="CJI79" s="137"/>
      <c r="CJJ79" s="33"/>
      <c r="CJK79" s="33"/>
      <c r="CJL79" s="33"/>
      <c r="CJM79" s="33"/>
      <c r="CJN79" s="33"/>
      <c r="CJO79" s="74"/>
      <c r="CJP79" s="33"/>
      <c r="CJQ79" s="33"/>
      <c r="CJR79" s="33"/>
      <c r="CJS79" s="33"/>
      <c r="CJT79" s="33"/>
      <c r="CJU79" s="137"/>
      <c r="CJV79" s="33"/>
      <c r="CJW79" s="33"/>
      <c r="CJX79" s="33"/>
      <c r="CJY79" s="33"/>
      <c r="CJZ79" s="33"/>
      <c r="CKA79" s="74"/>
      <c r="CKB79" s="64"/>
      <c r="CKC79" s="64"/>
      <c r="CKD79" s="64"/>
      <c r="CKE79" s="64"/>
      <c r="CKF79" s="33"/>
      <c r="CKG79" s="137"/>
      <c r="CKH79" s="33"/>
      <c r="CKI79" s="33"/>
      <c r="CKJ79" s="33"/>
      <c r="CKK79" s="33"/>
      <c r="CKL79" s="33"/>
      <c r="CKM79" s="74"/>
      <c r="CKN79" s="33"/>
      <c r="CKO79" s="33"/>
      <c r="CKP79" s="33"/>
      <c r="CKQ79" s="33"/>
      <c r="CKR79" s="33"/>
      <c r="CKS79" s="137"/>
      <c r="CKT79" s="33"/>
      <c r="CKU79" s="33"/>
      <c r="CKV79" s="33"/>
      <c r="CKW79" s="33"/>
      <c r="CKX79" s="33"/>
      <c r="CKY79" s="74"/>
      <c r="CKZ79" s="33"/>
      <c r="CLA79" s="33"/>
      <c r="CLB79" s="33"/>
      <c r="CLC79" s="33"/>
      <c r="CLD79" s="33"/>
      <c r="CLE79" s="34"/>
      <c r="CLF79" s="32"/>
      <c r="CLG79" s="64"/>
      <c r="CLH79" s="64"/>
      <c r="CLI79" s="64"/>
      <c r="CLJ79" s="33"/>
      <c r="CLK79" s="132"/>
      <c r="CLL79" s="33"/>
      <c r="CLM79" s="33"/>
      <c r="CLN79" s="33"/>
      <c r="CLO79" s="33"/>
      <c r="CLP79" s="33"/>
      <c r="CLQ79" s="137"/>
      <c r="CLR79" s="33"/>
      <c r="CLS79" s="33"/>
      <c r="CLT79" s="33"/>
      <c r="CLU79" s="33"/>
      <c r="CLV79" s="33"/>
      <c r="CLW79" s="74"/>
      <c r="CLX79" s="33"/>
      <c r="CLY79" s="33"/>
      <c r="CLZ79" s="33"/>
      <c r="CMA79" s="33"/>
      <c r="CMB79" s="33"/>
      <c r="CMC79" s="137"/>
      <c r="CMD79" s="33"/>
      <c r="CME79" s="33"/>
      <c r="CMF79" s="33"/>
      <c r="CMG79" s="33"/>
      <c r="CMH79" s="33"/>
      <c r="CMI79" s="74"/>
      <c r="CMJ79" s="64"/>
      <c r="CMK79" s="64"/>
      <c r="CML79" s="64"/>
      <c r="CMM79" s="64"/>
      <c r="CMN79" s="33"/>
      <c r="CMO79" s="137"/>
      <c r="CMP79" s="33"/>
      <c r="CMQ79" s="33"/>
      <c r="CMR79" s="33"/>
      <c r="CMS79" s="33"/>
      <c r="CMT79" s="33"/>
      <c r="CMU79" s="74"/>
      <c r="CMV79" s="33"/>
      <c r="CMW79" s="33"/>
      <c r="CMX79" s="33"/>
      <c r="CMY79" s="33"/>
      <c r="CMZ79" s="33"/>
      <c r="CNA79" s="137"/>
      <c r="CNB79" s="33"/>
      <c r="CNC79" s="33"/>
      <c r="CND79" s="33"/>
      <c r="CNE79" s="33"/>
      <c r="CNF79" s="33"/>
      <c r="CNG79" s="74"/>
      <c r="CNH79" s="33"/>
      <c r="CNI79" s="33"/>
      <c r="CNJ79" s="33"/>
      <c r="CNK79" s="33"/>
      <c r="CNL79" s="33"/>
      <c r="CNM79" s="34"/>
      <c r="CNN79" s="32"/>
      <c r="CNO79" s="64"/>
      <c r="CNP79" s="64"/>
      <c r="CNQ79" s="64"/>
      <c r="CNR79" s="33"/>
      <c r="CNS79" s="132"/>
      <c r="CNT79" s="33"/>
      <c r="CNU79" s="33"/>
      <c r="CNV79" s="33"/>
      <c r="CNW79" s="33"/>
      <c r="CNX79" s="33"/>
      <c r="CNY79" s="137"/>
      <c r="CNZ79" s="33"/>
      <c r="COA79" s="33"/>
      <c r="COB79" s="33"/>
      <c r="COC79" s="33"/>
      <c r="COD79" s="33"/>
      <c r="COE79" s="74"/>
      <c r="COF79" s="33"/>
      <c r="COG79" s="33"/>
      <c r="COH79" s="33"/>
      <c r="COI79" s="33"/>
      <c r="COJ79" s="33"/>
      <c r="COK79" s="137"/>
      <c r="COL79" s="33"/>
      <c r="COM79" s="33"/>
      <c r="CON79" s="33"/>
      <c r="COO79" s="33"/>
      <c r="COP79" s="33"/>
      <c r="COQ79" s="74"/>
      <c r="COR79" s="64"/>
      <c r="COS79" s="64"/>
      <c r="COT79" s="64"/>
      <c r="COU79" s="64"/>
      <c r="COV79" s="33"/>
      <c r="COW79" s="137"/>
      <c r="COX79" s="33"/>
      <c r="COY79" s="33"/>
      <c r="COZ79" s="33"/>
      <c r="CPA79" s="33"/>
      <c r="CPB79" s="33"/>
      <c r="CPC79" s="74"/>
      <c r="CPD79" s="33"/>
      <c r="CPE79" s="33"/>
      <c r="CPF79" s="33"/>
      <c r="CPG79" s="33"/>
      <c r="CPH79" s="33"/>
      <c r="CPI79" s="137"/>
      <c r="CPJ79" s="33"/>
      <c r="CPK79" s="33"/>
      <c r="CPL79" s="33"/>
      <c r="CPM79" s="33"/>
      <c r="CPN79" s="33"/>
      <c r="CPO79" s="74"/>
      <c r="CPP79" s="33"/>
      <c r="CPQ79" s="33"/>
      <c r="CPR79" s="33"/>
      <c r="CPS79" s="33"/>
      <c r="CPT79" s="33"/>
      <c r="CPU79" s="34"/>
      <c r="CPV79" s="32"/>
      <c r="CPW79" s="64"/>
      <c r="CPX79" s="64"/>
      <c r="CPY79" s="64"/>
      <c r="CPZ79" s="33"/>
      <c r="CQA79" s="132"/>
      <c r="CQB79" s="33"/>
      <c r="CQC79" s="33"/>
      <c r="CQD79" s="33"/>
      <c r="CQE79" s="33"/>
      <c r="CQF79" s="33"/>
      <c r="CQG79" s="137"/>
      <c r="CQH79" s="33"/>
      <c r="CQI79" s="33"/>
      <c r="CQJ79" s="33"/>
      <c r="CQK79" s="33"/>
      <c r="CQL79" s="33"/>
      <c r="CQM79" s="74"/>
      <c r="CQN79" s="33"/>
      <c r="CQO79" s="33"/>
      <c r="CQP79" s="33"/>
      <c r="CQQ79" s="33"/>
      <c r="CQR79" s="33"/>
      <c r="CQS79" s="137"/>
      <c r="CQT79" s="33"/>
      <c r="CQU79" s="33"/>
      <c r="CQV79" s="33"/>
      <c r="CQW79" s="33"/>
      <c r="CQX79" s="33"/>
      <c r="CQY79" s="74"/>
      <c r="CQZ79" s="64"/>
      <c r="CRA79" s="64"/>
      <c r="CRB79" s="64"/>
      <c r="CRC79" s="64"/>
      <c r="CRD79" s="33"/>
      <c r="CRE79" s="137"/>
      <c r="CRF79" s="33"/>
      <c r="CRG79" s="33"/>
      <c r="CRH79" s="33"/>
      <c r="CRI79" s="33"/>
      <c r="CRJ79" s="33"/>
      <c r="CRK79" s="74"/>
      <c r="CRL79" s="33"/>
      <c r="CRM79" s="33"/>
      <c r="CRN79" s="33"/>
      <c r="CRO79" s="33"/>
      <c r="CRP79" s="33"/>
      <c r="CRQ79" s="137"/>
      <c r="CRR79" s="33"/>
      <c r="CRS79" s="33"/>
      <c r="CRT79" s="33"/>
      <c r="CRU79" s="33"/>
      <c r="CRV79" s="33"/>
      <c r="CRW79" s="74"/>
      <c r="CRX79" s="33"/>
      <c r="CRY79" s="33"/>
      <c r="CRZ79" s="33"/>
      <c r="CSA79" s="33"/>
      <c r="CSB79" s="33"/>
      <c r="CSC79" s="34"/>
      <c r="CSD79" s="90"/>
    </row>
    <row r="80" spans="1:2526" ht="20.100000000000001" customHeight="1" x14ac:dyDescent="0.3">
      <c r="A80" s="100" t="s">
        <v>19</v>
      </c>
      <c r="B80" s="63"/>
      <c r="C80" s="213"/>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36"/>
      <c r="BLW80" s="65"/>
      <c r="BLX80" s="65"/>
      <c r="BLY80" s="65"/>
      <c r="BLZ80" s="37"/>
      <c r="BMA80" s="133"/>
      <c r="BMB80" s="37"/>
      <c r="BMC80" s="37"/>
      <c r="BMD80" s="37"/>
      <c r="BME80" s="37"/>
      <c r="BMF80" s="37"/>
      <c r="BMG80" s="138"/>
      <c r="BMH80" s="37"/>
      <c r="BMI80" s="37"/>
      <c r="BMJ80" s="37"/>
      <c r="BMK80" s="37"/>
      <c r="BML80" s="37"/>
      <c r="BMM80" s="75"/>
      <c r="BMN80" s="37"/>
      <c r="BMO80" s="37"/>
      <c r="BMP80" s="37"/>
      <c r="BMQ80" s="37"/>
      <c r="BMR80" s="37"/>
      <c r="BMS80" s="138"/>
      <c r="BMT80" s="37"/>
      <c r="BMU80" s="37"/>
      <c r="BMV80" s="37"/>
      <c r="BMW80" s="37"/>
      <c r="BMX80" s="37"/>
      <c r="BMY80" s="75"/>
      <c r="BMZ80" s="65"/>
      <c r="BNA80" s="65"/>
      <c r="BNB80" s="65"/>
      <c r="BNC80" s="65"/>
      <c r="BND80" s="37"/>
      <c r="BNE80" s="138"/>
      <c r="BNF80" s="37"/>
      <c r="BNG80" s="37"/>
      <c r="BNH80" s="37"/>
      <c r="BNI80" s="37"/>
      <c r="BNJ80" s="37"/>
      <c r="BNK80" s="75"/>
      <c r="BNL80" s="37"/>
      <c r="BNM80" s="37"/>
      <c r="BNN80" s="37"/>
      <c r="BNO80" s="37"/>
      <c r="BNP80" s="37"/>
      <c r="BNQ80" s="138"/>
      <c r="BNR80" s="37"/>
      <c r="BNS80" s="37"/>
      <c r="BNT80" s="37"/>
      <c r="BNU80" s="37"/>
      <c r="BNV80" s="37"/>
      <c r="BNW80" s="75"/>
      <c r="BNX80" s="37"/>
      <c r="BNY80" s="37"/>
      <c r="BNZ80" s="37"/>
      <c r="BOA80" s="37"/>
      <c r="BOB80" s="37"/>
      <c r="BOC80" s="38"/>
      <c r="BOD80" s="36"/>
      <c r="BOE80" s="65"/>
      <c r="BOF80" s="65"/>
      <c r="BOG80" s="65"/>
      <c r="BOH80" s="37"/>
      <c r="BOI80" s="133"/>
      <c r="BOJ80" s="37"/>
      <c r="BOK80" s="37"/>
      <c r="BOL80" s="37"/>
      <c r="BOM80" s="37"/>
      <c r="BON80" s="37"/>
      <c r="BOO80" s="138"/>
      <c r="BOP80" s="37"/>
      <c r="BOQ80" s="37"/>
      <c r="BOR80" s="37"/>
      <c r="BOS80" s="37"/>
      <c r="BOT80" s="37"/>
      <c r="BOU80" s="75"/>
      <c r="BOV80" s="37"/>
      <c r="BOW80" s="37"/>
      <c r="BOX80" s="37"/>
      <c r="BOY80" s="37"/>
      <c r="BOZ80" s="37"/>
      <c r="BPA80" s="138"/>
      <c r="BPB80" s="37"/>
      <c r="BPC80" s="37"/>
      <c r="BPD80" s="37"/>
      <c r="BPE80" s="37"/>
      <c r="BPF80" s="37"/>
      <c r="BPG80" s="75"/>
      <c r="BPH80" s="65"/>
      <c r="BPI80" s="65"/>
      <c r="BPJ80" s="65"/>
      <c r="BPK80" s="65"/>
      <c r="BPL80" s="37"/>
      <c r="BPM80" s="138"/>
      <c r="BPN80" s="37"/>
      <c r="BPO80" s="37"/>
      <c r="BPP80" s="37"/>
      <c r="BPQ80" s="37"/>
      <c r="BPR80" s="37"/>
      <c r="BPS80" s="75"/>
      <c r="BPT80" s="37"/>
      <c r="BPU80" s="37"/>
      <c r="BPV80" s="37"/>
      <c r="BPW80" s="37"/>
      <c r="BPX80" s="37"/>
      <c r="BPY80" s="138"/>
      <c r="BPZ80" s="37"/>
      <c r="BQA80" s="37"/>
      <c r="BQB80" s="37"/>
      <c r="BQC80" s="37"/>
      <c r="BQD80" s="37"/>
      <c r="BQE80" s="75"/>
      <c r="BQF80" s="37"/>
      <c r="BQG80" s="37"/>
      <c r="BQH80" s="37"/>
      <c r="BQI80" s="37"/>
      <c r="BQJ80" s="37"/>
      <c r="BQK80" s="38"/>
      <c r="BQL80" s="36"/>
      <c r="BQM80" s="65"/>
      <c r="BQN80" s="65"/>
      <c r="BQO80" s="65"/>
      <c r="BQP80" s="37"/>
      <c r="BQQ80" s="133"/>
      <c r="BQR80" s="37"/>
      <c r="BQS80" s="37"/>
      <c r="BQT80" s="37"/>
      <c r="BQU80" s="37"/>
      <c r="BQV80" s="37"/>
      <c r="BQW80" s="138"/>
      <c r="BQX80" s="37"/>
      <c r="BQY80" s="37"/>
      <c r="BQZ80" s="37"/>
      <c r="BRA80" s="37"/>
      <c r="BRB80" s="37"/>
      <c r="BRC80" s="75"/>
      <c r="BRD80" s="37"/>
      <c r="BRE80" s="37"/>
      <c r="BRF80" s="37"/>
      <c r="BRG80" s="37"/>
      <c r="BRH80" s="37"/>
      <c r="BRI80" s="138"/>
      <c r="BRJ80" s="37"/>
      <c r="BRK80" s="37"/>
      <c r="BRL80" s="37"/>
      <c r="BRM80" s="37"/>
      <c r="BRN80" s="37"/>
      <c r="BRO80" s="75"/>
      <c r="BRP80" s="65"/>
      <c r="BRQ80" s="65"/>
      <c r="BRR80" s="65"/>
      <c r="BRS80" s="65"/>
      <c r="BRT80" s="37"/>
      <c r="BRU80" s="138"/>
      <c r="BRV80" s="37"/>
      <c r="BRW80" s="37"/>
      <c r="BRX80" s="37"/>
      <c r="BRY80" s="37"/>
      <c r="BRZ80" s="37"/>
      <c r="BSA80" s="75"/>
      <c r="BSB80" s="37"/>
      <c r="BSC80" s="37"/>
      <c r="BSD80" s="37"/>
      <c r="BSE80" s="37"/>
      <c r="BSF80" s="37"/>
      <c r="BSG80" s="138"/>
      <c r="BSH80" s="37"/>
      <c r="BSI80" s="37"/>
      <c r="BSJ80" s="37"/>
      <c r="BSK80" s="37"/>
      <c r="BSL80" s="37"/>
      <c r="BSM80" s="75"/>
      <c r="BSN80" s="37"/>
      <c r="BSO80" s="37"/>
      <c r="BSP80" s="37"/>
      <c r="BSQ80" s="37"/>
      <c r="BSR80" s="37"/>
      <c r="BSS80" s="38"/>
      <c r="BST80" s="36"/>
      <c r="BSU80" s="65"/>
      <c r="BSV80" s="65"/>
      <c r="BSW80" s="65"/>
      <c r="BSX80" s="37"/>
      <c r="BSY80" s="133"/>
      <c r="BSZ80" s="37"/>
      <c r="BTA80" s="37"/>
      <c r="BTB80" s="37"/>
      <c r="BTC80" s="37"/>
      <c r="BTD80" s="37"/>
      <c r="BTE80" s="138"/>
      <c r="BTF80" s="37"/>
      <c r="BTG80" s="37"/>
      <c r="BTH80" s="37"/>
      <c r="BTI80" s="37"/>
      <c r="BTJ80" s="37"/>
      <c r="BTK80" s="75"/>
      <c r="BTL80" s="37"/>
      <c r="BTM80" s="37"/>
      <c r="BTN80" s="37"/>
      <c r="BTO80" s="37"/>
      <c r="BTP80" s="37"/>
      <c r="BTQ80" s="138"/>
      <c r="BTR80" s="37"/>
      <c r="BTS80" s="37"/>
      <c r="BTT80" s="37"/>
      <c r="BTU80" s="37"/>
      <c r="BTV80" s="37"/>
      <c r="BTW80" s="75"/>
      <c r="BTX80" s="65"/>
      <c r="BTY80" s="65"/>
      <c r="BTZ80" s="65"/>
      <c r="BUA80" s="65"/>
      <c r="BUB80" s="37"/>
      <c r="BUC80" s="138"/>
      <c r="BUD80" s="37"/>
      <c r="BUE80" s="37"/>
      <c r="BUF80" s="37"/>
      <c r="BUG80" s="37"/>
      <c r="BUH80" s="37"/>
      <c r="BUI80" s="75"/>
      <c r="BUJ80" s="37"/>
      <c r="BUK80" s="37"/>
      <c r="BUL80" s="37"/>
      <c r="BUM80" s="37"/>
      <c r="BUN80" s="37"/>
      <c r="BUO80" s="138"/>
      <c r="BUP80" s="37"/>
      <c r="BUQ80" s="37"/>
      <c r="BUR80" s="37"/>
      <c r="BUS80" s="37"/>
      <c r="BUT80" s="37"/>
      <c r="BUU80" s="75"/>
      <c r="BUV80" s="37"/>
      <c r="BUW80" s="37"/>
      <c r="BUX80" s="37"/>
      <c r="BUY80" s="37"/>
      <c r="BUZ80" s="37"/>
      <c r="BVA80" s="38"/>
      <c r="BVB80" s="36"/>
      <c r="BVC80" s="65"/>
      <c r="BVD80" s="65"/>
      <c r="BVE80" s="65"/>
      <c r="BVF80" s="37"/>
      <c r="BVG80" s="133"/>
      <c r="BVH80" s="37"/>
      <c r="BVI80" s="37"/>
      <c r="BVJ80" s="37"/>
      <c r="BVK80" s="37"/>
      <c r="BVL80" s="37"/>
      <c r="BVM80" s="138"/>
      <c r="BVN80" s="37"/>
      <c r="BVO80" s="37"/>
      <c r="BVP80" s="37"/>
      <c r="BVQ80" s="37"/>
      <c r="BVR80" s="37"/>
      <c r="BVS80" s="75"/>
      <c r="BVT80" s="37"/>
      <c r="BVU80" s="37"/>
      <c r="BVV80" s="37"/>
      <c r="BVW80" s="37"/>
      <c r="BVX80" s="37"/>
      <c r="BVY80" s="138"/>
      <c r="BVZ80" s="37"/>
      <c r="BWA80" s="37"/>
      <c r="BWB80" s="37"/>
      <c r="BWC80" s="37"/>
      <c r="BWD80" s="37"/>
      <c r="BWE80" s="75"/>
      <c r="BWF80" s="65"/>
      <c r="BWG80" s="65"/>
      <c r="BWH80" s="65"/>
      <c r="BWI80" s="65"/>
      <c r="BWJ80" s="37"/>
      <c r="BWK80" s="138"/>
      <c r="BWL80" s="37"/>
      <c r="BWM80" s="37"/>
      <c r="BWN80" s="37"/>
      <c r="BWO80" s="37"/>
      <c r="BWP80" s="37"/>
      <c r="BWQ80" s="75"/>
      <c r="BWR80" s="37"/>
      <c r="BWS80" s="37"/>
      <c r="BWT80" s="37"/>
      <c r="BWU80" s="37"/>
      <c r="BWV80" s="37"/>
      <c r="BWW80" s="138"/>
      <c r="BWX80" s="37"/>
      <c r="BWY80" s="37"/>
      <c r="BWZ80" s="37"/>
      <c r="BXA80" s="37"/>
      <c r="BXB80" s="37"/>
      <c r="BXC80" s="75"/>
      <c r="BXD80" s="37"/>
      <c r="BXE80" s="37"/>
      <c r="BXF80" s="37"/>
      <c r="BXG80" s="37"/>
      <c r="BXH80" s="37"/>
      <c r="BXI80" s="38"/>
      <c r="BXJ80" s="36"/>
      <c r="BXK80" s="65"/>
      <c r="BXL80" s="65"/>
      <c r="BXM80" s="65"/>
      <c r="BXN80" s="37"/>
      <c r="BXO80" s="133"/>
      <c r="BXP80" s="37"/>
      <c r="BXQ80" s="37"/>
      <c r="BXR80" s="37"/>
      <c r="BXS80" s="37"/>
      <c r="BXT80" s="37"/>
      <c r="BXU80" s="138"/>
      <c r="BXV80" s="37"/>
      <c r="BXW80" s="37"/>
      <c r="BXX80" s="37"/>
      <c r="BXY80" s="37"/>
      <c r="BXZ80" s="37"/>
      <c r="BYA80" s="75"/>
      <c r="BYB80" s="37"/>
      <c r="BYC80" s="37"/>
      <c r="BYD80" s="37"/>
      <c r="BYE80" s="37"/>
      <c r="BYF80" s="37"/>
      <c r="BYG80" s="138"/>
      <c r="BYH80" s="37"/>
      <c r="BYI80" s="37"/>
      <c r="BYJ80" s="37"/>
      <c r="BYK80" s="37"/>
      <c r="BYL80" s="37"/>
      <c r="BYM80" s="75"/>
      <c r="BYN80" s="65"/>
      <c r="BYO80" s="65"/>
      <c r="BYP80" s="65"/>
      <c r="BYQ80" s="65"/>
      <c r="BYR80" s="37"/>
      <c r="BYS80" s="138"/>
      <c r="BYT80" s="37"/>
      <c r="BYU80" s="37"/>
      <c r="BYV80" s="37"/>
      <c r="BYW80" s="37"/>
      <c r="BYX80" s="37"/>
      <c r="BYY80" s="75"/>
      <c r="BYZ80" s="37"/>
      <c r="BZA80" s="37"/>
      <c r="BZB80" s="37"/>
      <c r="BZC80" s="37"/>
      <c r="BZD80" s="37"/>
      <c r="BZE80" s="138"/>
      <c r="BZF80" s="37"/>
      <c r="BZG80" s="37"/>
      <c r="BZH80" s="37"/>
      <c r="BZI80" s="37"/>
      <c r="BZJ80" s="37"/>
      <c r="BZK80" s="75"/>
      <c r="BZL80" s="37"/>
      <c r="BZM80" s="37"/>
      <c r="BZN80" s="37"/>
      <c r="BZO80" s="37"/>
      <c r="BZP80" s="37"/>
      <c r="BZQ80" s="38"/>
      <c r="BZR80" s="36"/>
      <c r="BZS80" s="65"/>
      <c r="BZT80" s="65"/>
      <c r="BZU80" s="65"/>
      <c r="BZV80" s="37"/>
      <c r="BZW80" s="133"/>
      <c r="BZX80" s="37"/>
      <c r="BZY80" s="37"/>
      <c r="BZZ80" s="37"/>
      <c r="CAA80" s="37"/>
      <c r="CAB80" s="37"/>
      <c r="CAC80" s="138"/>
      <c r="CAD80" s="37"/>
      <c r="CAE80" s="37"/>
      <c r="CAF80" s="37"/>
      <c r="CAG80" s="37"/>
      <c r="CAH80" s="37"/>
      <c r="CAI80" s="75"/>
      <c r="CAJ80" s="37"/>
      <c r="CAK80" s="37"/>
      <c r="CAL80" s="37"/>
      <c r="CAM80" s="37"/>
      <c r="CAN80" s="37"/>
      <c r="CAO80" s="138"/>
      <c r="CAP80" s="37"/>
      <c r="CAQ80" s="37"/>
      <c r="CAR80" s="37"/>
      <c r="CAS80" s="37"/>
      <c r="CAT80" s="37"/>
      <c r="CAU80" s="75"/>
      <c r="CAV80" s="65"/>
      <c r="CAW80" s="65"/>
      <c r="CAX80" s="65"/>
      <c r="CAY80" s="65"/>
      <c r="CAZ80" s="37"/>
      <c r="CBA80" s="138"/>
      <c r="CBB80" s="37"/>
      <c r="CBC80" s="37"/>
      <c r="CBD80" s="37"/>
      <c r="CBE80" s="37"/>
      <c r="CBF80" s="37"/>
      <c r="CBG80" s="75"/>
      <c r="CBH80" s="37"/>
      <c r="CBI80" s="37"/>
      <c r="CBJ80" s="37"/>
      <c r="CBK80" s="37"/>
      <c r="CBL80" s="37"/>
      <c r="CBM80" s="138"/>
      <c r="CBN80" s="37"/>
      <c r="CBO80" s="37"/>
      <c r="CBP80" s="37"/>
      <c r="CBQ80" s="37"/>
      <c r="CBR80" s="37"/>
      <c r="CBS80" s="75"/>
      <c r="CBT80" s="37"/>
      <c r="CBU80" s="37"/>
      <c r="CBV80" s="37"/>
      <c r="CBW80" s="37"/>
      <c r="CBX80" s="37"/>
      <c r="CBY80" s="38"/>
      <c r="CBZ80" s="36"/>
      <c r="CCA80" s="65"/>
      <c r="CCB80" s="65"/>
      <c r="CCC80" s="65"/>
      <c r="CCD80" s="37"/>
      <c r="CCE80" s="133"/>
      <c r="CCF80" s="37"/>
      <c r="CCG80" s="37"/>
      <c r="CCH80" s="37"/>
      <c r="CCI80" s="37"/>
      <c r="CCJ80" s="37"/>
      <c r="CCK80" s="138"/>
      <c r="CCL80" s="37"/>
      <c r="CCM80" s="37"/>
      <c r="CCN80" s="37"/>
      <c r="CCO80" s="37"/>
      <c r="CCP80" s="37"/>
      <c r="CCQ80" s="75"/>
      <c r="CCR80" s="37"/>
      <c r="CCS80" s="37"/>
      <c r="CCT80" s="37"/>
      <c r="CCU80" s="37"/>
      <c r="CCV80" s="37"/>
      <c r="CCW80" s="138"/>
      <c r="CCX80" s="37"/>
      <c r="CCY80" s="37"/>
      <c r="CCZ80" s="37"/>
      <c r="CDA80" s="37"/>
      <c r="CDB80" s="37"/>
      <c r="CDC80" s="75"/>
      <c r="CDD80" s="65"/>
      <c r="CDE80" s="65"/>
      <c r="CDF80" s="65"/>
      <c r="CDG80" s="65"/>
      <c r="CDH80" s="37"/>
      <c r="CDI80" s="138"/>
      <c r="CDJ80" s="37"/>
      <c r="CDK80" s="37"/>
      <c r="CDL80" s="37"/>
      <c r="CDM80" s="37"/>
      <c r="CDN80" s="37"/>
      <c r="CDO80" s="75"/>
      <c r="CDP80" s="37"/>
      <c r="CDQ80" s="37"/>
      <c r="CDR80" s="37"/>
      <c r="CDS80" s="37"/>
      <c r="CDT80" s="37"/>
      <c r="CDU80" s="138"/>
      <c r="CDV80" s="37"/>
      <c r="CDW80" s="37"/>
      <c r="CDX80" s="37"/>
      <c r="CDY80" s="37"/>
      <c r="CDZ80" s="37"/>
      <c r="CEA80" s="75"/>
      <c r="CEB80" s="37"/>
      <c r="CEC80" s="37"/>
      <c r="CED80" s="37"/>
      <c r="CEE80" s="37"/>
      <c r="CEF80" s="37"/>
      <c r="CEG80" s="38"/>
      <c r="CEH80" s="36"/>
      <c r="CEI80" s="65"/>
      <c r="CEJ80" s="65"/>
      <c r="CEK80" s="65"/>
      <c r="CEL80" s="37"/>
      <c r="CEM80" s="133"/>
      <c r="CEN80" s="37"/>
      <c r="CEO80" s="37"/>
      <c r="CEP80" s="37"/>
      <c r="CEQ80" s="37"/>
      <c r="CER80" s="37"/>
      <c r="CES80" s="138"/>
      <c r="CET80" s="37"/>
      <c r="CEU80" s="37"/>
      <c r="CEV80" s="37"/>
      <c r="CEW80" s="37"/>
      <c r="CEX80" s="37"/>
      <c r="CEY80" s="75"/>
      <c r="CEZ80" s="37"/>
      <c r="CFA80" s="37"/>
      <c r="CFB80" s="37"/>
      <c r="CFC80" s="37"/>
      <c r="CFD80" s="37"/>
      <c r="CFE80" s="138"/>
      <c r="CFF80" s="37"/>
      <c r="CFG80" s="37"/>
      <c r="CFH80" s="37"/>
      <c r="CFI80" s="37"/>
      <c r="CFJ80" s="37"/>
      <c r="CFK80" s="75"/>
      <c r="CFL80" s="65"/>
      <c r="CFM80" s="65"/>
      <c r="CFN80" s="65"/>
      <c r="CFO80" s="65"/>
      <c r="CFP80" s="37"/>
      <c r="CFQ80" s="138"/>
      <c r="CFR80" s="37"/>
      <c r="CFS80" s="37"/>
      <c r="CFT80" s="37"/>
      <c r="CFU80" s="37"/>
      <c r="CFV80" s="37"/>
      <c r="CFW80" s="75"/>
      <c r="CFX80" s="37"/>
      <c r="CFY80" s="37"/>
      <c r="CFZ80" s="37"/>
      <c r="CGA80" s="37"/>
      <c r="CGB80" s="37"/>
      <c r="CGC80" s="138"/>
      <c r="CGD80" s="37"/>
      <c r="CGE80" s="37"/>
      <c r="CGF80" s="37"/>
      <c r="CGG80" s="37"/>
      <c r="CGH80" s="37"/>
      <c r="CGI80" s="75"/>
      <c r="CGJ80" s="37"/>
      <c r="CGK80" s="37"/>
      <c r="CGL80" s="37"/>
      <c r="CGM80" s="37"/>
      <c r="CGN80" s="37"/>
      <c r="CGO80" s="38"/>
      <c r="CGP80" s="36"/>
      <c r="CGQ80" s="65"/>
      <c r="CGR80" s="65"/>
      <c r="CGS80" s="65"/>
      <c r="CGT80" s="37"/>
      <c r="CGU80" s="133"/>
      <c r="CGV80" s="37"/>
      <c r="CGW80" s="37"/>
      <c r="CGX80" s="37"/>
      <c r="CGY80" s="37"/>
      <c r="CGZ80" s="37"/>
      <c r="CHA80" s="138"/>
      <c r="CHB80" s="37"/>
      <c r="CHC80" s="37"/>
      <c r="CHD80" s="37"/>
      <c r="CHE80" s="37"/>
      <c r="CHF80" s="37"/>
      <c r="CHG80" s="75"/>
      <c r="CHH80" s="37"/>
      <c r="CHI80" s="37"/>
      <c r="CHJ80" s="37"/>
      <c r="CHK80" s="37"/>
      <c r="CHL80" s="37"/>
      <c r="CHM80" s="138"/>
      <c r="CHN80" s="37"/>
      <c r="CHO80" s="37"/>
      <c r="CHP80" s="37"/>
      <c r="CHQ80" s="37"/>
      <c r="CHR80" s="37"/>
      <c r="CHS80" s="75"/>
      <c r="CHT80" s="65"/>
      <c r="CHU80" s="65"/>
      <c r="CHV80" s="65"/>
      <c r="CHW80" s="65"/>
      <c r="CHX80" s="37"/>
      <c r="CHY80" s="138"/>
      <c r="CHZ80" s="37"/>
      <c r="CIA80" s="37"/>
      <c r="CIB80" s="37"/>
      <c r="CIC80" s="37"/>
      <c r="CID80" s="37"/>
      <c r="CIE80" s="75"/>
      <c r="CIF80" s="37"/>
      <c r="CIG80" s="37"/>
      <c r="CIH80" s="37"/>
      <c r="CII80" s="37"/>
      <c r="CIJ80" s="37"/>
      <c r="CIK80" s="138"/>
      <c r="CIL80" s="37"/>
      <c r="CIM80" s="37"/>
      <c r="CIN80" s="37"/>
      <c r="CIO80" s="37"/>
      <c r="CIP80" s="37"/>
      <c r="CIQ80" s="75"/>
      <c r="CIR80" s="37"/>
      <c r="CIS80" s="37"/>
      <c r="CIT80" s="37"/>
      <c r="CIU80" s="37"/>
      <c r="CIV80" s="37"/>
      <c r="CIW80" s="38"/>
      <c r="CIX80" s="36"/>
      <c r="CIY80" s="65"/>
      <c r="CIZ80" s="65"/>
      <c r="CJA80" s="65"/>
      <c r="CJB80" s="37"/>
      <c r="CJC80" s="133"/>
      <c r="CJD80" s="37"/>
      <c r="CJE80" s="37"/>
      <c r="CJF80" s="37"/>
      <c r="CJG80" s="37"/>
      <c r="CJH80" s="37"/>
      <c r="CJI80" s="138"/>
      <c r="CJJ80" s="37"/>
      <c r="CJK80" s="37"/>
      <c r="CJL80" s="37"/>
      <c r="CJM80" s="37"/>
      <c r="CJN80" s="37"/>
      <c r="CJO80" s="75"/>
      <c r="CJP80" s="37"/>
      <c r="CJQ80" s="37"/>
      <c r="CJR80" s="37"/>
      <c r="CJS80" s="37"/>
      <c r="CJT80" s="37"/>
      <c r="CJU80" s="138"/>
      <c r="CJV80" s="37"/>
      <c r="CJW80" s="37"/>
      <c r="CJX80" s="37"/>
      <c r="CJY80" s="37"/>
      <c r="CJZ80" s="37"/>
      <c r="CKA80" s="75"/>
      <c r="CKB80" s="65"/>
      <c r="CKC80" s="65"/>
      <c r="CKD80" s="65"/>
      <c r="CKE80" s="65"/>
      <c r="CKF80" s="37"/>
      <c r="CKG80" s="138"/>
      <c r="CKH80" s="37"/>
      <c r="CKI80" s="37"/>
      <c r="CKJ80" s="37"/>
      <c r="CKK80" s="37"/>
      <c r="CKL80" s="37"/>
      <c r="CKM80" s="75"/>
      <c r="CKN80" s="37"/>
      <c r="CKO80" s="37"/>
      <c r="CKP80" s="37"/>
      <c r="CKQ80" s="37"/>
      <c r="CKR80" s="37"/>
      <c r="CKS80" s="138"/>
      <c r="CKT80" s="37"/>
      <c r="CKU80" s="37"/>
      <c r="CKV80" s="37"/>
      <c r="CKW80" s="37"/>
      <c r="CKX80" s="37"/>
      <c r="CKY80" s="75"/>
      <c r="CKZ80" s="37"/>
      <c r="CLA80" s="37"/>
      <c r="CLB80" s="37"/>
      <c r="CLC80" s="37"/>
      <c r="CLD80" s="37"/>
      <c r="CLE80" s="38"/>
      <c r="CLF80" s="36"/>
      <c r="CLG80" s="65"/>
      <c r="CLH80" s="65"/>
      <c r="CLI80" s="65"/>
      <c r="CLJ80" s="37"/>
      <c r="CLK80" s="133"/>
      <c r="CLL80" s="37"/>
      <c r="CLM80" s="37"/>
      <c r="CLN80" s="37"/>
      <c r="CLO80" s="37"/>
      <c r="CLP80" s="37"/>
      <c r="CLQ80" s="138"/>
      <c r="CLR80" s="37"/>
      <c r="CLS80" s="37"/>
      <c r="CLT80" s="37"/>
      <c r="CLU80" s="37"/>
      <c r="CLV80" s="37"/>
      <c r="CLW80" s="75"/>
      <c r="CLX80" s="37"/>
      <c r="CLY80" s="37"/>
      <c r="CLZ80" s="37"/>
      <c r="CMA80" s="37"/>
      <c r="CMB80" s="37"/>
      <c r="CMC80" s="138"/>
      <c r="CMD80" s="37"/>
      <c r="CME80" s="37"/>
      <c r="CMF80" s="37"/>
      <c r="CMG80" s="37"/>
      <c r="CMH80" s="37"/>
      <c r="CMI80" s="75"/>
      <c r="CMJ80" s="65"/>
      <c r="CMK80" s="65"/>
      <c r="CML80" s="65"/>
      <c r="CMM80" s="65"/>
      <c r="CMN80" s="37"/>
      <c r="CMO80" s="138"/>
      <c r="CMP80" s="37"/>
      <c r="CMQ80" s="37"/>
      <c r="CMR80" s="37"/>
      <c r="CMS80" s="37"/>
      <c r="CMT80" s="37"/>
      <c r="CMU80" s="75"/>
      <c r="CMV80" s="37"/>
      <c r="CMW80" s="37"/>
      <c r="CMX80" s="37"/>
      <c r="CMY80" s="37"/>
      <c r="CMZ80" s="37"/>
      <c r="CNA80" s="138"/>
      <c r="CNB80" s="37"/>
      <c r="CNC80" s="37"/>
      <c r="CND80" s="37"/>
      <c r="CNE80" s="37"/>
      <c r="CNF80" s="37"/>
      <c r="CNG80" s="75"/>
      <c r="CNH80" s="37"/>
      <c r="CNI80" s="37"/>
      <c r="CNJ80" s="37"/>
      <c r="CNK80" s="37"/>
      <c r="CNL80" s="37"/>
      <c r="CNM80" s="38"/>
      <c r="CNN80" s="36"/>
      <c r="CNO80" s="65"/>
      <c r="CNP80" s="65"/>
      <c r="CNQ80" s="65"/>
      <c r="CNR80" s="37"/>
      <c r="CNS80" s="133"/>
      <c r="CNT80" s="37"/>
      <c r="CNU80" s="37"/>
      <c r="CNV80" s="37"/>
      <c r="CNW80" s="37"/>
      <c r="CNX80" s="37"/>
      <c r="CNY80" s="138"/>
      <c r="CNZ80" s="37"/>
      <c r="COA80" s="37"/>
      <c r="COB80" s="37"/>
      <c r="COC80" s="37"/>
      <c r="COD80" s="37"/>
      <c r="COE80" s="75"/>
      <c r="COF80" s="37"/>
      <c r="COG80" s="37"/>
      <c r="COH80" s="37"/>
      <c r="COI80" s="37"/>
      <c r="COJ80" s="37"/>
      <c r="COK80" s="138"/>
      <c r="COL80" s="37"/>
      <c r="COM80" s="37"/>
      <c r="CON80" s="37"/>
      <c r="COO80" s="37"/>
      <c r="COP80" s="37"/>
      <c r="COQ80" s="75"/>
      <c r="COR80" s="65"/>
      <c r="COS80" s="65"/>
      <c r="COT80" s="65"/>
      <c r="COU80" s="65"/>
      <c r="COV80" s="37"/>
      <c r="COW80" s="138"/>
      <c r="COX80" s="37"/>
      <c r="COY80" s="37"/>
      <c r="COZ80" s="37"/>
      <c r="CPA80" s="37"/>
      <c r="CPB80" s="37"/>
      <c r="CPC80" s="75"/>
      <c r="CPD80" s="37"/>
      <c r="CPE80" s="37"/>
      <c r="CPF80" s="37"/>
      <c r="CPG80" s="37"/>
      <c r="CPH80" s="37"/>
      <c r="CPI80" s="138"/>
      <c r="CPJ80" s="37"/>
      <c r="CPK80" s="37"/>
      <c r="CPL80" s="37"/>
      <c r="CPM80" s="37"/>
      <c r="CPN80" s="37"/>
      <c r="CPO80" s="75"/>
      <c r="CPP80" s="37"/>
      <c r="CPQ80" s="37"/>
      <c r="CPR80" s="37"/>
      <c r="CPS80" s="37"/>
      <c r="CPT80" s="37"/>
      <c r="CPU80" s="38"/>
      <c r="CPV80" s="36"/>
      <c r="CPW80" s="65"/>
      <c r="CPX80" s="65"/>
      <c r="CPY80" s="65"/>
      <c r="CPZ80" s="37"/>
      <c r="CQA80" s="133"/>
      <c r="CQB80" s="37"/>
      <c r="CQC80" s="37"/>
      <c r="CQD80" s="37"/>
      <c r="CQE80" s="37"/>
      <c r="CQF80" s="37"/>
      <c r="CQG80" s="138"/>
      <c r="CQH80" s="37"/>
      <c r="CQI80" s="37"/>
      <c r="CQJ80" s="37"/>
      <c r="CQK80" s="37"/>
      <c r="CQL80" s="37"/>
      <c r="CQM80" s="75"/>
      <c r="CQN80" s="37"/>
      <c r="CQO80" s="37"/>
      <c r="CQP80" s="37"/>
      <c r="CQQ80" s="37"/>
      <c r="CQR80" s="37"/>
      <c r="CQS80" s="138"/>
      <c r="CQT80" s="37"/>
      <c r="CQU80" s="37"/>
      <c r="CQV80" s="37"/>
      <c r="CQW80" s="37"/>
      <c r="CQX80" s="37"/>
      <c r="CQY80" s="75"/>
      <c r="CQZ80" s="65"/>
      <c r="CRA80" s="65"/>
      <c r="CRB80" s="65"/>
      <c r="CRC80" s="65"/>
      <c r="CRD80" s="37"/>
      <c r="CRE80" s="138"/>
      <c r="CRF80" s="37"/>
      <c r="CRG80" s="37"/>
      <c r="CRH80" s="37"/>
      <c r="CRI80" s="37"/>
      <c r="CRJ80" s="37"/>
      <c r="CRK80" s="75"/>
      <c r="CRL80" s="37"/>
      <c r="CRM80" s="37"/>
      <c r="CRN80" s="37"/>
      <c r="CRO80" s="37"/>
      <c r="CRP80" s="37"/>
      <c r="CRQ80" s="138"/>
      <c r="CRR80" s="37"/>
      <c r="CRS80" s="37"/>
      <c r="CRT80" s="37"/>
      <c r="CRU80" s="37"/>
      <c r="CRV80" s="37"/>
      <c r="CRW80" s="75"/>
      <c r="CRX80" s="37"/>
      <c r="CRY80" s="37"/>
      <c r="CRZ80" s="37"/>
      <c r="CSA80" s="37"/>
      <c r="CSB80" s="37"/>
      <c r="CSC80" s="38"/>
      <c r="CSD80" s="90"/>
    </row>
    <row r="81" spans="1:2526" ht="20.100000000000001" customHeight="1" x14ac:dyDescent="0.25">
      <c r="A81" s="100" t="s">
        <v>18</v>
      </c>
      <c r="B81" s="63"/>
      <c r="C81" s="211"/>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40"/>
      <c r="BLW81" s="66"/>
      <c r="BLX81" s="66"/>
      <c r="BLY81" s="66"/>
      <c r="BLZ81" s="41"/>
      <c r="BMA81" s="134"/>
      <c r="BMB81" s="41"/>
      <c r="BMC81" s="41"/>
      <c r="BMD81" s="41"/>
      <c r="BME81" s="41"/>
      <c r="BMF81" s="41"/>
      <c r="BMG81" s="139"/>
      <c r="BMH81" s="41"/>
      <c r="BMI81" s="41"/>
      <c r="BMJ81" s="41"/>
      <c r="BMK81" s="41"/>
      <c r="BML81" s="41"/>
      <c r="BMM81" s="76"/>
      <c r="BMN81" s="41"/>
      <c r="BMO81" s="41"/>
      <c r="BMP81" s="41"/>
      <c r="BMQ81" s="41"/>
      <c r="BMR81" s="41"/>
      <c r="BMS81" s="139"/>
      <c r="BMT81" s="41"/>
      <c r="BMU81" s="41"/>
      <c r="BMV81" s="41"/>
      <c r="BMW81" s="41"/>
      <c r="BMX81" s="41"/>
      <c r="BMY81" s="76"/>
      <c r="BMZ81" s="66"/>
      <c r="BNA81" s="66"/>
      <c r="BNB81" s="66"/>
      <c r="BNC81" s="66"/>
      <c r="BND81" s="41"/>
      <c r="BNE81" s="139"/>
      <c r="BNF81" s="41"/>
      <c r="BNG81" s="41"/>
      <c r="BNH81" s="41"/>
      <c r="BNI81" s="41"/>
      <c r="BNJ81" s="41"/>
      <c r="BNK81" s="76"/>
      <c r="BNL81" s="41"/>
      <c r="BNM81" s="41"/>
      <c r="BNN81" s="41"/>
      <c r="BNO81" s="41"/>
      <c r="BNP81" s="41"/>
      <c r="BNQ81" s="139"/>
      <c r="BNR81" s="41"/>
      <c r="BNS81" s="41"/>
      <c r="BNT81" s="41"/>
      <c r="BNU81" s="41"/>
      <c r="BNV81" s="41"/>
      <c r="BNW81" s="76"/>
      <c r="BNX81" s="41"/>
      <c r="BNY81" s="41"/>
      <c r="BNZ81" s="41"/>
      <c r="BOA81" s="41"/>
      <c r="BOB81" s="41"/>
      <c r="BOC81" s="42"/>
      <c r="BOD81" s="40"/>
      <c r="BOE81" s="66"/>
      <c r="BOF81" s="66"/>
      <c r="BOG81" s="66"/>
      <c r="BOH81" s="41"/>
      <c r="BOI81" s="134"/>
      <c r="BOJ81" s="41"/>
      <c r="BOK81" s="41"/>
      <c r="BOL81" s="41"/>
      <c r="BOM81" s="41"/>
      <c r="BON81" s="41"/>
      <c r="BOO81" s="139"/>
      <c r="BOP81" s="41"/>
      <c r="BOQ81" s="41"/>
      <c r="BOR81" s="41"/>
      <c r="BOS81" s="41"/>
      <c r="BOT81" s="41"/>
      <c r="BOU81" s="76"/>
      <c r="BOV81" s="41"/>
      <c r="BOW81" s="41"/>
      <c r="BOX81" s="41"/>
      <c r="BOY81" s="41"/>
      <c r="BOZ81" s="41"/>
      <c r="BPA81" s="139"/>
      <c r="BPB81" s="41"/>
      <c r="BPC81" s="41"/>
      <c r="BPD81" s="41"/>
      <c r="BPE81" s="41"/>
      <c r="BPF81" s="41"/>
      <c r="BPG81" s="76"/>
      <c r="BPH81" s="66"/>
      <c r="BPI81" s="66"/>
      <c r="BPJ81" s="66"/>
      <c r="BPK81" s="66"/>
      <c r="BPL81" s="41"/>
      <c r="BPM81" s="139"/>
      <c r="BPN81" s="41"/>
      <c r="BPO81" s="41"/>
      <c r="BPP81" s="41"/>
      <c r="BPQ81" s="41"/>
      <c r="BPR81" s="41"/>
      <c r="BPS81" s="76"/>
      <c r="BPT81" s="41"/>
      <c r="BPU81" s="41"/>
      <c r="BPV81" s="41"/>
      <c r="BPW81" s="41"/>
      <c r="BPX81" s="41"/>
      <c r="BPY81" s="139"/>
      <c r="BPZ81" s="41"/>
      <c r="BQA81" s="41"/>
      <c r="BQB81" s="41"/>
      <c r="BQC81" s="41"/>
      <c r="BQD81" s="41"/>
      <c r="BQE81" s="76"/>
      <c r="BQF81" s="41"/>
      <c r="BQG81" s="41"/>
      <c r="BQH81" s="41"/>
      <c r="BQI81" s="41"/>
      <c r="BQJ81" s="41"/>
      <c r="BQK81" s="42"/>
      <c r="BQL81" s="40"/>
      <c r="BQM81" s="66"/>
      <c r="BQN81" s="66"/>
      <c r="BQO81" s="66"/>
      <c r="BQP81" s="41"/>
      <c r="BQQ81" s="134"/>
      <c r="BQR81" s="41"/>
      <c r="BQS81" s="41"/>
      <c r="BQT81" s="41"/>
      <c r="BQU81" s="41"/>
      <c r="BQV81" s="41"/>
      <c r="BQW81" s="139"/>
      <c r="BQX81" s="41"/>
      <c r="BQY81" s="41"/>
      <c r="BQZ81" s="41"/>
      <c r="BRA81" s="41"/>
      <c r="BRB81" s="41"/>
      <c r="BRC81" s="76"/>
      <c r="BRD81" s="41"/>
      <c r="BRE81" s="41"/>
      <c r="BRF81" s="41"/>
      <c r="BRG81" s="41"/>
      <c r="BRH81" s="41"/>
      <c r="BRI81" s="139"/>
      <c r="BRJ81" s="41"/>
      <c r="BRK81" s="41"/>
      <c r="BRL81" s="41"/>
      <c r="BRM81" s="41"/>
      <c r="BRN81" s="41"/>
      <c r="BRO81" s="76"/>
      <c r="BRP81" s="66"/>
      <c r="BRQ81" s="66"/>
      <c r="BRR81" s="66"/>
      <c r="BRS81" s="66"/>
      <c r="BRT81" s="41"/>
      <c r="BRU81" s="139"/>
      <c r="BRV81" s="41"/>
      <c r="BRW81" s="41"/>
      <c r="BRX81" s="41"/>
      <c r="BRY81" s="41"/>
      <c r="BRZ81" s="41"/>
      <c r="BSA81" s="76"/>
      <c r="BSB81" s="41"/>
      <c r="BSC81" s="41"/>
      <c r="BSD81" s="41"/>
      <c r="BSE81" s="41"/>
      <c r="BSF81" s="41"/>
      <c r="BSG81" s="139"/>
      <c r="BSH81" s="41"/>
      <c r="BSI81" s="41"/>
      <c r="BSJ81" s="41"/>
      <c r="BSK81" s="41"/>
      <c r="BSL81" s="41"/>
      <c r="BSM81" s="76"/>
      <c r="BSN81" s="41"/>
      <c r="BSO81" s="41"/>
      <c r="BSP81" s="41"/>
      <c r="BSQ81" s="41"/>
      <c r="BSR81" s="41"/>
      <c r="BSS81" s="42"/>
      <c r="BST81" s="40"/>
      <c r="BSU81" s="66"/>
      <c r="BSV81" s="66"/>
      <c r="BSW81" s="66"/>
      <c r="BSX81" s="41"/>
      <c r="BSY81" s="134"/>
      <c r="BSZ81" s="41"/>
      <c r="BTA81" s="41"/>
      <c r="BTB81" s="41"/>
      <c r="BTC81" s="41"/>
      <c r="BTD81" s="41"/>
      <c r="BTE81" s="139"/>
      <c r="BTF81" s="41"/>
      <c r="BTG81" s="41"/>
      <c r="BTH81" s="41"/>
      <c r="BTI81" s="41"/>
      <c r="BTJ81" s="41"/>
      <c r="BTK81" s="76"/>
      <c r="BTL81" s="41"/>
      <c r="BTM81" s="41"/>
      <c r="BTN81" s="41"/>
      <c r="BTO81" s="41"/>
      <c r="BTP81" s="41"/>
      <c r="BTQ81" s="139"/>
      <c r="BTR81" s="41"/>
      <c r="BTS81" s="41"/>
      <c r="BTT81" s="41"/>
      <c r="BTU81" s="41"/>
      <c r="BTV81" s="41"/>
      <c r="BTW81" s="76"/>
      <c r="BTX81" s="66"/>
      <c r="BTY81" s="66"/>
      <c r="BTZ81" s="66"/>
      <c r="BUA81" s="66"/>
      <c r="BUB81" s="41"/>
      <c r="BUC81" s="139"/>
      <c r="BUD81" s="41"/>
      <c r="BUE81" s="41"/>
      <c r="BUF81" s="41"/>
      <c r="BUG81" s="41"/>
      <c r="BUH81" s="41"/>
      <c r="BUI81" s="76"/>
      <c r="BUJ81" s="41"/>
      <c r="BUK81" s="41"/>
      <c r="BUL81" s="41"/>
      <c r="BUM81" s="41"/>
      <c r="BUN81" s="41"/>
      <c r="BUO81" s="139"/>
      <c r="BUP81" s="41"/>
      <c r="BUQ81" s="41"/>
      <c r="BUR81" s="41"/>
      <c r="BUS81" s="41"/>
      <c r="BUT81" s="41"/>
      <c r="BUU81" s="76"/>
      <c r="BUV81" s="41"/>
      <c r="BUW81" s="41"/>
      <c r="BUX81" s="41"/>
      <c r="BUY81" s="41"/>
      <c r="BUZ81" s="41"/>
      <c r="BVA81" s="42"/>
      <c r="BVB81" s="40"/>
      <c r="BVC81" s="66"/>
      <c r="BVD81" s="66"/>
      <c r="BVE81" s="66"/>
      <c r="BVF81" s="41"/>
      <c r="BVG81" s="134"/>
      <c r="BVH81" s="41"/>
      <c r="BVI81" s="41"/>
      <c r="BVJ81" s="41"/>
      <c r="BVK81" s="41"/>
      <c r="BVL81" s="41"/>
      <c r="BVM81" s="139"/>
      <c r="BVN81" s="41"/>
      <c r="BVO81" s="41"/>
      <c r="BVP81" s="41"/>
      <c r="BVQ81" s="41"/>
      <c r="BVR81" s="41"/>
      <c r="BVS81" s="76"/>
      <c r="BVT81" s="41"/>
      <c r="BVU81" s="41"/>
      <c r="BVV81" s="41"/>
      <c r="BVW81" s="41"/>
      <c r="BVX81" s="41"/>
      <c r="BVY81" s="139"/>
      <c r="BVZ81" s="41"/>
      <c r="BWA81" s="41"/>
      <c r="BWB81" s="41"/>
      <c r="BWC81" s="41"/>
      <c r="BWD81" s="41"/>
      <c r="BWE81" s="76"/>
      <c r="BWF81" s="66"/>
      <c r="BWG81" s="66"/>
      <c r="BWH81" s="66"/>
      <c r="BWI81" s="66"/>
      <c r="BWJ81" s="41"/>
      <c r="BWK81" s="139"/>
      <c r="BWL81" s="41"/>
      <c r="BWM81" s="41"/>
      <c r="BWN81" s="41"/>
      <c r="BWO81" s="41"/>
      <c r="BWP81" s="41"/>
      <c r="BWQ81" s="76"/>
      <c r="BWR81" s="41"/>
      <c r="BWS81" s="41"/>
      <c r="BWT81" s="41"/>
      <c r="BWU81" s="41"/>
      <c r="BWV81" s="41"/>
      <c r="BWW81" s="139"/>
      <c r="BWX81" s="41"/>
      <c r="BWY81" s="41"/>
      <c r="BWZ81" s="41"/>
      <c r="BXA81" s="41"/>
      <c r="BXB81" s="41"/>
      <c r="BXC81" s="76"/>
      <c r="BXD81" s="41"/>
      <c r="BXE81" s="41"/>
      <c r="BXF81" s="41"/>
      <c r="BXG81" s="41"/>
      <c r="BXH81" s="41"/>
      <c r="BXI81" s="42"/>
      <c r="BXJ81" s="40"/>
      <c r="BXK81" s="66"/>
      <c r="BXL81" s="66"/>
      <c r="BXM81" s="66"/>
      <c r="BXN81" s="41"/>
      <c r="BXO81" s="134"/>
      <c r="BXP81" s="41"/>
      <c r="BXQ81" s="41"/>
      <c r="BXR81" s="41"/>
      <c r="BXS81" s="41"/>
      <c r="BXT81" s="41"/>
      <c r="BXU81" s="139"/>
      <c r="BXV81" s="41"/>
      <c r="BXW81" s="41"/>
      <c r="BXX81" s="41"/>
      <c r="BXY81" s="41"/>
      <c r="BXZ81" s="41"/>
      <c r="BYA81" s="76"/>
      <c r="BYB81" s="41"/>
      <c r="BYC81" s="41"/>
      <c r="BYD81" s="41"/>
      <c r="BYE81" s="41"/>
      <c r="BYF81" s="41"/>
      <c r="BYG81" s="139"/>
      <c r="BYH81" s="41"/>
      <c r="BYI81" s="41"/>
      <c r="BYJ81" s="41"/>
      <c r="BYK81" s="41"/>
      <c r="BYL81" s="41"/>
      <c r="BYM81" s="76"/>
      <c r="BYN81" s="66"/>
      <c r="BYO81" s="66"/>
      <c r="BYP81" s="66"/>
      <c r="BYQ81" s="66"/>
      <c r="BYR81" s="41"/>
      <c r="BYS81" s="139"/>
      <c r="BYT81" s="41"/>
      <c r="BYU81" s="41"/>
      <c r="BYV81" s="41"/>
      <c r="BYW81" s="41"/>
      <c r="BYX81" s="41"/>
      <c r="BYY81" s="76"/>
      <c r="BYZ81" s="41"/>
      <c r="BZA81" s="41"/>
      <c r="BZB81" s="41"/>
      <c r="BZC81" s="41"/>
      <c r="BZD81" s="41"/>
      <c r="BZE81" s="139"/>
      <c r="BZF81" s="41"/>
      <c r="BZG81" s="41"/>
      <c r="BZH81" s="41"/>
      <c r="BZI81" s="41"/>
      <c r="BZJ81" s="41"/>
      <c r="BZK81" s="76"/>
      <c r="BZL81" s="41"/>
      <c r="BZM81" s="41"/>
      <c r="BZN81" s="41"/>
      <c r="BZO81" s="41"/>
      <c r="BZP81" s="41"/>
      <c r="BZQ81" s="42"/>
      <c r="BZR81" s="40"/>
      <c r="BZS81" s="66"/>
      <c r="BZT81" s="66"/>
      <c r="BZU81" s="66"/>
      <c r="BZV81" s="41"/>
      <c r="BZW81" s="134"/>
      <c r="BZX81" s="41"/>
      <c r="BZY81" s="41"/>
      <c r="BZZ81" s="41"/>
      <c r="CAA81" s="41"/>
      <c r="CAB81" s="41"/>
      <c r="CAC81" s="139"/>
      <c r="CAD81" s="41"/>
      <c r="CAE81" s="41"/>
      <c r="CAF81" s="41"/>
      <c r="CAG81" s="41"/>
      <c r="CAH81" s="41"/>
      <c r="CAI81" s="76"/>
      <c r="CAJ81" s="41"/>
      <c r="CAK81" s="41"/>
      <c r="CAL81" s="41"/>
      <c r="CAM81" s="41"/>
      <c r="CAN81" s="41"/>
      <c r="CAO81" s="139"/>
      <c r="CAP81" s="41"/>
      <c r="CAQ81" s="41"/>
      <c r="CAR81" s="41"/>
      <c r="CAS81" s="41"/>
      <c r="CAT81" s="41"/>
      <c r="CAU81" s="76"/>
      <c r="CAV81" s="66"/>
      <c r="CAW81" s="66"/>
      <c r="CAX81" s="66"/>
      <c r="CAY81" s="66"/>
      <c r="CAZ81" s="41"/>
      <c r="CBA81" s="139"/>
      <c r="CBB81" s="41"/>
      <c r="CBC81" s="41"/>
      <c r="CBD81" s="41"/>
      <c r="CBE81" s="41"/>
      <c r="CBF81" s="41"/>
      <c r="CBG81" s="76"/>
      <c r="CBH81" s="41"/>
      <c r="CBI81" s="41"/>
      <c r="CBJ81" s="41"/>
      <c r="CBK81" s="41"/>
      <c r="CBL81" s="41"/>
      <c r="CBM81" s="139"/>
      <c r="CBN81" s="41"/>
      <c r="CBO81" s="41"/>
      <c r="CBP81" s="41"/>
      <c r="CBQ81" s="41"/>
      <c r="CBR81" s="41"/>
      <c r="CBS81" s="76"/>
      <c r="CBT81" s="41"/>
      <c r="CBU81" s="41"/>
      <c r="CBV81" s="41"/>
      <c r="CBW81" s="41"/>
      <c r="CBX81" s="41"/>
      <c r="CBY81" s="42"/>
      <c r="CBZ81" s="40"/>
      <c r="CCA81" s="66"/>
      <c r="CCB81" s="66"/>
      <c r="CCC81" s="66"/>
      <c r="CCD81" s="41"/>
      <c r="CCE81" s="134"/>
      <c r="CCF81" s="41"/>
      <c r="CCG81" s="41"/>
      <c r="CCH81" s="41"/>
      <c r="CCI81" s="41"/>
      <c r="CCJ81" s="41"/>
      <c r="CCK81" s="139"/>
      <c r="CCL81" s="41"/>
      <c r="CCM81" s="41"/>
      <c r="CCN81" s="41"/>
      <c r="CCO81" s="41"/>
      <c r="CCP81" s="41"/>
      <c r="CCQ81" s="76"/>
      <c r="CCR81" s="41"/>
      <c r="CCS81" s="41"/>
      <c r="CCT81" s="41"/>
      <c r="CCU81" s="41"/>
      <c r="CCV81" s="41"/>
      <c r="CCW81" s="139"/>
      <c r="CCX81" s="41"/>
      <c r="CCY81" s="41"/>
      <c r="CCZ81" s="41"/>
      <c r="CDA81" s="41"/>
      <c r="CDB81" s="41"/>
      <c r="CDC81" s="76"/>
      <c r="CDD81" s="66"/>
      <c r="CDE81" s="66"/>
      <c r="CDF81" s="66"/>
      <c r="CDG81" s="66"/>
      <c r="CDH81" s="41"/>
      <c r="CDI81" s="139"/>
      <c r="CDJ81" s="41"/>
      <c r="CDK81" s="41"/>
      <c r="CDL81" s="41"/>
      <c r="CDM81" s="41"/>
      <c r="CDN81" s="41"/>
      <c r="CDO81" s="76"/>
      <c r="CDP81" s="41"/>
      <c r="CDQ81" s="41"/>
      <c r="CDR81" s="41"/>
      <c r="CDS81" s="41"/>
      <c r="CDT81" s="41"/>
      <c r="CDU81" s="139"/>
      <c r="CDV81" s="41"/>
      <c r="CDW81" s="41"/>
      <c r="CDX81" s="41"/>
      <c r="CDY81" s="41"/>
      <c r="CDZ81" s="41"/>
      <c r="CEA81" s="76"/>
      <c r="CEB81" s="41"/>
      <c r="CEC81" s="41"/>
      <c r="CED81" s="41"/>
      <c r="CEE81" s="41"/>
      <c r="CEF81" s="41"/>
      <c r="CEG81" s="42"/>
      <c r="CEH81" s="40"/>
      <c r="CEI81" s="66"/>
      <c r="CEJ81" s="66"/>
      <c r="CEK81" s="66"/>
      <c r="CEL81" s="41"/>
      <c r="CEM81" s="134"/>
      <c r="CEN81" s="41"/>
      <c r="CEO81" s="41"/>
      <c r="CEP81" s="41"/>
      <c r="CEQ81" s="41"/>
      <c r="CER81" s="41"/>
      <c r="CES81" s="139"/>
      <c r="CET81" s="41"/>
      <c r="CEU81" s="41"/>
      <c r="CEV81" s="41"/>
      <c r="CEW81" s="41"/>
      <c r="CEX81" s="41"/>
      <c r="CEY81" s="76"/>
      <c r="CEZ81" s="41"/>
      <c r="CFA81" s="41"/>
      <c r="CFB81" s="41"/>
      <c r="CFC81" s="41"/>
      <c r="CFD81" s="41"/>
      <c r="CFE81" s="139"/>
      <c r="CFF81" s="41"/>
      <c r="CFG81" s="41"/>
      <c r="CFH81" s="41"/>
      <c r="CFI81" s="41"/>
      <c r="CFJ81" s="41"/>
      <c r="CFK81" s="76"/>
      <c r="CFL81" s="66"/>
      <c r="CFM81" s="66"/>
      <c r="CFN81" s="66"/>
      <c r="CFO81" s="66"/>
      <c r="CFP81" s="41"/>
      <c r="CFQ81" s="139"/>
      <c r="CFR81" s="41"/>
      <c r="CFS81" s="41"/>
      <c r="CFT81" s="41"/>
      <c r="CFU81" s="41"/>
      <c r="CFV81" s="41"/>
      <c r="CFW81" s="76"/>
      <c r="CFX81" s="41"/>
      <c r="CFY81" s="41"/>
      <c r="CFZ81" s="41"/>
      <c r="CGA81" s="41"/>
      <c r="CGB81" s="41"/>
      <c r="CGC81" s="139"/>
      <c r="CGD81" s="41"/>
      <c r="CGE81" s="41"/>
      <c r="CGF81" s="41"/>
      <c r="CGG81" s="41"/>
      <c r="CGH81" s="41"/>
      <c r="CGI81" s="76"/>
      <c r="CGJ81" s="41"/>
      <c r="CGK81" s="41"/>
      <c r="CGL81" s="41"/>
      <c r="CGM81" s="41"/>
      <c r="CGN81" s="41"/>
      <c r="CGO81" s="42"/>
      <c r="CGP81" s="40"/>
      <c r="CGQ81" s="66"/>
      <c r="CGR81" s="66"/>
      <c r="CGS81" s="66"/>
      <c r="CGT81" s="41"/>
      <c r="CGU81" s="134"/>
      <c r="CGV81" s="41"/>
      <c r="CGW81" s="41"/>
      <c r="CGX81" s="41"/>
      <c r="CGY81" s="41"/>
      <c r="CGZ81" s="41"/>
      <c r="CHA81" s="139"/>
      <c r="CHB81" s="41"/>
      <c r="CHC81" s="41"/>
      <c r="CHD81" s="41"/>
      <c r="CHE81" s="41"/>
      <c r="CHF81" s="41"/>
      <c r="CHG81" s="76"/>
      <c r="CHH81" s="41"/>
      <c r="CHI81" s="41"/>
      <c r="CHJ81" s="41"/>
      <c r="CHK81" s="41"/>
      <c r="CHL81" s="41"/>
      <c r="CHM81" s="139"/>
      <c r="CHN81" s="41"/>
      <c r="CHO81" s="41"/>
      <c r="CHP81" s="41"/>
      <c r="CHQ81" s="41"/>
      <c r="CHR81" s="41"/>
      <c r="CHS81" s="76"/>
      <c r="CHT81" s="66"/>
      <c r="CHU81" s="66"/>
      <c r="CHV81" s="66"/>
      <c r="CHW81" s="66"/>
      <c r="CHX81" s="41"/>
      <c r="CHY81" s="139"/>
      <c r="CHZ81" s="41"/>
      <c r="CIA81" s="41"/>
      <c r="CIB81" s="41"/>
      <c r="CIC81" s="41"/>
      <c r="CID81" s="41"/>
      <c r="CIE81" s="76"/>
      <c r="CIF81" s="41"/>
      <c r="CIG81" s="41"/>
      <c r="CIH81" s="41"/>
      <c r="CII81" s="41"/>
      <c r="CIJ81" s="41"/>
      <c r="CIK81" s="139"/>
      <c r="CIL81" s="41"/>
      <c r="CIM81" s="41"/>
      <c r="CIN81" s="41"/>
      <c r="CIO81" s="41"/>
      <c r="CIP81" s="41"/>
      <c r="CIQ81" s="76"/>
      <c r="CIR81" s="41"/>
      <c r="CIS81" s="41"/>
      <c r="CIT81" s="41"/>
      <c r="CIU81" s="41"/>
      <c r="CIV81" s="41"/>
      <c r="CIW81" s="42"/>
      <c r="CIX81" s="40"/>
      <c r="CIY81" s="66"/>
      <c r="CIZ81" s="66"/>
      <c r="CJA81" s="66"/>
      <c r="CJB81" s="41"/>
      <c r="CJC81" s="134"/>
      <c r="CJD81" s="41"/>
      <c r="CJE81" s="41"/>
      <c r="CJF81" s="41"/>
      <c r="CJG81" s="41"/>
      <c r="CJH81" s="41"/>
      <c r="CJI81" s="139"/>
      <c r="CJJ81" s="41"/>
      <c r="CJK81" s="41"/>
      <c r="CJL81" s="41"/>
      <c r="CJM81" s="41"/>
      <c r="CJN81" s="41"/>
      <c r="CJO81" s="76"/>
      <c r="CJP81" s="41"/>
      <c r="CJQ81" s="41"/>
      <c r="CJR81" s="41"/>
      <c r="CJS81" s="41"/>
      <c r="CJT81" s="41"/>
      <c r="CJU81" s="139"/>
      <c r="CJV81" s="41"/>
      <c r="CJW81" s="41"/>
      <c r="CJX81" s="41"/>
      <c r="CJY81" s="41"/>
      <c r="CJZ81" s="41"/>
      <c r="CKA81" s="76"/>
      <c r="CKB81" s="66"/>
      <c r="CKC81" s="66"/>
      <c r="CKD81" s="66"/>
      <c r="CKE81" s="66"/>
      <c r="CKF81" s="41"/>
      <c r="CKG81" s="139"/>
      <c r="CKH81" s="41"/>
      <c r="CKI81" s="41"/>
      <c r="CKJ81" s="41"/>
      <c r="CKK81" s="41"/>
      <c r="CKL81" s="41"/>
      <c r="CKM81" s="76"/>
      <c r="CKN81" s="41"/>
      <c r="CKO81" s="41"/>
      <c r="CKP81" s="41"/>
      <c r="CKQ81" s="41"/>
      <c r="CKR81" s="41"/>
      <c r="CKS81" s="139"/>
      <c r="CKT81" s="41"/>
      <c r="CKU81" s="41"/>
      <c r="CKV81" s="41"/>
      <c r="CKW81" s="41"/>
      <c r="CKX81" s="41"/>
      <c r="CKY81" s="76"/>
      <c r="CKZ81" s="41"/>
      <c r="CLA81" s="41"/>
      <c r="CLB81" s="41"/>
      <c r="CLC81" s="41"/>
      <c r="CLD81" s="41"/>
      <c r="CLE81" s="42"/>
      <c r="CLF81" s="40"/>
      <c r="CLG81" s="66"/>
      <c r="CLH81" s="66"/>
      <c r="CLI81" s="66"/>
      <c r="CLJ81" s="41"/>
      <c r="CLK81" s="134"/>
      <c r="CLL81" s="41"/>
      <c r="CLM81" s="41"/>
      <c r="CLN81" s="41"/>
      <c r="CLO81" s="41"/>
      <c r="CLP81" s="41"/>
      <c r="CLQ81" s="139"/>
      <c r="CLR81" s="41"/>
      <c r="CLS81" s="41"/>
      <c r="CLT81" s="41"/>
      <c r="CLU81" s="41"/>
      <c r="CLV81" s="41"/>
      <c r="CLW81" s="76"/>
      <c r="CLX81" s="41"/>
      <c r="CLY81" s="41"/>
      <c r="CLZ81" s="41"/>
      <c r="CMA81" s="41"/>
      <c r="CMB81" s="41"/>
      <c r="CMC81" s="139"/>
      <c r="CMD81" s="41"/>
      <c r="CME81" s="41"/>
      <c r="CMF81" s="41"/>
      <c r="CMG81" s="41"/>
      <c r="CMH81" s="41"/>
      <c r="CMI81" s="76"/>
      <c r="CMJ81" s="66"/>
      <c r="CMK81" s="66"/>
      <c r="CML81" s="66"/>
      <c r="CMM81" s="66"/>
      <c r="CMN81" s="41"/>
      <c r="CMO81" s="139"/>
      <c r="CMP81" s="41"/>
      <c r="CMQ81" s="41"/>
      <c r="CMR81" s="41"/>
      <c r="CMS81" s="41"/>
      <c r="CMT81" s="41"/>
      <c r="CMU81" s="76"/>
      <c r="CMV81" s="41"/>
      <c r="CMW81" s="41"/>
      <c r="CMX81" s="41"/>
      <c r="CMY81" s="41"/>
      <c r="CMZ81" s="41"/>
      <c r="CNA81" s="139"/>
      <c r="CNB81" s="41"/>
      <c r="CNC81" s="41"/>
      <c r="CND81" s="41"/>
      <c r="CNE81" s="41"/>
      <c r="CNF81" s="41"/>
      <c r="CNG81" s="76"/>
      <c r="CNH81" s="41"/>
      <c r="CNI81" s="41"/>
      <c r="CNJ81" s="41"/>
      <c r="CNK81" s="41"/>
      <c r="CNL81" s="41"/>
      <c r="CNM81" s="42"/>
      <c r="CNN81" s="40"/>
      <c r="CNO81" s="66"/>
      <c r="CNP81" s="66"/>
      <c r="CNQ81" s="66"/>
      <c r="CNR81" s="41"/>
      <c r="CNS81" s="134"/>
      <c r="CNT81" s="41"/>
      <c r="CNU81" s="41"/>
      <c r="CNV81" s="41"/>
      <c r="CNW81" s="41"/>
      <c r="CNX81" s="41"/>
      <c r="CNY81" s="139"/>
      <c r="CNZ81" s="41"/>
      <c r="COA81" s="41"/>
      <c r="COB81" s="41"/>
      <c r="COC81" s="41"/>
      <c r="COD81" s="41"/>
      <c r="COE81" s="76"/>
      <c r="COF81" s="41"/>
      <c r="COG81" s="41"/>
      <c r="COH81" s="41"/>
      <c r="COI81" s="41"/>
      <c r="COJ81" s="41"/>
      <c r="COK81" s="139"/>
      <c r="COL81" s="41"/>
      <c r="COM81" s="41"/>
      <c r="CON81" s="41"/>
      <c r="COO81" s="41"/>
      <c r="COP81" s="41"/>
      <c r="COQ81" s="76"/>
      <c r="COR81" s="66"/>
      <c r="COS81" s="66"/>
      <c r="COT81" s="66"/>
      <c r="COU81" s="66"/>
      <c r="COV81" s="41"/>
      <c r="COW81" s="139"/>
      <c r="COX81" s="41"/>
      <c r="COY81" s="41"/>
      <c r="COZ81" s="41"/>
      <c r="CPA81" s="41"/>
      <c r="CPB81" s="41"/>
      <c r="CPC81" s="76"/>
      <c r="CPD81" s="41"/>
      <c r="CPE81" s="41"/>
      <c r="CPF81" s="41"/>
      <c r="CPG81" s="41"/>
      <c r="CPH81" s="41"/>
      <c r="CPI81" s="139"/>
      <c r="CPJ81" s="41"/>
      <c r="CPK81" s="41"/>
      <c r="CPL81" s="41"/>
      <c r="CPM81" s="41"/>
      <c r="CPN81" s="41"/>
      <c r="CPO81" s="76"/>
      <c r="CPP81" s="41"/>
      <c r="CPQ81" s="41"/>
      <c r="CPR81" s="41"/>
      <c r="CPS81" s="41"/>
      <c r="CPT81" s="41"/>
      <c r="CPU81" s="42"/>
      <c r="CPV81" s="40"/>
      <c r="CPW81" s="66"/>
      <c r="CPX81" s="66"/>
      <c r="CPY81" s="66"/>
      <c r="CPZ81" s="41"/>
      <c r="CQA81" s="134"/>
      <c r="CQB81" s="41"/>
      <c r="CQC81" s="41"/>
      <c r="CQD81" s="41"/>
      <c r="CQE81" s="41"/>
      <c r="CQF81" s="41"/>
      <c r="CQG81" s="139"/>
      <c r="CQH81" s="41"/>
      <c r="CQI81" s="41"/>
      <c r="CQJ81" s="41"/>
      <c r="CQK81" s="41"/>
      <c r="CQL81" s="41"/>
      <c r="CQM81" s="76"/>
      <c r="CQN81" s="41"/>
      <c r="CQO81" s="41"/>
      <c r="CQP81" s="41"/>
      <c r="CQQ81" s="41"/>
      <c r="CQR81" s="41"/>
      <c r="CQS81" s="139"/>
      <c r="CQT81" s="41"/>
      <c r="CQU81" s="41"/>
      <c r="CQV81" s="41"/>
      <c r="CQW81" s="41"/>
      <c r="CQX81" s="41"/>
      <c r="CQY81" s="76"/>
      <c r="CQZ81" s="66"/>
      <c r="CRA81" s="66"/>
      <c r="CRB81" s="66"/>
      <c r="CRC81" s="66"/>
      <c r="CRD81" s="41"/>
      <c r="CRE81" s="139"/>
      <c r="CRF81" s="41"/>
      <c r="CRG81" s="41"/>
      <c r="CRH81" s="41"/>
      <c r="CRI81" s="41"/>
      <c r="CRJ81" s="41"/>
      <c r="CRK81" s="76"/>
      <c r="CRL81" s="41"/>
      <c r="CRM81" s="41"/>
      <c r="CRN81" s="41"/>
      <c r="CRO81" s="41"/>
      <c r="CRP81" s="41"/>
      <c r="CRQ81" s="139"/>
      <c r="CRR81" s="41"/>
      <c r="CRS81" s="41"/>
      <c r="CRT81" s="41"/>
      <c r="CRU81" s="41"/>
      <c r="CRV81" s="41"/>
      <c r="CRW81" s="76"/>
      <c r="CRX81" s="41"/>
      <c r="CRY81" s="41"/>
      <c r="CRZ81" s="41"/>
      <c r="CSA81" s="41"/>
      <c r="CSB81" s="41"/>
      <c r="CSC81" s="42"/>
      <c r="CSD81" s="90"/>
    </row>
    <row r="82" spans="1:2526" ht="20.100000000000001" customHeight="1" x14ac:dyDescent="0.3">
      <c r="A82" s="100" t="s">
        <v>19</v>
      </c>
      <c r="B82" s="63"/>
      <c r="C82" s="212"/>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28"/>
      <c r="BLW82" s="67"/>
      <c r="BLX82" s="67"/>
      <c r="BLY82" s="67"/>
      <c r="BLZ82" s="29"/>
      <c r="BMA82" s="131"/>
      <c r="BMB82" s="29"/>
      <c r="BMC82" s="29"/>
      <c r="BMD82" s="29"/>
      <c r="BME82" s="29"/>
      <c r="BMF82" s="29"/>
      <c r="BMG82" s="136"/>
      <c r="BMH82" s="29"/>
      <c r="BMI82" s="29"/>
      <c r="BMJ82" s="29"/>
      <c r="BMK82" s="29"/>
      <c r="BML82" s="29"/>
      <c r="BMM82" s="73"/>
      <c r="BMN82" s="29"/>
      <c r="BMO82" s="29"/>
      <c r="BMP82" s="29"/>
      <c r="BMQ82" s="29"/>
      <c r="BMR82" s="29"/>
      <c r="BMS82" s="136"/>
      <c r="BMT82" s="29"/>
      <c r="BMU82" s="29"/>
      <c r="BMV82" s="29"/>
      <c r="BMW82" s="29"/>
      <c r="BMX82" s="29"/>
      <c r="BMY82" s="73"/>
      <c r="BMZ82" s="67"/>
      <c r="BNA82" s="67"/>
      <c r="BNB82" s="67"/>
      <c r="BNC82" s="67"/>
      <c r="BND82" s="29"/>
      <c r="BNE82" s="136"/>
      <c r="BNF82" s="29"/>
      <c r="BNG82" s="29"/>
      <c r="BNH82" s="29"/>
      <c r="BNI82" s="29"/>
      <c r="BNJ82" s="29"/>
      <c r="BNK82" s="73"/>
      <c r="BNL82" s="29"/>
      <c r="BNM82" s="29"/>
      <c r="BNN82" s="29"/>
      <c r="BNO82" s="29"/>
      <c r="BNP82" s="29"/>
      <c r="BNQ82" s="136"/>
      <c r="BNR82" s="29"/>
      <c r="BNS82" s="29"/>
      <c r="BNT82" s="29"/>
      <c r="BNU82" s="29"/>
      <c r="BNV82" s="29"/>
      <c r="BNW82" s="73"/>
      <c r="BNX82" s="29"/>
      <c r="BNY82" s="29"/>
      <c r="BNZ82" s="29"/>
      <c r="BOA82" s="29"/>
      <c r="BOB82" s="29"/>
      <c r="BOC82" s="30"/>
      <c r="BOD82" s="28"/>
      <c r="BOE82" s="67"/>
      <c r="BOF82" s="67"/>
      <c r="BOG82" s="67"/>
      <c r="BOH82" s="29"/>
      <c r="BOI82" s="131"/>
      <c r="BOJ82" s="29"/>
      <c r="BOK82" s="29"/>
      <c r="BOL82" s="29"/>
      <c r="BOM82" s="29"/>
      <c r="BON82" s="29"/>
      <c r="BOO82" s="136"/>
      <c r="BOP82" s="29"/>
      <c r="BOQ82" s="29"/>
      <c r="BOR82" s="29"/>
      <c r="BOS82" s="29"/>
      <c r="BOT82" s="29"/>
      <c r="BOU82" s="73"/>
      <c r="BOV82" s="29"/>
      <c r="BOW82" s="29"/>
      <c r="BOX82" s="29"/>
      <c r="BOY82" s="29"/>
      <c r="BOZ82" s="29"/>
      <c r="BPA82" s="136"/>
      <c r="BPB82" s="29"/>
      <c r="BPC82" s="29"/>
      <c r="BPD82" s="29"/>
      <c r="BPE82" s="29"/>
      <c r="BPF82" s="29"/>
      <c r="BPG82" s="73"/>
      <c r="BPH82" s="67"/>
      <c r="BPI82" s="67"/>
      <c r="BPJ82" s="67"/>
      <c r="BPK82" s="67"/>
      <c r="BPL82" s="29"/>
      <c r="BPM82" s="136"/>
      <c r="BPN82" s="29"/>
      <c r="BPO82" s="29"/>
      <c r="BPP82" s="29"/>
      <c r="BPQ82" s="29"/>
      <c r="BPR82" s="29"/>
      <c r="BPS82" s="73"/>
      <c r="BPT82" s="29"/>
      <c r="BPU82" s="29"/>
      <c r="BPV82" s="29"/>
      <c r="BPW82" s="29"/>
      <c r="BPX82" s="29"/>
      <c r="BPY82" s="136"/>
      <c r="BPZ82" s="29"/>
      <c r="BQA82" s="29"/>
      <c r="BQB82" s="29"/>
      <c r="BQC82" s="29"/>
      <c r="BQD82" s="29"/>
      <c r="BQE82" s="73"/>
      <c r="BQF82" s="29"/>
      <c r="BQG82" s="29"/>
      <c r="BQH82" s="29"/>
      <c r="BQI82" s="29"/>
      <c r="BQJ82" s="29"/>
      <c r="BQK82" s="30"/>
      <c r="BQL82" s="28"/>
      <c r="BQM82" s="67"/>
      <c r="BQN82" s="67"/>
      <c r="BQO82" s="67"/>
      <c r="BQP82" s="29"/>
      <c r="BQQ82" s="131"/>
      <c r="BQR82" s="29"/>
      <c r="BQS82" s="29"/>
      <c r="BQT82" s="29"/>
      <c r="BQU82" s="29"/>
      <c r="BQV82" s="29"/>
      <c r="BQW82" s="136"/>
      <c r="BQX82" s="29"/>
      <c r="BQY82" s="29"/>
      <c r="BQZ82" s="29"/>
      <c r="BRA82" s="29"/>
      <c r="BRB82" s="29"/>
      <c r="BRC82" s="73"/>
      <c r="BRD82" s="29"/>
      <c r="BRE82" s="29"/>
      <c r="BRF82" s="29"/>
      <c r="BRG82" s="29"/>
      <c r="BRH82" s="29"/>
      <c r="BRI82" s="136"/>
      <c r="BRJ82" s="29"/>
      <c r="BRK82" s="29"/>
      <c r="BRL82" s="29"/>
      <c r="BRM82" s="29"/>
      <c r="BRN82" s="29"/>
      <c r="BRO82" s="73"/>
      <c r="BRP82" s="67"/>
      <c r="BRQ82" s="67"/>
      <c r="BRR82" s="67"/>
      <c r="BRS82" s="67"/>
      <c r="BRT82" s="29"/>
      <c r="BRU82" s="136"/>
      <c r="BRV82" s="29"/>
      <c r="BRW82" s="29"/>
      <c r="BRX82" s="29"/>
      <c r="BRY82" s="29"/>
      <c r="BRZ82" s="29"/>
      <c r="BSA82" s="73"/>
      <c r="BSB82" s="29"/>
      <c r="BSC82" s="29"/>
      <c r="BSD82" s="29"/>
      <c r="BSE82" s="29"/>
      <c r="BSF82" s="29"/>
      <c r="BSG82" s="136"/>
      <c r="BSH82" s="29"/>
      <c r="BSI82" s="29"/>
      <c r="BSJ82" s="29"/>
      <c r="BSK82" s="29"/>
      <c r="BSL82" s="29"/>
      <c r="BSM82" s="73"/>
      <c r="BSN82" s="29"/>
      <c r="BSO82" s="29"/>
      <c r="BSP82" s="29"/>
      <c r="BSQ82" s="29"/>
      <c r="BSR82" s="29"/>
      <c r="BSS82" s="30"/>
      <c r="BST82" s="28"/>
      <c r="BSU82" s="67"/>
      <c r="BSV82" s="67"/>
      <c r="BSW82" s="67"/>
      <c r="BSX82" s="29"/>
      <c r="BSY82" s="131"/>
      <c r="BSZ82" s="29"/>
      <c r="BTA82" s="29"/>
      <c r="BTB82" s="29"/>
      <c r="BTC82" s="29"/>
      <c r="BTD82" s="29"/>
      <c r="BTE82" s="136"/>
      <c r="BTF82" s="29"/>
      <c r="BTG82" s="29"/>
      <c r="BTH82" s="29"/>
      <c r="BTI82" s="29"/>
      <c r="BTJ82" s="29"/>
      <c r="BTK82" s="73"/>
      <c r="BTL82" s="29"/>
      <c r="BTM82" s="29"/>
      <c r="BTN82" s="29"/>
      <c r="BTO82" s="29"/>
      <c r="BTP82" s="29"/>
      <c r="BTQ82" s="136"/>
      <c r="BTR82" s="29"/>
      <c r="BTS82" s="29"/>
      <c r="BTT82" s="29"/>
      <c r="BTU82" s="29"/>
      <c r="BTV82" s="29"/>
      <c r="BTW82" s="73"/>
      <c r="BTX82" s="67"/>
      <c r="BTY82" s="67"/>
      <c r="BTZ82" s="67"/>
      <c r="BUA82" s="67"/>
      <c r="BUB82" s="29"/>
      <c r="BUC82" s="136"/>
      <c r="BUD82" s="29"/>
      <c r="BUE82" s="29"/>
      <c r="BUF82" s="29"/>
      <c r="BUG82" s="29"/>
      <c r="BUH82" s="29"/>
      <c r="BUI82" s="73"/>
      <c r="BUJ82" s="29"/>
      <c r="BUK82" s="29"/>
      <c r="BUL82" s="29"/>
      <c r="BUM82" s="29"/>
      <c r="BUN82" s="29"/>
      <c r="BUO82" s="136"/>
      <c r="BUP82" s="29"/>
      <c r="BUQ82" s="29"/>
      <c r="BUR82" s="29"/>
      <c r="BUS82" s="29"/>
      <c r="BUT82" s="29"/>
      <c r="BUU82" s="73"/>
      <c r="BUV82" s="29"/>
      <c r="BUW82" s="29"/>
      <c r="BUX82" s="29"/>
      <c r="BUY82" s="29"/>
      <c r="BUZ82" s="29"/>
      <c r="BVA82" s="30"/>
      <c r="BVB82" s="28"/>
      <c r="BVC82" s="67"/>
      <c r="BVD82" s="67"/>
      <c r="BVE82" s="67"/>
      <c r="BVF82" s="29"/>
      <c r="BVG82" s="131"/>
      <c r="BVH82" s="29"/>
      <c r="BVI82" s="29"/>
      <c r="BVJ82" s="29"/>
      <c r="BVK82" s="29"/>
      <c r="BVL82" s="29"/>
      <c r="BVM82" s="136"/>
      <c r="BVN82" s="29"/>
      <c r="BVO82" s="29"/>
      <c r="BVP82" s="29"/>
      <c r="BVQ82" s="29"/>
      <c r="BVR82" s="29"/>
      <c r="BVS82" s="73"/>
      <c r="BVT82" s="29"/>
      <c r="BVU82" s="29"/>
      <c r="BVV82" s="29"/>
      <c r="BVW82" s="29"/>
      <c r="BVX82" s="29"/>
      <c r="BVY82" s="136"/>
      <c r="BVZ82" s="29"/>
      <c r="BWA82" s="29"/>
      <c r="BWB82" s="29"/>
      <c r="BWC82" s="29"/>
      <c r="BWD82" s="29"/>
      <c r="BWE82" s="73"/>
      <c r="BWF82" s="67"/>
      <c r="BWG82" s="67"/>
      <c r="BWH82" s="67"/>
      <c r="BWI82" s="67"/>
      <c r="BWJ82" s="29"/>
      <c r="BWK82" s="136"/>
      <c r="BWL82" s="29"/>
      <c r="BWM82" s="29"/>
      <c r="BWN82" s="29"/>
      <c r="BWO82" s="29"/>
      <c r="BWP82" s="29"/>
      <c r="BWQ82" s="73"/>
      <c r="BWR82" s="29"/>
      <c r="BWS82" s="29"/>
      <c r="BWT82" s="29"/>
      <c r="BWU82" s="29"/>
      <c r="BWV82" s="29"/>
      <c r="BWW82" s="136"/>
      <c r="BWX82" s="29"/>
      <c r="BWY82" s="29"/>
      <c r="BWZ82" s="29"/>
      <c r="BXA82" s="29"/>
      <c r="BXB82" s="29"/>
      <c r="BXC82" s="73"/>
      <c r="BXD82" s="29"/>
      <c r="BXE82" s="29"/>
      <c r="BXF82" s="29"/>
      <c r="BXG82" s="29"/>
      <c r="BXH82" s="29"/>
      <c r="BXI82" s="30"/>
      <c r="BXJ82" s="28"/>
      <c r="BXK82" s="67"/>
      <c r="BXL82" s="67"/>
      <c r="BXM82" s="67"/>
      <c r="BXN82" s="29"/>
      <c r="BXO82" s="131"/>
      <c r="BXP82" s="29"/>
      <c r="BXQ82" s="29"/>
      <c r="BXR82" s="29"/>
      <c r="BXS82" s="29"/>
      <c r="BXT82" s="29"/>
      <c r="BXU82" s="136"/>
      <c r="BXV82" s="29"/>
      <c r="BXW82" s="29"/>
      <c r="BXX82" s="29"/>
      <c r="BXY82" s="29"/>
      <c r="BXZ82" s="29"/>
      <c r="BYA82" s="73"/>
      <c r="BYB82" s="29"/>
      <c r="BYC82" s="29"/>
      <c r="BYD82" s="29"/>
      <c r="BYE82" s="29"/>
      <c r="BYF82" s="29"/>
      <c r="BYG82" s="136"/>
      <c r="BYH82" s="29"/>
      <c r="BYI82" s="29"/>
      <c r="BYJ82" s="29"/>
      <c r="BYK82" s="29"/>
      <c r="BYL82" s="29"/>
      <c r="BYM82" s="73"/>
      <c r="BYN82" s="67"/>
      <c r="BYO82" s="67"/>
      <c r="BYP82" s="67"/>
      <c r="BYQ82" s="67"/>
      <c r="BYR82" s="29"/>
      <c r="BYS82" s="136"/>
      <c r="BYT82" s="29"/>
      <c r="BYU82" s="29"/>
      <c r="BYV82" s="29"/>
      <c r="BYW82" s="29"/>
      <c r="BYX82" s="29"/>
      <c r="BYY82" s="73"/>
      <c r="BYZ82" s="29"/>
      <c r="BZA82" s="29"/>
      <c r="BZB82" s="29"/>
      <c r="BZC82" s="29"/>
      <c r="BZD82" s="29"/>
      <c r="BZE82" s="136"/>
      <c r="BZF82" s="29"/>
      <c r="BZG82" s="29"/>
      <c r="BZH82" s="29"/>
      <c r="BZI82" s="29"/>
      <c r="BZJ82" s="29"/>
      <c r="BZK82" s="73"/>
      <c r="BZL82" s="29"/>
      <c r="BZM82" s="29"/>
      <c r="BZN82" s="29"/>
      <c r="BZO82" s="29"/>
      <c r="BZP82" s="29"/>
      <c r="BZQ82" s="30"/>
      <c r="BZR82" s="28"/>
      <c r="BZS82" s="67"/>
      <c r="BZT82" s="67"/>
      <c r="BZU82" s="67"/>
      <c r="BZV82" s="29"/>
      <c r="BZW82" s="131"/>
      <c r="BZX82" s="29"/>
      <c r="BZY82" s="29"/>
      <c r="BZZ82" s="29"/>
      <c r="CAA82" s="29"/>
      <c r="CAB82" s="29"/>
      <c r="CAC82" s="136"/>
      <c r="CAD82" s="29"/>
      <c r="CAE82" s="29"/>
      <c r="CAF82" s="29"/>
      <c r="CAG82" s="29"/>
      <c r="CAH82" s="29"/>
      <c r="CAI82" s="73"/>
      <c r="CAJ82" s="29"/>
      <c r="CAK82" s="29"/>
      <c r="CAL82" s="29"/>
      <c r="CAM82" s="29"/>
      <c r="CAN82" s="29"/>
      <c r="CAO82" s="136"/>
      <c r="CAP82" s="29"/>
      <c r="CAQ82" s="29"/>
      <c r="CAR82" s="29"/>
      <c r="CAS82" s="29"/>
      <c r="CAT82" s="29"/>
      <c r="CAU82" s="73"/>
      <c r="CAV82" s="67"/>
      <c r="CAW82" s="67"/>
      <c r="CAX82" s="67"/>
      <c r="CAY82" s="67"/>
      <c r="CAZ82" s="29"/>
      <c r="CBA82" s="136"/>
      <c r="CBB82" s="29"/>
      <c r="CBC82" s="29"/>
      <c r="CBD82" s="29"/>
      <c r="CBE82" s="29"/>
      <c r="CBF82" s="29"/>
      <c r="CBG82" s="73"/>
      <c r="CBH82" s="29"/>
      <c r="CBI82" s="29"/>
      <c r="CBJ82" s="29"/>
      <c r="CBK82" s="29"/>
      <c r="CBL82" s="29"/>
      <c r="CBM82" s="136"/>
      <c r="CBN82" s="29"/>
      <c r="CBO82" s="29"/>
      <c r="CBP82" s="29"/>
      <c r="CBQ82" s="29"/>
      <c r="CBR82" s="29"/>
      <c r="CBS82" s="73"/>
      <c r="CBT82" s="29"/>
      <c r="CBU82" s="29"/>
      <c r="CBV82" s="29"/>
      <c r="CBW82" s="29"/>
      <c r="CBX82" s="29"/>
      <c r="CBY82" s="30"/>
      <c r="CBZ82" s="28"/>
      <c r="CCA82" s="67"/>
      <c r="CCB82" s="67"/>
      <c r="CCC82" s="67"/>
      <c r="CCD82" s="29"/>
      <c r="CCE82" s="131"/>
      <c r="CCF82" s="29"/>
      <c r="CCG82" s="29"/>
      <c r="CCH82" s="29"/>
      <c r="CCI82" s="29"/>
      <c r="CCJ82" s="29"/>
      <c r="CCK82" s="136"/>
      <c r="CCL82" s="29"/>
      <c r="CCM82" s="29"/>
      <c r="CCN82" s="29"/>
      <c r="CCO82" s="29"/>
      <c r="CCP82" s="29"/>
      <c r="CCQ82" s="73"/>
      <c r="CCR82" s="29"/>
      <c r="CCS82" s="29"/>
      <c r="CCT82" s="29"/>
      <c r="CCU82" s="29"/>
      <c r="CCV82" s="29"/>
      <c r="CCW82" s="136"/>
      <c r="CCX82" s="29"/>
      <c r="CCY82" s="29"/>
      <c r="CCZ82" s="29"/>
      <c r="CDA82" s="29"/>
      <c r="CDB82" s="29"/>
      <c r="CDC82" s="73"/>
      <c r="CDD82" s="67"/>
      <c r="CDE82" s="67"/>
      <c r="CDF82" s="67"/>
      <c r="CDG82" s="67"/>
      <c r="CDH82" s="29"/>
      <c r="CDI82" s="136"/>
      <c r="CDJ82" s="29"/>
      <c r="CDK82" s="29"/>
      <c r="CDL82" s="29"/>
      <c r="CDM82" s="29"/>
      <c r="CDN82" s="29"/>
      <c r="CDO82" s="73"/>
      <c r="CDP82" s="29"/>
      <c r="CDQ82" s="29"/>
      <c r="CDR82" s="29"/>
      <c r="CDS82" s="29"/>
      <c r="CDT82" s="29"/>
      <c r="CDU82" s="136"/>
      <c r="CDV82" s="29"/>
      <c r="CDW82" s="29"/>
      <c r="CDX82" s="29"/>
      <c r="CDY82" s="29"/>
      <c r="CDZ82" s="29"/>
      <c r="CEA82" s="73"/>
      <c r="CEB82" s="29"/>
      <c r="CEC82" s="29"/>
      <c r="CED82" s="29"/>
      <c r="CEE82" s="29"/>
      <c r="CEF82" s="29"/>
      <c r="CEG82" s="30"/>
      <c r="CEH82" s="28"/>
      <c r="CEI82" s="67"/>
      <c r="CEJ82" s="67"/>
      <c r="CEK82" s="67"/>
      <c r="CEL82" s="29"/>
      <c r="CEM82" s="131"/>
      <c r="CEN82" s="29"/>
      <c r="CEO82" s="29"/>
      <c r="CEP82" s="29"/>
      <c r="CEQ82" s="29"/>
      <c r="CER82" s="29"/>
      <c r="CES82" s="136"/>
      <c r="CET82" s="29"/>
      <c r="CEU82" s="29"/>
      <c r="CEV82" s="29"/>
      <c r="CEW82" s="29"/>
      <c r="CEX82" s="29"/>
      <c r="CEY82" s="73"/>
      <c r="CEZ82" s="29"/>
      <c r="CFA82" s="29"/>
      <c r="CFB82" s="29"/>
      <c r="CFC82" s="29"/>
      <c r="CFD82" s="29"/>
      <c r="CFE82" s="136"/>
      <c r="CFF82" s="29"/>
      <c r="CFG82" s="29"/>
      <c r="CFH82" s="29"/>
      <c r="CFI82" s="29"/>
      <c r="CFJ82" s="29"/>
      <c r="CFK82" s="73"/>
      <c r="CFL82" s="67"/>
      <c r="CFM82" s="67"/>
      <c r="CFN82" s="67"/>
      <c r="CFO82" s="67"/>
      <c r="CFP82" s="29"/>
      <c r="CFQ82" s="136"/>
      <c r="CFR82" s="29"/>
      <c r="CFS82" s="29"/>
      <c r="CFT82" s="29"/>
      <c r="CFU82" s="29"/>
      <c r="CFV82" s="29"/>
      <c r="CFW82" s="73"/>
      <c r="CFX82" s="29"/>
      <c r="CFY82" s="29"/>
      <c r="CFZ82" s="29"/>
      <c r="CGA82" s="29"/>
      <c r="CGB82" s="29"/>
      <c r="CGC82" s="136"/>
      <c r="CGD82" s="29"/>
      <c r="CGE82" s="29"/>
      <c r="CGF82" s="29"/>
      <c r="CGG82" s="29"/>
      <c r="CGH82" s="29"/>
      <c r="CGI82" s="73"/>
      <c r="CGJ82" s="29"/>
      <c r="CGK82" s="29"/>
      <c r="CGL82" s="29"/>
      <c r="CGM82" s="29"/>
      <c r="CGN82" s="29"/>
      <c r="CGO82" s="30"/>
      <c r="CGP82" s="28"/>
      <c r="CGQ82" s="67"/>
      <c r="CGR82" s="67"/>
      <c r="CGS82" s="67"/>
      <c r="CGT82" s="29"/>
      <c r="CGU82" s="131"/>
      <c r="CGV82" s="29"/>
      <c r="CGW82" s="29"/>
      <c r="CGX82" s="29"/>
      <c r="CGY82" s="29"/>
      <c r="CGZ82" s="29"/>
      <c r="CHA82" s="136"/>
      <c r="CHB82" s="29"/>
      <c r="CHC82" s="29"/>
      <c r="CHD82" s="29"/>
      <c r="CHE82" s="29"/>
      <c r="CHF82" s="29"/>
      <c r="CHG82" s="73"/>
      <c r="CHH82" s="29"/>
      <c r="CHI82" s="29"/>
      <c r="CHJ82" s="29"/>
      <c r="CHK82" s="29"/>
      <c r="CHL82" s="29"/>
      <c r="CHM82" s="136"/>
      <c r="CHN82" s="29"/>
      <c r="CHO82" s="29"/>
      <c r="CHP82" s="29"/>
      <c r="CHQ82" s="29"/>
      <c r="CHR82" s="29"/>
      <c r="CHS82" s="73"/>
      <c r="CHT82" s="67"/>
      <c r="CHU82" s="67"/>
      <c r="CHV82" s="67"/>
      <c r="CHW82" s="67"/>
      <c r="CHX82" s="29"/>
      <c r="CHY82" s="136"/>
      <c r="CHZ82" s="29"/>
      <c r="CIA82" s="29"/>
      <c r="CIB82" s="29"/>
      <c r="CIC82" s="29"/>
      <c r="CID82" s="29"/>
      <c r="CIE82" s="73"/>
      <c r="CIF82" s="29"/>
      <c r="CIG82" s="29"/>
      <c r="CIH82" s="29"/>
      <c r="CII82" s="29"/>
      <c r="CIJ82" s="29"/>
      <c r="CIK82" s="136"/>
      <c r="CIL82" s="29"/>
      <c r="CIM82" s="29"/>
      <c r="CIN82" s="29"/>
      <c r="CIO82" s="29"/>
      <c r="CIP82" s="29"/>
      <c r="CIQ82" s="73"/>
      <c r="CIR82" s="29"/>
      <c r="CIS82" s="29"/>
      <c r="CIT82" s="29"/>
      <c r="CIU82" s="29"/>
      <c r="CIV82" s="29"/>
      <c r="CIW82" s="30"/>
      <c r="CIX82" s="28"/>
      <c r="CIY82" s="67"/>
      <c r="CIZ82" s="67"/>
      <c r="CJA82" s="67"/>
      <c r="CJB82" s="29"/>
      <c r="CJC82" s="131"/>
      <c r="CJD82" s="29"/>
      <c r="CJE82" s="29"/>
      <c r="CJF82" s="29"/>
      <c r="CJG82" s="29"/>
      <c r="CJH82" s="29"/>
      <c r="CJI82" s="136"/>
      <c r="CJJ82" s="29"/>
      <c r="CJK82" s="29"/>
      <c r="CJL82" s="29"/>
      <c r="CJM82" s="29"/>
      <c r="CJN82" s="29"/>
      <c r="CJO82" s="73"/>
      <c r="CJP82" s="29"/>
      <c r="CJQ82" s="29"/>
      <c r="CJR82" s="29"/>
      <c r="CJS82" s="29"/>
      <c r="CJT82" s="29"/>
      <c r="CJU82" s="136"/>
      <c r="CJV82" s="29"/>
      <c r="CJW82" s="29"/>
      <c r="CJX82" s="29"/>
      <c r="CJY82" s="29"/>
      <c r="CJZ82" s="29"/>
      <c r="CKA82" s="73"/>
      <c r="CKB82" s="67"/>
      <c r="CKC82" s="67"/>
      <c r="CKD82" s="67"/>
      <c r="CKE82" s="67"/>
      <c r="CKF82" s="29"/>
      <c r="CKG82" s="136"/>
      <c r="CKH82" s="29"/>
      <c r="CKI82" s="29"/>
      <c r="CKJ82" s="29"/>
      <c r="CKK82" s="29"/>
      <c r="CKL82" s="29"/>
      <c r="CKM82" s="73"/>
      <c r="CKN82" s="29"/>
      <c r="CKO82" s="29"/>
      <c r="CKP82" s="29"/>
      <c r="CKQ82" s="29"/>
      <c r="CKR82" s="29"/>
      <c r="CKS82" s="136"/>
      <c r="CKT82" s="29"/>
      <c r="CKU82" s="29"/>
      <c r="CKV82" s="29"/>
      <c r="CKW82" s="29"/>
      <c r="CKX82" s="29"/>
      <c r="CKY82" s="73"/>
      <c r="CKZ82" s="29"/>
      <c r="CLA82" s="29"/>
      <c r="CLB82" s="29"/>
      <c r="CLC82" s="29"/>
      <c r="CLD82" s="29"/>
      <c r="CLE82" s="30"/>
      <c r="CLF82" s="28"/>
      <c r="CLG82" s="67"/>
      <c r="CLH82" s="67"/>
      <c r="CLI82" s="67"/>
      <c r="CLJ82" s="29"/>
      <c r="CLK82" s="131"/>
      <c r="CLL82" s="29"/>
      <c r="CLM82" s="29"/>
      <c r="CLN82" s="29"/>
      <c r="CLO82" s="29"/>
      <c r="CLP82" s="29"/>
      <c r="CLQ82" s="136"/>
      <c r="CLR82" s="29"/>
      <c r="CLS82" s="29"/>
      <c r="CLT82" s="29"/>
      <c r="CLU82" s="29"/>
      <c r="CLV82" s="29"/>
      <c r="CLW82" s="73"/>
      <c r="CLX82" s="29"/>
      <c r="CLY82" s="29"/>
      <c r="CLZ82" s="29"/>
      <c r="CMA82" s="29"/>
      <c r="CMB82" s="29"/>
      <c r="CMC82" s="136"/>
      <c r="CMD82" s="29"/>
      <c r="CME82" s="29"/>
      <c r="CMF82" s="29"/>
      <c r="CMG82" s="29"/>
      <c r="CMH82" s="29"/>
      <c r="CMI82" s="73"/>
      <c r="CMJ82" s="67"/>
      <c r="CMK82" s="67"/>
      <c r="CML82" s="67"/>
      <c r="CMM82" s="67"/>
      <c r="CMN82" s="29"/>
      <c r="CMO82" s="136"/>
      <c r="CMP82" s="29"/>
      <c r="CMQ82" s="29"/>
      <c r="CMR82" s="29"/>
      <c r="CMS82" s="29"/>
      <c r="CMT82" s="29"/>
      <c r="CMU82" s="73"/>
      <c r="CMV82" s="29"/>
      <c r="CMW82" s="29"/>
      <c r="CMX82" s="29"/>
      <c r="CMY82" s="29"/>
      <c r="CMZ82" s="29"/>
      <c r="CNA82" s="136"/>
      <c r="CNB82" s="29"/>
      <c r="CNC82" s="29"/>
      <c r="CND82" s="29"/>
      <c r="CNE82" s="29"/>
      <c r="CNF82" s="29"/>
      <c r="CNG82" s="73"/>
      <c r="CNH82" s="29"/>
      <c r="CNI82" s="29"/>
      <c r="CNJ82" s="29"/>
      <c r="CNK82" s="29"/>
      <c r="CNL82" s="29"/>
      <c r="CNM82" s="30"/>
      <c r="CNN82" s="28"/>
      <c r="CNO82" s="67"/>
      <c r="CNP82" s="67"/>
      <c r="CNQ82" s="67"/>
      <c r="CNR82" s="29"/>
      <c r="CNS82" s="131"/>
      <c r="CNT82" s="29"/>
      <c r="CNU82" s="29"/>
      <c r="CNV82" s="29"/>
      <c r="CNW82" s="29"/>
      <c r="CNX82" s="29"/>
      <c r="CNY82" s="136"/>
      <c r="CNZ82" s="29"/>
      <c r="COA82" s="29"/>
      <c r="COB82" s="29"/>
      <c r="COC82" s="29"/>
      <c r="COD82" s="29"/>
      <c r="COE82" s="73"/>
      <c r="COF82" s="29"/>
      <c r="COG82" s="29"/>
      <c r="COH82" s="29"/>
      <c r="COI82" s="29"/>
      <c r="COJ82" s="29"/>
      <c r="COK82" s="136"/>
      <c r="COL82" s="29"/>
      <c r="COM82" s="29"/>
      <c r="CON82" s="29"/>
      <c r="COO82" s="29"/>
      <c r="COP82" s="29"/>
      <c r="COQ82" s="73"/>
      <c r="COR82" s="67"/>
      <c r="COS82" s="67"/>
      <c r="COT82" s="67"/>
      <c r="COU82" s="67"/>
      <c r="COV82" s="29"/>
      <c r="COW82" s="136"/>
      <c r="COX82" s="29"/>
      <c r="COY82" s="29"/>
      <c r="COZ82" s="29"/>
      <c r="CPA82" s="29"/>
      <c r="CPB82" s="29"/>
      <c r="CPC82" s="73"/>
      <c r="CPD82" s="29"/>
      <c r="CPE82" s="29"/>
      <c r="CPF82" s="29"/>
      <c r="CPG82" s="29"/>
      <c r="CPH82" s="29"/>
      <c r="CPI82" s="136"/>
      <c r="CPJ82" s="29"/>
      <c r="CPK82" s="29"/>
      <c r="CPL82" s="29"/>
      <c r="CPM82" s="29"/>
      <c r="CPN82" s="29"/>
      <c r="CPO82" s="73"/>
      <c r="CPP82" s="29"/>
      <c r="CPQ82" s="29"/>
      <c r="CPR82" s="29"/>
      <c r="CPS82" s="29"/>
      <c r="CPT82" s="29"/>
      <c r="CPU82" s="30"/>
      <c r="CPV82" s="28"/>
      <c r="CPW82" s="67"/>
      <c r="CPX82" s="67"/>
      <c r="CPY82" s="67"/>
      <c r="CPZ82" s="29"/>
      <c r="CQA82" s="131"/>
      <c r="CQB82" s="29"/>
      <c r="CQC82" s="29"/>
      <c r="CQD82" s="29"/>
      <c r="CQE82" s="29"/>
      <c r="CQF82" s="29"/>
      <c r="CQG82" s="136"/>
      <c r="CQH82" s="29"/>
      <c r="CQI82" s="29"/>
      <c r="CQJ82" s="29"/>
      <c r="CQK82" s="29"/>
      <c r="CQL82" s="29"/>
      <c r="CQM82" s="73"/>
      <c r="CQN82" s="29"/>
      <c r="CQO82" s="29"/>
      <c r="CQP82" s="29"/>
      <c r="CQQ82" s="29"/>
      <c r="CQR82" s="29"/>
      <c r="CQS82" s="136"/>
      <c r="CQT82" s="29"/>
      <c r="CQU82" s="29"/>
      <c r="CQV82" s="29"/>
      <c r="CQW82" s="29"/>
      <c r="CQX82" s="29"/>
      <c r="CQY82" s="73"/>
      <c r="CQZ82" s="67"/>
      <c r="CRA82" s="67"/>
      <c r="CRB82" s="67"/>
      <c r="CRC82" s="67"/>
      <c r="CRD82" s="29"/>
      <c r="CRE82" s="136"/>
      <c r="CRF82" s="29"/>
      <c r="CRG82" s="29"/>
      <c r="CRH82" s="29"/>
      <c r="CRI82" s="29"/>
      <c r="CRJ82" s="29"/>
      <c r="CRK82" s="73"/>
      <c r="CRL82" s="29"/>
      <c r="CRM82" s="29"/>
      <c r="CRN82" s="29"/>
      <c r="CRO82" s="29"/>
      <c r="CRP82" s="29"/>
      <c r="CRQ82" s="136"/>
      <c r="CRR82" s="29"/>
      <c r="CRS82" s="29"/>
      <c r="CRT82" s="29"/>
      <c r="CRU82" s="29"/>
      <c r="CRV82" s="29"/>
      <c r="CRW82" s="73"/>
      <c r="CRX82" s="29"/>
      <c r="CRY82" s="29"/>
      <c r="CRZ82" s="29"/>
      <c r="CSA82" s="29"/>
      <c r="CSB82" s="29"/>
      <c r="CSC82" s="30"/>
      <c r="CSD82" s="90"/>
    </row>
    <row r="83" spans="1:2526" ht="20.100000000000001" customHeight="1" x14ac:dyDescent="0.25">
      <c r="A83" s="100" t="s">
        <v>18</v>
      </c>
      <c r="B83" s="63"/>
      <c r="C83" s="211"/>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32"/>
      <c r="BLW83" s="64"/>
      <c r="BLX83" s="64"/>
      <c r="BLY83" s="64"/>
      <c r="BLZ83" s="33"/>
      <c r="BMA83" s="132"/>
      <c r="BMB83" s="33"/>
      <c r="BMC83" s="33"/>
      <c r="BMD83" s="33"/>
      <c r="BME83" s="33"/>
      <c r="BMF83" s="33"/>
      <c r="BMG83" s="137"/>
      <c r="BMH83" s="33"/>
      <c r="BMI83" s="33"/>
      <c r="BMJ83" s="33"/>
      <c r="BMK83" s="33"/>
      <c r="BML83" s="33"/>
      <c r="BMM83" s="74"/>
      <c r="BMN83" s="33"/>
      <c r="BMO83" s="33"/>
      <c r="BMP83" s="33"/>
      <c r="BMQ83" s="33"/>
      <c r="BMR83" s="33"/>
      <c r="BMS83" s="137"/>
      <c r="BMT83" s="33"/>
      <c r="BMU83" s="33"/>
      <c r="BMV83" s="33"/>
      <c r="BMW83" s="33"/>
      <c r="BMX83" s="33"/>
      <c r="BMY83" s="74"/>
      <c r="BMZ83" s="64"/>
      <c r="BNA83" s="64"/>
      <c r="BNB83" s="64"/>
      <c r="BNC83" s="64"/>
      <c r="BND83" s="33"/>
      <c r="BNE83" s="137"/>
      <c r="BNF83" s="33"/>
      <c r="BNG83" s="33"/>
      <c r="BNH83" s="33"/>
      <c r="BNI83" s="33"/>
      <c r="BNJ83" s="33"/>
      <c r="BNK83" s="74"/>
      <c r="BNL83" s="33"/>
      <c r="BNM83" s="33"/>
      <c r="BNN83" s="33"/>
      <c r="BNO83" s="33"/>
      <c r="BNP83" s="33"/>
      <c r="BNQ83" s="137"/>
      <c r="BNR83" s="33"/>
      <c r="BNS83" s="33"/>
      <c r="BNT83" s="33"/>
      <c r="BNU83" s="33"/>
      <c r="BNV83" s="33"/>
      <c r="BNW83" s="74"/>
      <c r="BNX83" s="33"/>
      <c r="BNY83" s="33"/>
      <c r="BNZ83" s="33"/>
      <c r="BOA83" s="33"/>
      <c r="BOB83" s="33"/>
      <c r="BOC83" s="34"/>
      <c r="BOD83" s="32"/>
      <c r="BOE83" s="64"/>
      <c r="BOF83" s="64"/>
      <c r="BOG83" s="64"/>
      <c r="BOH83" s="33"/>
      <c r="BOI83" s="132"/>
      <c r="BOJ83" s="33"/>
      <c r="BOK83" s="33"/>
      <c r="BOL83" s="33"/>
      <c r="BOM83" s="33"/>
      <c r="BON83" s="33"/>
      <c r="BOO83" s="137"/>
      <c r="BOP83" s="33"/>
      <c r="BOQ83" s="33"/>
      <c r="BOR83" s="33"/>
      <c r="BOS83" s="33"/>
      <c r="BOT83" s="33"/>
      <c r="BOU83" s="74"/>
      <c r="BOV83" s="33"/>
      <c r="BOW83" s="33"/>
      <c r="BOX83" s="33"/>
      <c r="BOY83" s="33"/>
      <c r="BOZ83" s="33"/>
      <c r="BPA83" s="137"/>
      <c r="BPB83" s="33"/>
      <c r="BPC83" s="33"/>
      <c r="BPD83" s="33"/>
      <c r="BPE83" s="33"/>
      <c r="BPF83" s="33"/>
      <c r="BPG83" s="74"/>
      <c r="BPH83" s="64"/>
      <c r="BPI83" s="64"/>
      <c r="BPJ83" s="64"/>
      <c r="BPK83" s="64"/>
      <c r="BPL83" s="33"/>
      <c r="BPM83" s="137"/>
      <c r="BPN83" s="33"/>
      <c r="BPO83" s="33"/>
      <c r="BPP83" s="33"/>
      <c r="BPQ83" s="33"/>
      <c r="BPR83" s="33"/>
      <c r="BPS83" s="74"/>
      <c r="BPT83" s="33"/>
      <c r="BPU83" s="33"/>
      <c r="BPV83" s="33"/>
      <c r="BPW83" s="33"/>
      <c r="BPX83" s="33"/>
      <c r="BPY83" s="137"/>
      <c r="BPZ83" s="33"/>
      <c r="BQA83" s="33"/>
      <c r="BQB83" s="33"/>
      <c r="BQC83" s="33"/>
      <c r="BQD83" s="33"/>
      <c r="BQE83" s="74"/>
      <c r="BQF83" s="33"/>
      <c r="BQG83" s="33"/>
      <c r="BQH83" s="33"/>
      <c r="BQI83" s="33"/>
      <c r="BQJ83" s="33"/>
      <c r="BQK83" s="34"/>
      <c r="BQL83" s="32"/>
      <c r="BQM83" s="64"/>
      <c r="BQN83" s="64"/>
      <c r="BQO83" s="64"/>
      <c r="BQP83" s="33"/>
      <c r="BQQ83" s="132"/>
      <c r="BQR83" s="33"/>
      <c r="BQS83" s="33"/>
      <c r="BQT83" s="33"/>
      <c r="BQU83" s="33"/>
      <c r="BQV83" s="33"/>
      <c r="BQW83" s="137"/>
      <c r="BQX83" s="33"/>
      <c r="BQY83" s="33"/>
      <c r="BQZ83" s="33"/>
      <c r="BRA83" s="33"/>
      <c r="BRB83" s="33"/>
      <c r="BRC83" s="74"/>
      <c r="BRD83" s="33"/>
      <c r="BRE83" s="33"/>
      <c r="BRF83" s="33"/>
      <c r="BRG83" s="33"/>
      <c r="BRH83" s="33"/>
      <c r="BRI83" s="137"/>
      <c r="BRJ83" s="33"/>
      <c r="BRK83" s="33"/>
      <c r="BRL83" s="33"/>
      <c r="BRM83" s="33"/>
      <c r="BRN83" s="33"/>
      <c r="BRO83" s="74"/>
      <c r="BRP83" s="64"/>
      <c r="BRQ83" s="64"/>
      <c r="BRR83" s="64"/>
      <c r="BRS83" s="64"/>
      <c r="BRT83" s="33"/>
      <c r="BRU83" s="137"/>
      <c r="BRV83" s="33"/>
      <c r="BRW83" s="33"/>
      <c r="BRX83" s="33"/>
      <c r="BRY83" s="33"/>
      <c r="BRZ83" s="33"/>
      <c r="BSA83" s="74"/>
      <c r="BSB83" s="33"/>
      <c r="BSC83" s="33"/>
      <c r="BSD83" s="33"/>
      <c r="BSE83" s="33"/>
      <c r="BSF83" s="33"/>
      <c r="BSG83" s="137"/>
      <c r="BSH83" s="33"/>
      <c r="BSI83" s="33"/>
      <c r="BSJ83" s="33"/>
      <c r="BSK83" s="33"/>
      <c r="BSL83" s="33"/>
      <c r="BSM83" s="74"/>
      <c r="BSN83" s="33"/>
      <c r="BSO83" s="33"/>
      <c r="BSP83" s="33"/>
      <c r="BSQ83" s="33"/>
      <c r="BSR83" s="33"/>
      <c r="BSS83" s="34"/>
      <c r="BST83" s="32"/>
      <c r="BSU83" s="64"/>
      <c r="BSV83" s="64"/>
      <c r="BSW83" s="64"/>
      <c r="BSX83" s="33"/>
      <c r="BSY83" s="132"/>
      <c r="BSZ83" s="33"/>
      <c r="BTA83" s="33"/>
      <c r="BTB83" s="33"/>
      <c r="BTC83" s="33"/>
      <c r="BTD83" s="33"/>
      <c r="BTE83" s="137"/>
      <c r="BTF83" s="33"/>
      <c r="BTG83" s="33"/>
      <c r="BTH83" s="33"/>
      <c r="BTI83" s="33"/>
      <c r="BTJ83" s="33"/>
      <c r="BTK83" s="74"/>
      <c r="BTL83" s="33"/>
      <c r="BTM83" s="33"/>
      <c r="BTN83" s="33"/>
      <c r="BTO83" s="33"/>
      <c r="BTP83" s="33"/>
      <c r="BTQ83" s="137"/>
      <c r="BTR83" s="33"/>
      <c r="BTS83" s="33"/>
      <c r="BTT83" s="33"/>
      <c r="BTU83" s="33"/>
      <c r="BTV83" s="33"/>
      <c r="BTW83" s="74"/>
      <c r="BTX83" s="64"/>
      <c r="BTY83" s="64"/>
      <c r="BTZ83" s="64"/>
      <c r="BUA83" s="64"/>
      <c r="BUB83" s="33"/>
      <c r="BUC83" s="137"/>
      <c r="BUD83" s="33"/>
      <c r="BUE83" s="33"/>
      <c r="BUF83" s="33"/>
      <c r="BUG83" s="33"/>
      <c r="BUH83" s="33"/>
      <c r="BUI83" s="74"/>
      <c r="BUJ83" s="33"/>
      <c r="BUK83" s="33"/>
      <c r="BUL83" s="33"/>
      <c r="BUM83" s="33"/>
      <c r="BUN83" s="33"/>
      <c r="BUO83" s="137"/>
      <c r="BUP83" s="33"/>
      <c r="BUQ83" s="33"/>
      <c r="BUR83" s="33"/>
      <c r="BUS83" s="33"/>
      <c r="BUT83" s="33"/>
      <c r="BUU83" s="74"/>
      <c r="BUV83" s="33"/>
      <c r="BUW83" s="33"/>
      <c r="BUX83" s="33"/>
      <c r="BUY83" s="33"/>
      <c r="BUZ83" s="33"/>
      <c r="BVA83" s="34"/>
      <c r="BVB83" s="32"/>
      <c r="BVC83" s="64"/>
      <c r="BVD83" s="64"/>
      <c r="BVE83" s="64"/>
      <c r="BVF83" s="33"/>
      <c r="BVG83" s="132"/>
      <c r="BVH83" s="33"/>
      <c r="BVI83" s="33"/>
      <c r="BVJ83" s="33"/>
      <c r="BVK83" s="33"/>
      <c r="BVL83" s="33"/>
      <c r="BVM83" s="137"/>
      <c r="BVN83" s="33"/>
      <c r="BVO83" s="33"/>
      <c r="BVP83" s="33"/>
      <c r="BVQ83" s="33"/>
      <c r="BVR83" s="33"/>
      <c r="BVS83" s="74"/>
      <c r="BVT83" s="33"/>
      <c r="BVU83" s="33"/>
      <c r="BVV83" s="33"/>
      <c r="BVW83" s="33"/>
      <c r="BVX83" s="33"/>
      <c r="BVY83" s="137"/>
      <c r="BVZ83" s="33"/>
      <c r="BWA83" s="33"/>
      <c r="BWB83" s="33"/>
      <c r="BWC83" s="33"/>
      <c r="BWD83" s="33"/>
      <c r="BWE83" s="74"/>
      <c r="BWF83" s="64"/>
      <c r="BWG83" s="64"/>
      <c r="BWH83" s="64"/>
      <c r="BWI83" s="64"/>
      <c r="BWJ83" s="33"/>
      <c r="BWK83" s="137"/>
      <c r="BWL83" s="33"/>
      <c r="BWM83" s="33"/>
      <c r="BWN83" s="33"/>
      <c r="BWO83" s="33"/>
      <c r="BWP83" s="33"/>
      <c r="BWQ83" s="74"/>
      <c r="BWR83" s="33"/>
      <c r="BWS83" s="33"/>
      <c r="BWT83" s="33"/>
      <c r="BWU83" s="33"/>
      <c r="BWV83" s="33"/>
      <c r="BWW83" s="137"/>
      <c r="BWX83" s="33"/>
      <c r="BWY83" s="33"/>
      <c r="BWZ83" s="33"/>
      <c r="BXA83" s="33"/>
      <c r="BXB83" s="33"/>
      <c r="BXC83" s="74"/>
      <c r="BXD83" s="33"/>
      <c r="BXE83" s="33"/>
      <c r="BXF83" s="33"/>
      <c r="BXG83" s="33"/>
      <c r="BXH83" s="33"/>
      <c r="BXI83" s="34"/>
      <c r="BXJ83" s="32"/>
      <c r="BXK83" s="64"/>
      <c r="BXL83" s="64"/>
      <c r="BXM83" s="64"/>
      <c r="BXN83" s="33"/>
      <c r="BXO83" s="132"/>
      <c r="BXP83" s="33"/>
      <c r="BXQ83" s="33"/>
      <c r="BXR83" s="33"/>
      <c r="BXS83" s="33"/>
      <c r="BXT83" s="33"/>
      <c r="BXU83" s="137"/>
      <c r="BXV83" s="33"/>
      <c r="BXW83" s="33"/>
      <c r="BXX83" s="33"/>
      <c r="BXY83" s="33"/>
      <c r="BXZ83" s="33"/>
      <c r="BYA83" s="74"/>
      <c r="BYB83" s="33"/>
      <c r="BYC83" s="33"/>
      <c r="BYD83" s="33"/>
      <c r="BYE83" s="33"/>
      <c r="BYF83" s="33"/>
      <c r="BYG83" s="137"/>
      <c r="BYH83" s="33"/>
      <c r="BYI83" s="33"/>
      <c r="BYJ83" s="33"/>
      <c r="BYK83" s="33"/>
      <c r="BYL83" s="33"/>
      <c r="BYM83" s="74"/>
      <c r="BYN83" s="64"/>
      <c r="BYO83" s="64"/>
      <c r="BYP83" s="64"/>
      <c r="BYQ83" s="64"/>
      <c r="BYR83" s="33"/>
      <c r="BYS83" s="137"/>
      <c r="BYT83" s="33"/>
      <c r="BYU83" s="33"/>
      <c r="BYV83" s="33"/>
      <c r="BYW83" s="33"/>
      <c r="BYX83" s="33"/>
      <c r="BYY83" s="74"/>
      <c r="BYZ83" s="33"/>
      <c r="BZA83" s="33"/>
      <c r="BZB83" s="33"/>
      <c r="BZC83" s="33"/>
      <c r="BZD83" s="33"/>
      <c r="BZE83" s="137"/>
      <c r="BZF83" s="33"/>
      <c r="BZG83" s="33"/>
      <c r="BZH83" s="33"/>
      <c r="BZI83" s="33"/>
      <c r="BZJ83" s="33"/>
      <c r="BZK83" s="74"/>
      <c r="BZL83" s="33"/>
      <c r="BZM83" s="33"/>
      <c r="BZN83" s="33"/>
      <c r="BZO83" s="33"/>
      <c r="BZP83" s="33"/>
      <c r="BZQ83" s="34"/>
      <c r="BZR83" s="32"/>
      <c r="BZS83" s="64"/>
      <c r="BZT83" s="64"/>
      <c r="BZU83" s="64"/>
      <c r="BZV83" s="33"/>
      <c r="BZW83" s="132"/>
      <c r="BZX83" s="33"/>
      <c r="BZY83" s="33"/>
      <c r="BZZ83" s="33"/>
      <c r="CAA83" s="33"/>
      <c r="CAB83" s="33"/>
      <c r="CAC83" s="137"/>
      <c r="CAD83" s="33"/>
      <c r="CAE83" s="33"/>
      <c r="CAF83" s="33"/>
      <c r="CAG83" s="33"/>
      <c r="CAH83" s="33"/>
      <c r="CAI83" s="74"/>
      <c r="CAJ83" s="33"/>
      <c r="CAK83" s="33"/>
      <c r="CAL83" s="33"/>
      <c r="CAM83" s="33"/>
      <c r="CAN83" s="33"/>
      <c r="CAO83" s="137"/>
      <c r="CAP83" s="33"/>
      <c r="CAQ83" s="33"/>
      <c r="CAR83" s="33"/>
      <c r="CAS83" s="33"/>
      <c r="CAT83" s="33"/>
      <c r="CAU83" s="74"/>
      <c r="CAV83" s="64"/>
      <c r="CAW83" s="64"/>
      <c r="CAX83" s="64"/>
      <c r="CAY83" s="64"/>
      <c r="CAZ83" s="33"/>
      <c r="CBA83" s="137"/>
      <c r="CBB83" s="33"/>
      <c r="CBC83" s="33"/>
      <c r="CBD83" s="33"/>
      <c r="CBE83" s="33"/>
      <c r="CBF83" s="33"/>
      <c r="CBG83" s="74"/>
      <c r="CBH83" s="33"/>
      <c r="CBI83" s="33"/>
      <c r="CBJ83" s="33"/>
      <c r="CBK83" s="33"/>
      <c r="CBL83" s="33"/>
      <c r="CBM83" s="137"/>
      <c r="CBN83" s="33"/>
      <c r="CBO83" s="33"/>
      <c r="CBP83" s="33"/>
      <c r="CBQ83" s="33"/>
      <c r="CBR83" s="33"/>
      <c r="CBS83" s="74"/>
      <c r="CBT83" s="33"/>
      <c r="CBU83" s="33"/>
      <c r="CBV83" s="33"/>
      <c r="CBW83" s="33"/>
      <c r="CBX83" s="33"/>
      <c r="CBY83" s="34"/>
      <c r="CBZ83" s="32"/>
      <c r="CCA83" s="64"/>
      <c r="CCB83" s="64"/>
      <c r="CCC83" s="64"/>
      <c r="CCD83" s="33"/>
      <c r="CCE83" s="132"/>
      <c r="CCF83" s="33"/>
      <c r="CCG83" s="33"/>
      <c r="CCH83" s="33"/>
      <c r="CCI83" s="33"/>
      <c r="CCJ83" s="33"/>
      <c r="CCK83" s="137"/>
      <c r="CCL83" s="33"/>
      <c r="CCM83" s="33"/>
      <c r="CCN83" s="33"/>
      <c r="CCO83" s="33"/>
      <c r="CCP83" s="33"/>
      <c r="CCQ83" s="74"/>
      <c r="CCR83" s="33"/>
      <c r="CCS83" s="33"/>
      <c r="CCT83" s="33"/>
      <c r="CCU83" s="33"/>
      <c r="CCV83" s="33"/>
      <c r="CCW83" s="137"/>
      <c r="CCX83" s="33"/>
      <c r="CCY83" s="33"/>
      <c r="CCZ83" s="33"/>
      <c r="CDA83" s="33"/>
      <c r="CDB83" s="33"/>
      <c r="CDC83" s="74"/>
      <c r="CDD83" s="64"/>
      <c r="CDE83" s="64"/>
      <c r="CDF83" s="64"/>
      <c r="CDG83" s="64"/>
      <c r="CDH83" s="33"/>
      <c r="CDI83" s="137"/>
      <c r="CDJ83" s="33"/>
      <c r="CDK83" s="33"/>
      <c r="CDL83" s="33"/>
      <c r="CDM83" s="33"/>
      <c r="CDN83" s="33"/>
      <c r="CDO83" s="74"/>
      <c r="CDP83" s="33"/>
      <c r="CDQ83" s="33"/>
      <c r="CDR83" s="33"/>
      <c r="CDS83" s="33"/>
      <c r="CDT83" s="33"/>
      <c r="CDU83" s="137"/>
      <c r="CDV83" s="33"/>
      <c r="CDW83" s="33"/>
      <c r="CDX83" s="33"/>
      <c r="CDY83" s="33"/>
      <c r="CDZ83" s="33"/>
      <c r="CEA83" s="74"/>
      <c r="CEB83" s="33"/>
      <c r="CEC83" s="33"/>
      <c r="CED83" s="33"/>
      <c r="CEE83" s="33"/>
      <c r="CEF83" s="33"/>
      <c r="CEG83" s="34"/>
      <c r="CEH83" s="32"/>
      <c r="CEI83" s="64"/>
      <c r="CEJ83" s="64"/>
      <c r="CEK83" s="64"/>
      <c r="CEL83" s="33"/>
      <c r="CEM83" s="132"/>
      <c r="CEN83" s="33"/>
      <c r="CEO83" s="33"/>
      <c r="CEP83" s="33"/>
      <c r="CEQ83" s="33"/>
      <c r="CER83" s="33"/>
      <c r="CES83" s="137"/>
      <c r="CET83" s="33"/>
      <c r="CEU83" s="33"/>
      <c r="CEV83" s="33"/>
      <c r="CEW83" s="33"/>
      <c r="CEX83" s="33"/>
      <c r="CEY83" s="74"/>
      <c r="CEZ83" s="33"/>
      <c r="CFA83" s="33"/>
      <c r="CFB83" s="33"/>
      <c r="CFC83" s="33"/>
      <c r="CFD83" s="33"/>
      <c r="CFE83" s="137"/>
      <c r="CFF83" s="33"/>
      <c r="CFG83" s="33"/>
      <c r="CFH83" s="33"/>
      <c r="CFI83" s="33"/>
      <c r="CFJ83" s="33"/>
      <c r="CFK83" s="74"/>
      <c r="CFL83" s="64"/>
      <c r="CFM83" s="64"/>
      <c r="CFN83" s="64"/>
      <c r="CFO83" s="64"/>
      <c r="CFP83" s="33"/>
      <c r="CFQ83" s="137"/>
      <c r="CFR83" s="33"/>
      <c r="CFS83" s="33"/>
      <c r="CFT83" s="33"/>
      <c r="CFU83" s="33"/>
      <c r="CFV83" s="33"/>
      <c r="CFW83" s="74"/>
      <c r="CFX83" s="33"/>
      <c r="CFY83" s="33"/>
      <c r="CFZ83" s="33"/>
      <c r="CGA83" s="33"/>
      <c r="CGB83" s="33"/>
      <c r="CGC83" s="137"/>
      <c r="CGD83" s="33"/>
      <c r="CGE83" s="33"/>
      <c r="CGF83" s="33"/>
      <c r="CGG83" s="33"/>
      <c r="CGH83" s="33"/>
      <c r="CGI83" s="74"/>
      <c r="CGJ83" s="33"/>
      <c r="CGK83" s="33"/>
      <c r="CGL83" s="33"/>
      <c r="CGM83" s="33"/>
      <c r="CGN83" s="33"/>
      <c r="CGO83" s="34"/>
      <c r="CGP83" s="32"/>
      <c r="CGQ83" s="64"/>
      <c r="CGR83" s="64"/>
      <c r="CGS83" s="64"/>
      <c r="CGT83" s="33"/>
      <c r="CGU83" s="132"/>
      <c r="CGV83" s="33"/>
      <c r="CGW83" s="33"/>
      <c r="CGX83" s="33"/>
      <c r="CGY83" s="33"/>
      <c r="CGZ83" s="33"/>
      <c r="CHA83" s="137"/>
      <c r="CHB83" s="33"/>
      <c r="CHC83" s="33"/>
      <c r="CHD83" s="33"/>
      <c r="CHE83" s="33"/>
      <c r="CHF83" s="33"/>
      <c r="CHG83" s="74"/>
      <c r="CHH83" s="33"/>
      <c r="CHI83" s="33"/>
      <c r="CHJ83" s="33"/>
      <c r="CHK83" s="33"/>
      <c r="CHL83" s="33"/>
      <c r="CHM83" s="137"/>
      <c r="CHN83" s="33"/>
      <c r="CHO83" s="33"/>
      <c r="CHP83" s="33"/>
      <c r="CHQ83" s="33"/>
      <c r="CHR83" s="33"/>
      <c r="CHS83" s="74"/>
      <c r="CHT83" s="64"/>
      <c r="CHU83" s="64"/>
      <c r="CHV83" s="64"/>
      <c r="CHW83" s="64"/>
      <c r="CHX83" s="33"/>
      <c r="CHY83" s="137"/>
      <c r="CHZ83" s="33"/>
      <c r="CIA83" s="33"/>
      <c r="CIB83" s="33"/>
      <c r="CIC83" s="33"/>
      <c r="CID83" s="33"/>
      <c r="CIE83" s="74"/>
      <c r="CIF83" s="33"/>
      <c r="CIG83" s="33"/>
      <c r="CIH83" s="33"/>
      <c r="CII83" s="33"/>
      <c r="CIJ83" s="33"/>
      <c r="CIK83" s="137"/>
      <c r="CIL83" s="33"/>
      <c r="CIM83" s="33"/>
      <c r="CIN83" s="33"/>
      <c r="CIO83" s="33"/>
      <c r="CIP83" s="33"/>
      <c r="CIQ83" s="74"/>
      <c r="CIR83" s="33"/>
      <c r="CIS83" s="33"/>
      <c r="CIT83" s="33"/>
      <c r="CIU83" s="33"/>
      <c r="CIV83" s="33"/>
      <c r="CIW83" s="34"/>
      <c r="CIX83" s="32"/>
      <c r="CIY83" s="64"/>
      <c r="CIZ83" s="64"/>
      <c r="CJA83" s="64"/>
      <c r="CJB83" s="33"/>
      <c r="CJC83" s="132"/>
      <c r="CJD83" s="33"/>
      <c r="CJE83" s="33"/>
      <c r="CJF83" s="33"/>
      <c r="CJG83" s="33"/>
      <c r="CJH83" s="33"/>
      <c r="CJI83" s="137"/>
      <c r="CJJ83" s="33"/>
      <c r="CJK83" s="33"/>
      <c r="CJL83" s="33"/>
      <c r="CJM83" s="33"/>
      <c r="CJN83" s="33"/>
      <c r="CJO83" s="74"/>
      <c r="CJP83" s="33"/>
      <c r="CJQ83" s="33"/>
      <c r="CJR83" s="33"/>
      <c r="CJS83" s="33"/>
      <c r="CJT83" s="33"/>
      <c r="CJU83" s="137"/>
      <c r="CJV83" s="33"/>
      <c r="CJW83" s="33"/>
      <c r="CJX83" s="33"/>
      <c r="CJY83" s="33"/>
      <c r="CJZ83" s="33"/>
      <c r="CKA83" s="74"/>
      <c r="CKB83" s="64"/>
      <c r="CKC83" s="64"/>
      <c r="CKD83" s="64"/>
      <c r="CKE83" s="64"/>
      <c r="CKF83" s="33"/>
      <c r="CKG83" s="137"/>
      <c r="CKH83" s="33"/>
      <c r="CKI83" s="33"/>
      <c r="CKJ83" s="33"/>
      <c r="CKK83" s="33"/>
      <c r="CKL83" s="33"/>
      <c r="CKM83" s="74"/>
      <c r="CKN83" s="33"/>
      <c r="CKO83" s="33"/>
      <c r="CKP83" s="33"/>
      <c r="CKQ83" s="33"/>
      <c r="CKR83" s="33"/>
      <c r="CKS83" s="137"/>
      <c r="CKT83" s="33"/>
      <c r="CKU83" s="33"/>
      <c r="CKV83" s="33"/>
      <c r="CKW83" s="33"/>
      <c r="CKX83" s="33"/>
      <c r="CKY83" s="74"/>
      <c r="CKZ83" s="33"/>
      <c r="CLA83" s="33"/>
      <c r="CLB83" s="33"/>
      <c r="CLC83" s="33"/>
      <c r="CLD83" s="33"/>
      <c r="CLE83" s="34"/>
      <c r="CLF83" s="32"/>
      <c r="CLG83" s="64"/>
      <c r="CLH83" s="64"/>
      <c r="CLI83" s="64"/>
      <c r="CLJ83" s="33"/>
      <c r="CLK83" s="132"/>
      <c r="CLL83" s="33"/>
      <c r="CLM83" s="33"/>
      <c r="CLN83" s="33"/>
      <c r="CLO83" s="33"/>
      <c r="CLP83" s="33"/>
      <c r="CLQ83" s="137"/>
      <c r="CLR83" s="33"/>
      <c r="CLS83" s="33"/>
      <c r="CLT83" s="33"/>
      <c r="CLU83" s="33"/>
      <c r="CLV83" s="33"/>
      <c r="CLW83" s="74"/>
      <c r="CLX83" s="33"/>
      <c r="CLY83" s="33"/>
      <c r="CLZ83" s="33"/>
      <c r="CMA83" s="33"/>
      <c r="CMB83" s="33"/>
      <c r="CMC83" s="137"/>
      <c r="CMD83" s="33"/>
      <c r="CME83" s="33"/>
      <c r="CMF83" s="33"/>
      <c r="CMG83" s="33"/>
      <c r="CMH83" s="33"/>
      <c r="CMI83" s="74"/>
      <c r="CMJ83" s="64"/>
      <c r="CMK83" s="64"/>
      <c r="CML83" s="64"/>
      <c r="CMM83" s="64"/>
      <c r="CMN83" s="33"/>
      <c r="CMO83" s="137"/>
      <c r="CMP83" s="33"/>
      <c r="CMQ83" s="33"/>
      <c r="CMR83" s="33"/>
      <c r="CMS83" s="33"/>
      <c r="CMT83" s="33"/>
      <c r="CMU83" s="74"/>
      <c r="CMV83" s="33"/>
      <c r="CMW83" s="33"/>
      <c r="CMX83" s="33"/>
      <c r="CMY83" s="33"/>
      <c r="CMZ83" s="33"/>
      <c r="CNA83" s="137"/>
      <c r="CNB83" s="33"/>
      <c r="CNC83" s="33"/>
      <c r="CND83" s="33"/>
      <c r="CNE83" s="33"/>
      <c r="CNF83" s="33"/>
      <c r="CNG83" s="74"/>
      <c r="CNH83" s="33"/>
      <c r="CNI83" s="33"/>
      <c r="CNJ83" s="33"/>
      <c r="CNK83" s="33"/>
      <c r="CNL83" s="33"/>
      <c r="CNM83" s="34"/>
      <c r="CNN83" s="32"/>
      <c r="CNO83" s="64"/>
      <c r="CNP83" s="64"/>
      <c r="CNQ83" s="64"/>
      <c r="CNR83" s="33"/>
      <c r="CNS83" s="132"/>
      <c r="CNT83" s="33"/>
      <c r="CNU83" s="33"/>
      <c r="CNV83" s="33"/>
      <c r="CNW83" s="33"/>
      <c r="CNX83" s="33"/>
      <c r="CNY83" s="137"/>
      <c r="CNZ83" s="33"/>
      <c r="COA83" s="33"/>
      <c r="COB83" s="33"/>
      <c r="COC83" s="33"/>
      <c r="COD83" s="33"/>
      <c r="COE83" s="74"/>
      <c r="COF83" s="33"/>
      <c r="COG83" s="33"/>
      <c r="COH83" s="33"/>
      <c r="COI83" s="33"/>
      <c r="COJ83" s="33"/>
      <c r="COK83" s="137"/>
      <c r="COL83" s="33"/>
      <c r="COM83" s="33"/>
      <c r="CON83" s="33"/>
      <c r="COO83" s="33"/>
      <c r="COP83" s="33"/>
      <c r="COQ83" s="74"/>
      <c r="COR83" s="64"/>
      <c r="COS83" s="64"/>
      <c r="COT83" s="64"/>
      <c r="COU83" s="64"/>
      <c r="COV83" s="33"/>
      <c r="COW83" s="137"/>
      <c r="COX83" s="33"/>
      <c r="COY83" s="33"/>
      <c r="COZ83" s="33"/>
      <c r="CPA83" s="33"/>
      <c r="CPB83" s="33"/>
      <c r="CPC83" s="74"/>
      <c r="CPD83" s="33"/>
      <c r="CPE83" s="33"/>
      <c r="CPF83" s="33"/>
      <c r="CPG83" s="33"/>
      <c r="CPH83" s="33"/>
      <c r="CPI83" s="137"/>
      <c r="CPJ83" s="33"/>
      <c r="CPK83" s="33"/>
      <c r="CPL83" s="33"/>
      <c r="CPM83" s="33"/>
      <c r="CPN83" s="33"/>
      <c r="CPO83" s="74"/>
      <c r="CPP83" s="33"/>
      <c r="CPQ83" s="33"/>
      <c r="CPR83" s="33"/>
      <c r="CPS83" s="33"/>
      <c r="CPT83" s="33"/>
      <c r="CPU83" s="34"/>
      <c r="CPV83" s="32"/>
      <c r="CPW83" s="64"/>
      <c r="CPX83" s="64"/>
      <c r="CPY83" s="64"/>
      <c r="CPZ83" s="33"/>
      <c r="CQA83" s="132"/>
      <c r="CQB83" s="33"/>
      <c r="CQC83" s="33"/>
      <c r="CQD83" s="33"/>
      <c r="CQE83" s="33"/>
      <c r="CQF83" s="33"/>
      <c r="CQG83" s="137"/>
      <c r="CQH83" s="33"/>
      <c r="CQI83" s="33"/>
      <c r="CQJ83" s="33"/>
      <c r="CQK83" s="33"/>
      <c r="CQL83" s="33"/>
      <c r="CQM83" s="74"/>
      <c r="CQN83" s="33"/>
      <c r="CQO83" s="33"/>
      <c r="CQP83" s="33"/>
      <c r="CQQ83" s="33"/>
      <c r="CQR83" s="33"/>
      <c r="CQS83" s="137"/>
      <c r="CQT83" s="33"/>
      <c r="CQU83" s="33"/>
      <c r="CQV83" s="33"/>
      <c r="CQW83" s="33"/>
      <c r="CQX83" s="33"/>
      <c r="CQY83" s="74"/>
      <c r="CQZ83" s="64"/>
      <c r="CRA83" s="64"/>
      <c r="CRB83" s="64"/>
      <c r="CRC83" s="64"/>
      <c r="CRD83" s="33"/>
      <c r="CRE83" s="137"/>
      <c r="CRF83" s="33"/>
      <c r="CRG83" s="33"/>
      <c r="CRH83" s="33"/>
      <c r="CRI83" s="33"/>
      <c r="CRJ83" s="33"/>
      <c r="CRK83" s="74"/>
      <c r="CRL83" s="33"/>
      <c r="CRM83" s="33"/>
      <c r="CRN83" s="33"/>
      <c r="CRO83" s="33"/>
      <c r="CRP83" s="33"/>
      <c r="CRQ83" s="137"/>
      <c r="CRR83" s="33"/>
      <c r="CRS83" s="33"/>
      <c r="CRT83" s="33"/>
      <c r="CRU83" s="33"/>
      <c r="CRV83" s="33"/>
      <c r="CRW83" s="74"/>
      <c r="CRX83" s="33"/>
      <c r="CRY83" s="33"/>
      <c r="CRZ83" s="33"/>
      <c r="CSA83" s="33"/>
      <c r="CSB83" s="33"/>
      <c r="CSC83" s="34"/>
      <c r="CSD83" s="90"/>
    </row>
    <row r="84" spans="1:2526" ht="20.100000000000001" customHeight="1" x14ac:dyDescent="0.25">
      <c r="A84" s="100" t="s">
        <v>19</v>
      </c>
      <c r="B84" s="63"/>
      <c r="C84" s="213"/>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36"/>
      <c r="BLW84" s="65"/>
      <c r="BLX84" s="65"/>
      <c r="BLY84" s="65"/>
      <c r="BLZ84" s="37"/>
      <c r="BMA84" s="133"/>
      <c r="BMB84" s="37"/>
      <c r="BMC84" s="37"/>
      <c r="BMD84" s="37"/>
      <c r="BME84" s="37"/>
      <c r="BMF84" s="37"/>
      <c r="BMG84" s="138"/>
      <c r="BMH84" s="37"/>
      <c r="BMI84" s="37"/>
      <c r="BMJ84" s="37"/>
      <c r="BMK84" s="37"/>
      <c r="BML84" s="37"/>
      <c r="BMM84" s="75"/>
      <c r="BMN84" s="37"/>
      <c r="BMO84" s="37"/>
      <c r="BMP84" s="37"/>
      <c r="BMQ84" s="37"/>
      <c r="BMR84" s="37"/>
      <c r="BMS84" s="138"/>
      <c r="BMT84" s="37"/>
      <c r="BMU84" s="37"/>
      <c r="BMV84" s="37"/>
      <c r="BMW84" s="37"/>
      <c r="BMX84" s="37"/>
      <c r="BMY84" s="75"/>
      <c r="BMZ84" s="65"/>
      <c r="BNA84" s="65"/>
      <c r="BNB84" s="65"/>
      <c r="BNC84" s="65"/>
      <c r="BND84" s="37"/>
      <c r="BNE84" s="138"/>
      <c r="BNF84" s="37"/>
      <c r="BNG84" s="37"/>
      <c r="BNH84" s="37"/>
      <c r="BNI84" s="37"/>
      <c r="BNJ84" s="37"/>
      <c r="BNK84" s="75"/>
      <c r="BNL84" s="37"/>
      <c r="BNM84" s="37"/>
      <c r="BNN84" s="37"/>
      <c r="BNO84" s="37"/>
      <c r="BNP84" s="37"/>
      <c r="BNQ84" s="138"/>
      <c r="BNR84" s="37"/>
      <c r="BNS84" s="37"/>
      <c r="BNT84" s="37"/>
      <c r="BNU84" s="37"/>
      <c r="BNV84" s="37"/>
      <c r="BNW84" s="75"/>
      <c r="BNX84" s="37"/>
      <c r="BNY84" s="37"/>
      <c r="BNZ84" s="37"/>
      <c r="BOA84" s="37"/>
      <c r="BOB84" s="37"/>
      <c r="BOC84" s="38"/>
      <c r="BOD84" s="36"/>
      <c r="BOE84" s="65"/>
      <c r="BOF84" s="65"/>
      <c r="BOG84" s="65"/>
      <c r="BOH84" s="37"/>
      <c r="BOI84" s="133"/>
      <c r="BOJ84" s="37"/>
      <c r="BOK84" s="37"/>
      <c r="BOL84" s="37"/>
      <c r="BOM84" s="37"/>
      <c r="BON84" s="37"/>
      <c r="BOO84" s="138"/>
      <c r="BOP84" s="37"/>
      <c r="BOQ84" s="37"/>
      <c r="BOR84" s="37"/>
      <c r="BOS84" s="37"/>
      <c r="BOT84" s="37"/>
      <c r="BOU84" s="75"/>
      <c r="BOV84" s="37"/>
      <c r="BOW84" s="37"/>
      <c r="BOX84" s="37"/>
      <c r="BOY84" s="37"/>
      <c r="BOZ84" s="37"/>
      <c r="BPA84" s="138"/>
      <c r="BPB84" s="37"/>
      <c r="BPC84" s="37"/>
      <c r="BPD84" s="37"/>
      <c r="BPE84" s="37"/>
      <c r="BPF84" s="37"/>
      <c r="BPG84" s="75"/>
      <c r="BPH84" s="65"/>
      <c r="BPI84" s="65"/>
      <c r="BPJ84" s="65"/>
      <c r="BPK84" s="65"/>
      <c r="BPL84" s="37"/>
      <c r="BPM84" s="138"/>
      <c r="BPN84" s="37"/>
      <c r="BPO84" s="37"/>
      <c r="BPP84" s="37"/>
      <c r="BPQ84" s="37"/>
      <c r="BPR84" s="37"/>
      <c r="BPS84" s="75"/>
      <c r="BPT84" s="37"/>
      <c r="BPU84" s="37"/>
      <c r="BPV84" s="37"/>
      <c r="BPW84" s="37"/>
      <c r="BPX84" s="37"/>
      <c r="BPY84" s="138"/>
      <c r="BPZ84" s="37"/>
      <c r="BQA84" s="37"/>
      <c r="BQB84" s="37"/>
      <c r="BQC84" s="37"/>
      <c r="BQD84" s="37"/>
      <c r="BQE84" s="75"/>
      <c r="BQF84" s="37"/>
      <c r="BQG84" s="37"/>
      <c r="BQH84" s="37"/>
      <c r="BQI84" s="37"/>
      <c r="BQJ84" s="37"/>
      <c r="BQK84" s="38"/>
      <c r="BQL84" s="36"/>
      <c r="BQM84" s="65"/>
      <c r="BQN84" s="65"/>
      <c r="BQO84" s="65"/>
      <c r="BQP84" s="37"/>
      <c r="BQQ84" s="133"/>
      <c r="BQR84" s="37"/>
      <c r="BQS84" s="37"/>
      <c r="BQT84" s="37"/>
      <c r="BQU84" s="37"/>
      <c r="BQV84" s="37"/>
      <c r="BQW84" s="138"/>
      <c r="BQX84" s="37"/>
      <c r="BQY84" s="37"/>
      <c r="BQZ84" s="37"/>
      <c r="BRA84" s="37"/>
      <c r="BRB84" s="37"/>
      <c r="BRC84" s="75"/>
      <c r="BRD84" s="37"/>
      <c r="BRE84" s="37"/>
      <c r="BRF84" s="37"/>
      <c r="BRG84" s="37"/>
      <c r="BRH84" s="37"/>
      <c r="BRI84" s="138"/>
      <c r="BRJ84" s="37"/>
      <c r="BRK84" s="37"/>
      <c r="BRL84" s="37"/>
      <c r="BRM84" s="37"/>
      <c r="BRN84" s="37"/>
      <c r="BRO84" s="75"/>
      <c r="BRP84" s="65"/>
      <c r="BRQ84" s="65"/>
      <c r="BRR84" s="65"/>
      <c r="BRS84" s="65"/>
      <c r="BRT84" s="37"/>
      <c r="BRU84" s="138"/>
      <c r="BRV84" s="37"/>
      <c r="BRW84" s="37"/>
      <c r="BRX84" s="37"/>
      <c r="BRY84" s="37"/>
      <c r="BRZ84" s="37"/>
      <c r="BSA84" s="75"/>
      <c r="BSB84" s="37"/>
      <c r="BSC84" s="37"/>
      <c r="BSD84" s="37"/>
      <c r="BSE84" s="37"/>
      <c r="BSF84" s="37"/>
      <c r="BSG84" s="138"/>
      <c r="BSH84" s="37"/>
      <c r="BSI84" s="37"/>
      <c r="BSJ84" s="37"/>
      <c r="BSK84" s="37"/>
      <c r="BSL84" s="37"/>
      <c r="BSM84" s="75"/>
      <c r="BSN84" s="37"/>
      <c r="BSO84" s="37"/>
      <c r="BSP84" s="37"/>
      <c r="BSQ84" s="37"/>
      <c r="BSR84" s="37"/>
      <c r="BSS84" s="38"/>
      <c r="BST84" s="36"/>
      <c r="BSU84" s="65"/>
      <c r="BSV84" s="65"/>
      <c r="BSW84" s="65"/>
      <c r="BSX84" s="37"/>
      <c r="BSY84" s="133"/>
      <c r="BSZ84" s="37"/>
      <c r="BTA84" s="37"/>
      <c r="BTB84" s="37"/>
      <c r="BTC84" s="37"/>
      <c r="BTD84" s="37"/>
      <c r="BTE84" s="138"/>
      <c r="BTF84" s="37"/>
      <c r="BTG84" s="37"/>
      <c r="BTH84" s="37"/>
      <c r="BTI84" s="37"/>
      <c r="BTJ84" s="37"/>
      <c r="BTK84" s="75"/>
      <c r="BTL84" s="37"/>
      <c r="BTM84" s="37"/>
      <c r="BTN84" s="37"/>
      <c r="BTO84" s="37"/>
      <c r="BTP84" s="37"/>
      <c r="BTQ84" s="138"/>
      <c r="BTR84" s="37"/>
      <c r="BTS84" s="37"/>
      <c r="BTT84" s="37"/>
      <c r="BTU84" s="37"/>
      <c r="BTV84" s="37"/>
      <c r="BTW84" s="75"/>
      <c r="BTX84" s="65"/>
      <c r="BTY84" s="65"/>
      <c r="BTZ84" s="65"/>
      <c r="BUA84" s="65"/>
      <c r="BUB84" s="37"/>
      <c r="BUC84" s="138"/>
      <c r="BUD84" s="37"/>
      <c r="BUE84" s="37"/>
      <c r="BUF84" s="37"/>
      <c r="BUG84" s="37"/>
      <c r="BUH84" s="37"/>
      <c r="BUI84" s="75"/>
      <c r="BUJ84" s="37"/>
      <c r="BUK84" s="37"/>
      <c r="BUL84" s="37"/>
      <c r="BUM84" s="37"/>
      <c r="BUN84" s="37"/>
      <c r="BUO84" s="138"/>
      <c r="BUP84" s="37"/>
      <c r="BUQ84" s="37"/>
      <c r="BUR84" s="37"/>
      <c r="BUS84" s="37"/>
      <c r="BUT84" s="37"/>
      <c r="BUU84" s="75"/>
      <c r="BUV84" s="37"/>
      <c r="BUW84" s="37"/>
      <c r="BUX84" s="37"/>
      <c r="BUY84" s="37"/>
      <c r="BUZ84" s="37"/>
      <c r="BVA84" s="38"/>
      <c r="BVB84" s="36"/>
      <c r="BVC84" s="65"/>
      <c r="BVD84" s="65"/>
      <c r="BVE84" s="65"/>
      <c r="BVF84" s="37"/>
      <c r="BVG84" s="133"/>
      <c r="BVH84" s="37"/>
      <c r="BVI84" s="37"/>
      <c r="BVJ84" s="37"/>
      <c r="BVK84" s="37"/>
      <c r="BVL84" s="37"/>
      <c r="BVM84" s="138"/>
      <c r="BVN84" s="37"/>
      <c r="BVO84" s="37"/>
      <c r="BVP84" s="37"/>
      <c r="BVQ84" s="37"/>
      <c r="BVR84" s="37"/>
      <c r="BVS84" s="75"/>
      <c r="BVT84" s="37"/>
      <c r="BVU84" s="37"/>
      <c r="BVV84" s="37"/>
      <c r="BVW84" s="37"/>
      <c r="BVX84" s="37"/>
      <c r="BVY84" s="138"/>
      <c r="BVZ84" s="37"/>
      <c r="BWA84" s="37"/>
      <c r="BWB84" s="37"/>
      <c r="BWC84" s="37"/>
      <c r="BWD84" s="37"/>
      <c r="BWE84" s="75"/>
      <c r="BWF84" s="65"/>
      <c r="BWG84" s="65"/>
      <c r="BWH84" s="65"/>
      <c r="BWI84" s="65"/>
      <c r="BWJ84" s="37"/>
      <c r="BWK84" s="138"/>
      <c r="BWL84" s="37"/>
      <c r="BWM84" s="37"/>
      <c r="BWN84" s="37"/>
      <c r="BWO84" s="37"/>
      <c r="BWP84" s="37"/>
      <c r="BWQ84" s="75"/>
      <c r="BWR84" s="37"/>
      <c r="BWS84" s="37"/>
      <c r="BWT84" s="37"/>
      <c r="BWU84" s="37"/>
      <c r="BWV84" s="37"/>
      <c r="BWW84" s="138"/>
      <c r="BWX84" s="37"/>
      <c r="BWY84" s="37"/>
      <c r="BWZ84" s="37"/>
      <c r="BXA84" s="37"/>
      <c r="BXB84" s="37"/>
      <c r="BXC84" s="75"/>
      <c r="BXD84" s="37"/>
      <c r="BXE84" s="37"/>
      <c r="BXF84" s="37"/>
      <c r="BXG84" s="37"/>
      <c r="BXH84" s="37"/>
      <c r="BXI84" s="38"/>
      <c r="BXJ84" s="36"/>
      <c r="BXK84" s="65"/>
      <c r="BXL84" s="65"/>
      <c r="BXM84" s="65"/>
      <c r="BXN84" s="37"/>
      <c r="BXO84" s="133"/>
      <c r="BXP84" s="37"/>
      <c r="BXQ84" s="37"/>
      <c r="BXR84" s="37"/>
      <c r="BXS84" s="37"/>
      <c r="BXT84" s="37"/>
      <c r="BXU84" s="138"/>
      <c r="BXV84" s="37"/>
      <c r="BXW84" s="37"/>
      <c r="BXX84" s="37"/>
      <c r="BXY84" s="37"/>
      <c r="BXZ84" s="37"/>
      <c r="BYA84" s="75"/>
      <c r="BYB84" s="37"/>
      <c r="BYC84" s="37"/>
      <c r="BYD84" s="37"/>
      <c r="BYE84" s="37"/>
      <c r="BYF84" s="37"/>
      <c r="BYG84" s="138"/>
      <c r="BYH84" s="37"/>
      <c r="BYI84" s="37"/>
      <c r="BYJ84" s="37"/>
      <c r="BYK84" s="37"/>
      <c r="BYL84" s="37"/>
      <c r="BYM84" s="75"/>
      <c r="BYN84" s="65"/>
      <c r="BYO84" s="65"/>
      <c r="BYP84" s="65"/>
      <c r="BYQ84" s="65"/>
      <c r="BYR84" s="37"/>
      <c r="BYS84" s="138"/>
      <c r="BYT84" s="37"/>
      <c r="BYU84" s="37"/>
      <c r="BYV84" s="37"/>
      <c r="BYW84" s="37"/>
      <c r="BYX84" s="37"/>
      <c r="BYY84" s="75"/>
      <c r="BYZ84" s="37"/>
      <c r="BZA84" s="37"/>
      <c r="BZB84" s="37"/>
      <c r="BZC84" s="37"/>
      <c r="BZD84" s="37"/>
      <c r="BZE84" s="138"/>
      <c r="BZF84" s="37"/>
      <c r="BZG84" s="37"/>
      <c r="BZH84" s="37"/>
      <c r="BZI84" s="37"/>
      <c r="BZJ84" s="37"/>
      <c r="BZK84" s="75"/>
      <c r="BZL84" s="37"/>
      <c r="BZM84" s="37"/>
      <c r="BZN84" s="37"/>
      <c r="BZO84" s="37"/>
      <c r="BZP84" s="37"/>
      <c r="BZQ84" s="38"/>
      <c r="BZR84" s="36"/>
      <c r="BZS84" s="65"/>
      <c r="BZT84" s="65"/>
      <c r="BZU84" s="65"/>
      <c r="BZV84" s="37"/>
      <c r="BZW84" s="133"/>
      <c r="BZX84" s="37"/>
      <c r="BZY84" s="37"/>
      <c r="BZZ84" s="37"/>
      <c r="CAA84" s="37"/>
      <c r="CAB84" s="37"/>
      <c r="CAC84" s="138"/>
      <c r="CAD84" s="37"/>
      <c r="CAE84" s="37"/>
      <c r="CAF84" s="37"/>
      <c r="CAG84" s="37"/>
      <c r="CAH84" s="37"/>
      <c r="CAI84" s="75"/>
      <c r="CAJ84" s="37"/>
      <c r="CAK84" s="37"/>
      <c r="CAL84" s="37"/>
      <c r="CAM84" s="37"/>
      <c r="CAN84" s="37"/>
      <c r="CAO84" s="138"/>
      <c r="CAP84" s="37"/>
      <c r="CAQ84" s="37"/>
      <c r="CAR84" s="37"/>
      <c r="CAS84" s="37"/>
      <c r="CAT84" s="37"/>
      <c r="CAU84" s="75"/>
      <c r="CAV84" s="65"/>
      <c r="CAW84" s="65"/>
      <c r="CAX84" s="65"/>
      <c r="CAY84" s="65"/>
      <c r="CAZ84" s="37"/>
      <c r="CBA84" s="138"/>
      <c r="CBB84" s="37"/>
      <c r="CBC84" s="37"/>
      <c r="CBD84" s="37"/>
      <c r="CBE84" s="37"/>
      <c r="CBF84" s="37"/>
      <c r="CBG84" s="75"/>
      <c r="CBH84" s="37"/>
      <c r="CBI84" s="37"/>
      <c r="CBJ84" s="37"/>
      <c r="CBK84" s="37"/>
      <c r="CBL84" s="37"/>
      <c r="CBM84" s="138"/>
      <c r="CBN84" s="37"/>
      <c r="CBO84" s="37"/>
      <c r="CBP84" s="37"/>
      <c r="CBQ84" s="37"/>
      <c r="CBR84" s="37"/>
      <c r="CBS84" s="75"/>
      <c r="CBT84" s="37"/>
      <c r="CBU84" s="37"/>
      <c r="CBV84" s="37"/>
      <c r="CBW84" s="37"/>
      <c r="CBX84" s="37"/>
      <c r="CBY84" s="38"/>
      <c r="CBZ84" s="36"/>
      <c r="CCA84" s="65"/>
      <c r="CCB84" s="65"/>
      <c r="CCC84" s="65"/>
      <c r="CCD84" s="37"/>
      <c r="CCE84" s="133"/>
      <c r="CCF84" s="37"/>
      <c r="CCG84" s="37"/>
      <c r="CCH84" s="37"/>
      <c r="CCI84" s="37"/>
      <c r="CCJ84" s="37"/>
      <c r="CCK84" s="138"/>
      <c r="CCL84" s="37"/>
      <c r="CCM84" s="37"/>
      <c r="CCN84" s="37"/>
      <c r="CCO84" s="37"/>
      <c r="CCP84" s="37"/>
      <c r="CCQ84" s="75"/>
      <c r="CCR84" s="37"/>
      <c r="CCS84" s="37"/>
      <c r="CCT84" s="37"/>
      <c r="CCU84" s="37"/>
      <c r="CCV84" s="37"/>
      <c r="CCW84" s="138"/>
      <c r="CCX84" s="37"/>
      <c r="CCY84" s="37"/>
      <c r="CCZ84" s="37"/>
      <c r="CDA84" s="37"/>
      <c r="CDB84" s="37"/>
      <c r="CDC84" s="75"/>
      <c r="CDD84" s="65"/>
      <c r="CDE84" s="65"/>
      <c r="CDF84" s="65"/>
      <c r="CDG84" s="65"/>
      <c r="CDH84" s="37"/>
      <c r="CDI84" s="138"/>
      <c r="CDJ84" s="37"/>
      <c r="CDK84" s="37"/>
      <c r="CDL84" s="37"/>
      <c r="CDM84" s="37"/>
      <c r="CDN84" s="37"/>
      <c r="CDO84" s="75"/>
      <c r="CDP84" s="37"/>
      <c r="CDQ84" s="37"/>
      <c r="CDR84" s="37"/>
      <c r="CDS84" s="37"/>
      <c r="CDT84" s="37"/>
      <c r="CDU84" s="138"/>
      <c r="CDV84" s="37"/>
      <c r="CDW84" s="37"/>
      <c r="CDX84" s="37"/>
      <c r="CDY84" s="37"/>
      <c r="CDZ84" s="37"/>
      <c r="CEA84" s="75"/>
      <c r="CEB84" s="37"/>
      <c r="CEC84" s="37"/>
      <c r="CED84" s="37"/>
      <c r="CEE84" s="37"/>
      <c r="CEF84" s="37"/>
      <c r="CEG84" s="38"/>
      <c r="CEH84" s="36"/>
      <c r="CEI84" s="65"/>
      <c r="CEJ84" s="65"/>
      <c r="CEK84" s="65"/>
      <c r="CEL84" s="37"/>
      <c r="CEM84" s="133"/>
      <c r="CEN84" s="37"/>
      <c r="CEO84" s="37"/>
      <c r="CEP84" s="37"/>
      <c r="CEQ84" s="37"/>
      <c r="CER84" s="37"/>
      <c r="CES84" s="138"/>
      <c r="CET84" s="37"/>
      <c r="CEU84" s="37"/>
      <c r="CEV84" s="37"/>
      <c r="CEW84" s="37"/>
      <c r="CEX84" s="37"/>
      <c r="CEY84" s="75"/>
      <c r="CEZ84" s="37"/>
      <c r="CFA84" s="37"/>
      <c r="CFB84" s="37"/>
      <c r="CFC84" s="37"/>
      <c r="CFD84" s="37"/>
      <c r="CFE84" s="138"/>
      <c r="CFF84" s="37"/>
      <c r="CFG84" s="37"/>
      <c r="CFH84" s="37"/>
      <c r="CFI84" s="37"/>
      <c r="CFJ84" s="37"/>
      <c r="CFK84" s="75"/>
      <c r="CFL84" s="65"/>
      <c r="CFM84" s="65"/>
      <c r="CFN84" s="65"/>
      <c r="CFO84" s="65"/>
      <c r="CFP84" s="37"/>
      <c r="CFQ84" s="138"/>
      <c r="CFR84" s="37"/>
      <c r="CFS84" s="37"/>
      <c r="CFT84" s="37"/>
      <c r="CFU84" s="37"/>
      <c r="CFV84" s="37"/>
      <c r="CFW84" s="75"/>
      <c r="CFX84" s="37"/>
      <c r="CFY84" s="37"/>
      <c r="CFZ84" s="37"/>
      <c r="CGA84" s="37"/>
      <c r="CGB84" s="37"/>
      <c r="CGC84" s="138"/>
      <c r="CGD84" s="37"/>
      <c r="CGE84" s="37"/>
      <c r="CGF84" s="37"/>
      <c r="CGG84" s="37"/>
      <c r="CGH84" s="37"/>
      <c r="CGI84" s="75"/>
      <c r="CGJ84" s="37"/>
      <c r="CGK84" s="37"/>
      <c r="CGL84" s="37"/>
      <c r="CGM84" s="37"/>
      <c r="CGN84" s="37"/>
      <c r="CGO84" s="38"/>
      <c r="CGP84" s="36"/>
      <c r="CGQ84" s="65"/>
      <c r="CGR84" s="65"/>
      <c r="CGS84" s="65"/>
      <c r="CGT84" s="37"/>
      <c r="CGU84" s="133"/>
      <c r="CGV84" s="37"/>
      <c r="CGW84" s="37"/>
      <c r="CGX84" s="37"/>
      <c r="CGY84" s="37"/>
      <c r="CGZ84" s="37"/>
      <c r="CHA84" s="138"/>
      <c r="CHB84" s="37"/>
      <c r="CHC84" s="37"/>
      <c r="CHD84" s="37"/>
      <c r="CHE84" s="37"/>
      <c r="CHF84" s="37"/>
      <c r="CHG84" s="75"/>
      <c r="CHH84" s="37"/>
      <c r="CHI84" s="37"/>
      <c r="CHJ84" s="37"/>
      <c r="CHK84" s="37"/>
      <c r="CHL84" s="37"/>
      <c r="CHM84" s="138"/>
      <c r="CHN84" s="37"/>
      <c r="CHO84" s="37"/>
      <c r="CHP84" s="37"/>
      <c r="CHQ84" s="37"/>
      <c r="CHR84" s="37"/>
      <c r="CHS84" s="75"/>
      <c r="CHT84" s="65"/>
      <c r="CHU84" s="65"/>
      <c r="CHV84" s="65"/>
      <c r="CHW84" s="65"/>
      <c r="CHX84" s="37"/>
      <c r="CHY84" s="138"/>
      <c r="CHZ84" s="37"/>
      <c r="CIA84" s="37"/>
      <c r="CIB84" s="37"/>
      <c r="CIC84" s="37"/>
      <c r="CID84" s="37"/>
      <c r="CIE84" s="75"/>
      <c r="CIF84" s="37"/>
      <c r="CIG84" s="37"/>
      <c r="CIH84" s="37"/>
      <c r="CII84" s="37"/>
      <c r="CIJ84" s="37"/>
      <c r="CIK84" s="138"/>
      <c r="CIL84" s="37"/>
      <c r="CIM84" s="37"/>
      <c r="CIN84" s="37"/>
      <c r="CIO84" s="37"/>
      <c r="CIP84" s="37"/>
      <c r="CIQ84" s="75"/>
      <c r="CIR84" s="37"/>
      <c r="CIS84" s="37"/>
      <c r="CIT84" s="37"/>
      <c r="CIU84" s="37"/>
      <c r="CIV84" s="37"/>
      <c r="CIW84" s="38"/>
      <c r="CIX84" s="36"/>
      <c r="CIY84" s="65"/>
      <c r="CIZ84" s="65"/>
      <c r="CJA84" s="65"/>
      <c r="CJB84" s="37"/>
      <c r="CJC84" s="133"/>
      <c r="CJD84" s="37"/>
      <c r="CJE84" s="37"/>
      <c r="CJF84" s="37"/>
      <c r="CJG84" s="37"/>
      <c r="CJH84" s="37"/>
      <c r="CJI84" s="138"/>
      <c r="CJJ84" s="37"/>
      <c r="CJK84" s="37"/>
      <c r="CJL84" s="37"/>
      <c r="CJM84" s="37"/>
      <c r="CJN84" s="37"/>
      <c r="CJO84" s="75"/>
      <c r="CJP84" s="37"/>
      <c r="CJQ84" s="37"/>
      <c r="CJR84" s="37"/>
      <c r="CJS84" s="37"/>
      <c r="CJT84" s="37"/>
      <c r="CJU84" s="138"/>
      <c r="CJV84" s="37"/>
      <c r="CJW84" s="37"/>
      <c r="CJX84" s="37"/>
      <c r="CJY84" s="37"/>
      <c r="CJZ84" s="37"/>
      <c r="CKA84" s="75"/>
      <c r="CKB84" s="65"/>
      <c r="CKC84" s="65"/>
      <c r="CKD84" s="65"/>
      <c r="CKE84" s="65"/>
      <c r="CKF84" s="37"/>
      <c r="CKG84" s="138"/>
      <c r="CKH84" s="37"/>
      <c r="CKI84" s="37"/>
      <c r="CKJ84" s="37"/>
      <c r="CKK84" s="37"/>
      <c r="CKL84" s="37"/>
      <c r="CKM84" s="75"/>
      <c r="CKN84" s="37"/>
      <c r="CKO84" s="37"/>
      <c r="CKP84" s="37"/>
      <c r="CKQ84" s="37"/>
      <c r="CKR84" s="37"/>
      <c r="CKS84" s="138"/>
      <c r="CKT84" s="37"/>
      <c r="CKU84" s="37"/>
      <c r="CKV84" s="37"/>
      <c r="CKW84" s="37"/>
      <c r="CKX84" s="37"/>
      <c r="CKY84" s="75"/>
      <c r="CKZ84" s="37"/>
      <c r="CLA84" s="37"/>
      <c r="CLB84" s="37"/>
      <c r="CLC84" s="37"/>
      <c r="CLD84" s="37"/>
      <c r="CLE84" s="38"/>
      <c r="CLF84" s="36"/>
      <c r="CLG84" s="65"/>
      <c r="CLH84" s="65"/>
      <c r="CLI84" s="65"/>
      <c r="CLJ84" s="37"/>
      <c r="CLK84" s="133"/>
      <c r="CLL84" s="37"/>
      <c r="CLM84" s="37"/>
      <c r="CLN84" s="37"/>
      <c r="CLO84" s="37"/>
      <c r="CLP84" s="37"/>
      <c r="CLQ84" s="138"/>
      <c r="CLR84" s="37"/>
      <c r="CLS84" s="37"/>
      <c r="CLT84" s="37"/>
      <c r="CLU84" s="37"/>
      <c r="CLV84" s="37"/>
      <c r="CLW84" s="75"/>
      <c r="CLX84" s="37"/>
      <c r="CLY84" s="37"/>
      <c r="CLZ84" s="37"/>
      <c r="CMA84" s="37"/>
      <c r="CMB84" s="37"/>
      <c r="CMC84" s="138"/>
      <c r="CMD84" s="37"/>
      <c r="CME84" s="37"/>
      <c r="CMF84" s="37"/>
      <c r="CMG84" s="37"/>
      <c r="CMH84" s="37"/>
      <c r="CMI84" s="75"/>
      <c r="CMJ84" s="65"/>
      <c r="CMK84" s="65"/>
      <c r="CML84" s="65"/>
      <c r="CMM84" s="65"/>
      <c r="CMN84" s="37"/>
      <c r="CMO84" s="138"/>
      <c r="CMP84" s="37"/>
      <c r="CMQ84" s="37"/>
      <c r="CMR84" s="37"/>
      <c r="CMS84" s="37"/>
      <c r="CMT84" s="37"/>
      <c r="CMU84" s="75"/>
      <c r="CMV84" s="37"/>
      <c r="CMW84" s="37"/>
      <c r="CMX84" s="37"/>
      <c r="CMY84" s="37"/>
      <c r="CMZ84" s="37"/>
      <c r="CNA84" s="138"/>
      <c r="CNB84" s="37"/>
      <c r="CNC84" s="37"/>
      <c r="CND84" s="37"/>
      <c r="CNE84" s="37"/>
      <c r="CNF84" s="37"/>
      <c r="CNG84" s="75"/>
      <c r="CNH84" s="37"/>
      <c r="CNI84" s="37"/>
      <c r="CNJ84" s="37"/>
      <c r="CNK84" s="37"/>
      <c r="CNL84" s="37"/>
      <c r="CNM84" s="38"/>
      <c r="CNN84" s="36"/>
      <c r="CNO84" s="65"/>
      <c r="CNP84" s="65"/>
      <c r="CNQ84" s="65"/>
      <c r="CNR84" s="37"/>
      <c r="CNS84" s="133"/>
      <c r="CNT84" s="37"/>
      <c r="CNU84" s="37"/>
      <c r="CNV84" s="37"/>
      <c r="CNW84" s="37"/>
      <c r="CNX84" s="37"/>
      <c r="CNY84" s="138"/>
      <c r="CNZ84" s="37"/>
      <c r="COA84" s="37"/>
      <c r="COB84" s="37"/>
      <c r="COC84" s="37"/>
      <c r="COD84" s="37"/>
      <c r="COE84" s="75"/>
      <c r="COF84" s="37"/>
      <c r="COG84" s="37"/>
      <c r="COH84" s="37"/>
      <c r="COI84" s="37"/>
      <c r="COJ84" s="37"/>
      <c r="COK84" s="138"/>
      <c r="COL84" s="37"/>
      <c r="COM84" s="37"/>
      <c r="CON84" s="37"/>
      <c r="COO84" s="37"/>
      <c r="COP84" s="37"/>
      <c r="COQ84" s="75"/>
      <c r="COR84" s="65"/>
      <c r="COS84" s="65"/>
      <c r="COT84" s="65"/>
      <c r="COU84" s="65"/>
      <c r="COV84" s="37"/>
      <c r="COW84" s="138"/>
      <c r="COX84" s="37"/>
      <c r="COY84" s="37"/>
      <c r="COZ84" s="37"/>
      <c r="CPA84" s="37"/>
      <c r="CPB84" s="37"/>
      <c r="CPC84" s="75"/>
      <c r="CPD84" s="37"/>
      <c r="CPE84" s="37"/>
      <c r="CPF84" s="37"/>
      <c r="CPG84" s="37"/>
      <c r="CPH84" s="37"/>
      <c r="CPI84" s="138"/>
      <c r="CPJ84" s="37"/>
      <c r="CPK84" s="37"/>
      <c r="CPL84" s="37"/>
      <c r="CPM84" s="37"/>
      <c r="CPN84" s="37"/>
      <c r="CPO84" s="75"/>
      <c r="CPP84" s="37"/>
      <c r="CPQ84" s="37"/>
      <c r="CPR84" s="37"/>
      <c r="CPS84" s="37"/>
      <c r="CPT84" s="37"/>
      <c r="CPU84" s="38"/>
      <c r="CPV84" s="36"/>
      <c r="CPW84" s="65"/>
      <c r="CPX84" s="65"/>
      <c r="CPY84" s="65"/>
      <c r="CPZ84" s="37"/>
      <c r="CQA84" s="133"/>
      <c r="CQB84" s="37"/>
      <c r="CQC84" s="37"/>
      <c r="CQD84" s="37"/>
      <c r="CQE84" s="37"/>
      <c r="CQF84" s="37"/>
      <c r="CQG84" s="138"/>
      <c r="CQH84" s="37"/>
      <c r="CQI84" s="37"/>
      <c r="CQJ84" s="37"/>
      <c r="CQK84" s="37"/>
      <c r="CQL84" s="37"/>
      <c r="CQM84" s="75"/>
      <c r="CQN84" s="37"/>
      <c r="CQO84" s="37"/>
      <c r="CQP84" s="37"/>
      <c r="CQQ84" s="37"/>
      <c r="CQR84" s="37"/>
      <c r="CQS84" s="138"/>
      <c r="CQT84" s="37"/>
      <c r="CQU84" s="37"/>
      <c r="CQV84" s="37"/>
      <c r="CQW84" s="37"/>
      <c r="CQX84" s="37"/>
      <c r="CQY84" s="75"/>
      <c r="CQZ84" s="65"/>
      <c r="CRA84" s="65"/>
      <c r="CRB84" s="65"/>
      <c r="CRC84" s="65"/>
      <c r="CRD84" s="37"/>
      <c r="CRE84" s="138"/>
      <c r="CRF84" s="37"/>
      <c r="CRG84" s="37"/>
      <c r="CRH84" s="37"/>
      <c r="CRI84" s="37"/>
      <c r="CRJ84" s="37"/>
      <c r="CRK84" s="75"/>
      <c r="CRL84" s="37"/>
      <c r="CRM84" s="37"/>
      <c r="CRN84" s="37"/>
      <c r="CRO84" s="37"/>
      <c r="CRP84" s="37"/>
      <c r="CRQ84" s="138"/>
      <c r="CRR84" s="37"/>
      <c r="CRS84" s="37"/>
      <c r="CRT84" s="37"/>
      <c r="CRU84" s="37"/>
      <c r="CRV84" s="37"/>
      <c r="CRW84" s="75"/>
      <c r="CRX84" s="37"/>
      <c r="CRY84" s="37"/>
      <c r="CRZ84" s="37"/>
      <c r="CSA84" s="37"/>
      <c r="CSB84" s="37"/>
      <c r="CSC84" s="38"/>
      <c r="CSD84" s="90"/>
    </row>
    <row r="85" spans="1:2526" ht="20.100000000000001" customHeight="1" x14ac:dyDescent="0.25">
      <c r="A85" s="100" t="s">
        <v>18</v>
      </c>
      <c r="B85" s="63"/>
      <c r="C85" s="211"/>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40"/>
      <c r="BLW85" s="66"/>
      <c r="BLX85" s="66"/>
      <c r="BLY85" s="66"/>
      <c r="BLZ85" s="41"/>
      <c r="BMA85" s="134"/>
      <c r="BMB85" s="41"/>
      <c r="BMC85" s="41"/>
      <c r="BMD85" s="41"/>
      <c r="BME85" s="41"/>
      <c r="BMF85" s="41"/>
      <c r="BMG85" s="139"/>
      <c r="BMH85" s="41"/>
      <c r="BMI85" s="41"/>
      <c r="BMJ85" s="41"/>
      <c r="BMK85" s="41"/>
      <c r="BML85" s="41"/>
      <c r="BMM85" s="76"/>
      <c r="BMN85" s="41"/>
      <c r="BMO85" s="41"/>
      <c r="BMP85" s="41"/>
      <c r="BMQ85" s="41"/>
      <c r="BMR85" s="41"/>
      <c r="BMS85" s="139"/>
      <c r="BMT85" s="41"/>
      <c r="BMU85" s="41"/>
      <c r="BMV85" s="41"/>
      <c r="BMW85" s="41"/>
      <c r="BMX85" s="41"/>
      <c r="BMY85" s="76"/>
      <c r="BMZ85" s="66"/>
      <c r="BNA85" s="66"/>
      <c r="BNB85" s="66"/>
      <c r="BNC85" s="66"/>
      <c r="BND85" s="41"/>
      <c r="BNE85" s="139"/>
      <c r="BNF85" s="41"/>
      <c r="BNG85" s="41"/>
      <c r="BNH85" s="41"/>
      <c r="BNI85" s="41"/>
      <c r="BNJ85" s="41"/>
      <c r="BNK85" s="76"/>
      <c r="BNL85" s="41"/>
      <c r="BNM85" s="41"/>
      <c r="BNN85" s="41"/>
      <c r="BNO85" s="41"/>
      <c r="BNP85" s="41"/>
      <c r="BNQ85" s="139"/>
      <c r="BNR85" s="41"/>
      <c r="BNS85" s="41"/>
      <c r="BNT85" s="41"/>
      <c r="BNU85" s="41"/>
      <c r="BNV85" s="41"/>
      <c r="BNW85" s="76"/>
      <c r="BNX85" s="41"/>
      <c r="BNY85" s="41"/>
      <c r="BNZ85" s="41"/>
      <c r="BOA85" s="41"/>
      <c r="BOB85" s="41"/>
      <c r="BOC85" s="42"/>
      <c r="BOD85" s="40"/>
      <c r="BOE85" s="66"/>
      <c r="BOF85" s="66"/>
      <c r="BOG85" s="66"/>
      <c r="BOH85" s="41"/>
      <c r="BOI85" s="134"/>
      <c r="BOJ85" s="41"/>
      <c r="BOK85" s="41"/>
      <c r="BOL85" s="41"/>
      <c r="BOM85" s="41"/>
      <c r="BON85" s="41"/>
      <c r="BOO85" s="139"/>
      <c r="BOP85" s="41"/>
      <c r="BOQ85" s="41"/>
      <c r="BOR85" s="41"/>
      <c r="BOS85" s="41"/>
      <c r="BOT85" s="41"/>
      <c r="BOU85" s="76"/>
      <c r="BOV85" s="41"/>
      <c r="BOW85" s="41"/>
      <c r="BOX85" s="41"/>
      <c r="BOY85" s="41"/>
      <c r="BOZ85" s="41"/>
      <c r="BPA85" s="139"/>
      <c r="BPB85" s="41"/>
      <c r="BPC85" s="41"/>
      <c r="BPD85" s="41"/>
      <c r="BPE85" s="41"/>
      <c r="BPF85" s="41"/>
      <c r="BPG85" s="76"/>
      <c r="BPH85" s="66"/>
      <c r="BPI85" s="66"/>
      <c r="BPJ85" s="66"/>
      <c r="BPK85" s="66"/>
      <c r="BPL85" s="41"/>
      <c r="BPM85" s="139"/>
      <c r="BPN85" s="41"/>
      <c r="BPO85" s="41"/>
      <c r="BPP85" s="41"/>
      <c r="BPQ85" s="41"/>
      <c r="BPR85" s="41"/>
      <c r="BPS85" s="76"/>
      <c r="BPT85" s="41"/>
      <c r="BPU85" s="41"/>
      <c r="BPV85" s="41"/>
      <c r="BPW85" s="41"/>
      <c r="BPX85" s="41"/>
      <c r="BPY85" s="139"/>
      <c r="BPZ85" s="41"/>
      <c r="BQA85" s="41"/>
      <c r="BQB85" s="41"/>
      <c r="BQC85" s="41"/>
      <c r="BQD85" s="41"/>
      <c r="BQE85" s="76"/>
      <c r="BQF85" s="41"/>
      <c r="BQG85" s="41"/>
      <c r="BQH85" s="41"/>
      <c r="BQI85" s="41"/>
      <c r="BQJ85" s="41"/>
      <c r="BQK85" s="42"/>
      <c r="BQL85" s="40"/>
      <c r="BQM85" s="66"/>
      <c r="BQN85" s="66"/>
      <c r="BQO85" s="66"/>
      <c r="BQP85" s="41"/>
      <c r="BQQ85" s="134"/>
      <c r="BQR85" s="41"/>
      <c r="BQS85" s="41"/>
      <c r="BQT85" s="41"/>
      <c r="BQU85" s="41"/>
      <c r="BQV85" s="41"/>
      <c r="BQW85" s="139"/>
      <c r="BQX85" s="41"/>
      <c r="BQY85" s="41"/>
      <c r="BQZ85" s="41"/>
      <c r="BRA85" s="41"/>
      <c r="BRB85" s="41"/>
      <c r="BRC85" s="76"/>
      <c r="BRD85" s="41"/>
      <c r="BRE85" s="41"/>
      <c r="BRF85" s="41"/>
      <c r="BRG85" s="41"/>
      <c r="BRH85" s="41"/>
      <c r="BRI85" s="139"/>
      <c r="BRJ85" s="41"/>
      <c r="BRK85" s="41"/>
      <c r="BRL85" s="41"/>
      <c r="BRM85" s="41"/>
      <c r="BRN85" s="41"/>
      <c r="BRO85" s="76"/>
      <c r="BRP85" s="66"/>
      <c r="BRQ85" s="66"/>
      <c r="BRR85" s="66"/>
      <c r="BRS85" s="66"/>
      <c r="BRT85" s="41"/>
      <c r="BRU85" s="139"/>
      <c r="BRV85" s="41"/>
      <c r="BRW85" s="41"/>
      <c r="BRX85" s="41"/>
      <c r="BRY85" s="41"/>
      <c r="BRZ85" s="41"/>
      <c r="BSA85" s="76"/>
      <c r="BSB85" s="41"/>
      <c r="BSC85" s="41"/>
      <c r="BSD85" s="41"/>
      <c r="BSE85" s="41"/>
      <c r="BSF85" s="41"/>
      <c r="BSG85" s="139"/>
      <c r="BSH85" s="41"/>
      <c r="BSI85" s="41"/>
      <c r="BSJ85" s="41"/>
      <c r="BSK85" s="41"/>
      <c r="BSL85" s="41"/>
      <c r="BSM85" s="76"/>
      <c r="BSN85" s="41"/>
      <c r="BSO85" s="41"/>
      <c r="BSP85" s="41"/>
      <c r="BSQ85" s="41"/>
      <c r="BSR85" s="41"/>
      <c r="BSS85" s="42"/>
      <c r="BST85" s="40"/>
      <c r="BSU85" s="66"/>
      <c r="BSV85" s="66"/>
      <c r="BSW85" s="66"/>
      <c r="BSX85" s="41"/>
      <c r="BSY85" s="134"/>
      <c r="BSZ85" s="41"/>
      <c r="BTA85" s="41"/>
      <c r="BTB85" s="41"/>
      <c r="BTC85" s="41"/>
      <c r="BTD85" s="41"/>
      <c r="BTE85" s="139"/>
      <c r="BTF85" s="41"/>
      <c r="BTG85" s="41"/>
      <c r="BTH85" s="41"/>
      <c r="BTI85" s="41"/>
      <c r="BTJ85" s="41"/>
      <c r="BTK85" s="76"/>
      <c r="BTL85" s="41"/>
      <c r="BTM85" s="41"/>
      <c r="BTN85" s="41"/>
      <c r="BTO85" s="41"/>
      <c r="BTP85" s="41"/>
      <c r="BTQ85" s="139"/>
      <c r="BTR85" s="41"/>
      <c r="BTS85" s="41"/>
      <c r="BTT85" s="41"/>
      <c r="BTU85" s="41"/>
      <c r="BTV85" s="41"/>
      <c r="BTW85" s="76"/>
      <c r="BTX85" s="66"/>
      <c r="BTY85" s="66"/>
      <c r="BTZ85" s="66"/>
      <c r="BUA85" s="66"/>
      <c r="BUB85" s="41"/>
      <c r="BUC85" s="139"/>
      <c r="BUD85" s="41"/>
      <c r="BUE85" s="41"/>
      <c r="BUF85" s="41"/>
      <c r="BUG85" s="41"/>
      <c r="BUH85" s="41"/>
      <c r="BUI85" s="76"/>
      <c r="BUJ85" s="41"/>
      <c r="BUK85" s="41"/>
      <c r="BUL85" s="41"/>
      <c r="BUM85" s="41"/>
      <c r="BUN85" s="41"/>
      <c r="BUO85" s="139"/>
      <c r="BUP85" s="41"/>
      <c r="BUQ85" s="41"/>
      <c r="BUR85" s="41"/>
      <c r="BUS85" s="41"/>
      <c r="BUT85" s="41"/>
      <c r="BUU85" s="76"/>
      <c r="BUV85" s="41"/>
      <c r="BUW85" s="41"/>
      <c r="BUX85" s="41"/>
      <c r="BUY85" s="41"/>
      <c r="BUZ85" s="41"/>
      <c r="BVA85" s="42"/>
      <c r="BVB85" s="40"/>
      <c r="BVC85" s="66"/>
      <c r="BVD85" s="66"/>
      <c r="BVE85" s="66"/>
      <c r="BVF85" s="41"/>
      <c r="BVG85" s="134"/>
      <c r="BVH85" s="41"/>
      <c r="BVI85" s="41"/>
      <c r="BVJ85" s="41"/>
      <c r="BVK85" s="41"/>
      <c r="BVL85" s="41"/>
      <c r="BVM85" s="139"/>
      <c r="BVN85" s="41"/>
      <c r="BVO85" s="41"/>
      <c r="BVP85" s="41"/>
      <c r="BVQ85" s="41"/>
      <c r="BVR85" s="41"/>
      <c r="BVS85" s="76"/>
      <c r="BVT85" s="41"/>
      <c r="BVU85" s="41"/>
      <c r="BVV85" s="41"/>
      <c r="BVW85" s="41"/>
      <c r="BVX85" s="41"/>
      <c r="BVY85" s="139"/>
      <c r="BVZ85" s="41"/>
      <c r="BWA85" s="41"/>
      <c r="BWB85" s="41"/>
      <c r="BWC85" s="41"/>
      <c r="BWD85" s="41"/>
      <c r="BWE85" s="76"/>
      <c r="BWF85" s="66"/>
      <c r="BWG85" s="66"/>
      <c r="BWH85" s="66"/>
      <c r="BWI85" s="66"/>
      <c r="BWJ85" s="41"/>
      <c r="BWK85" s="139"/>
      <c r="BWL85" s="41"/>
      <c r="BWM85" s="41"/>
      <c r="BWN85" s="41"/>
      <c r="BWO85" s="41"/>
      <c r="BWP85" s="41"/>
      <c r="BWQ85" s="76"/>
      <c r="BWR85" s="41"/>
      <c r="BWS85" s="41"/>
      <c r="BWT85" s="41"/>
      <c r="BWU85" s="41"/>
      <c r="BWV85" s="41"/>
      <c r="BWW85" s="139"/>
      <c r="BWX85" s="41"/>
      <c r="BWY85" s="41"/>
      <c r="BWZ85" s="41"/>
      <c r="BXA85" s="41"/>
      <c r="BXB85" s="41"/>
      <c r="BXC85" s="76"/>
      <c r="BXD85" s="41"/>
      <c r="BXE85" s="41"/>
      <c r="BXF85" s="41"/>
      <c r="BXG85" s="41"/>
      <c r="BXH85" s="41"/>
      <c r="BXI85" s="42"/>
      <c r="BXJ85" s="40"/>
      <c r="BXK85" s="66"/>
      <c r="BXL85" s="66"/>
      <c r="BXM85" s="66"/>
      <c r="BXN85" s="41"/>
      <c r="BXO85" s="134"/>
      <c r="BXP85" s="41"/>
      <c r="BXQ85" s="41"/>
      <c r="BXR85" s="41"/>
      <c r="BXS85" s="41"/>
      <c r="BXT85" s="41"/>
      <c r="BXU85" s="139"/>
      <c r="BXV85" s="41"/>
      <c r="BXW85" s="41"/>
      <c r="BXX85" s="41"/>
      <c r="BXY85" s="41"/>
      <c r="BXZ85" s="41"/>
      <c r="BYA85" s="76"/>
      <c r="BYB85" s="41"/>
      <c r="BYC85" s="41"/>
      <c r="BYD85" s="41"/>
      <c r="BYE85" s="41"/>
      <c r="BYF85" s="41"/>
      <c r="BYG85" s="139"/>
      <c r="BYH85" s="41"/>
      <c r="BYI85" s="41"/>
      <c r="BYJ85" s="41"/>
      <c r="BYK85" s="41"/>
      <c r="BYL85" s="41"/>
      <c r="BYM85" s="76"/>
      <c r="BYN85" s="66"/>
      <c r="BYO85" s="66"/>
      <c r="BYP85" s="66"/>
      <c r="BYQ85" s="66"/>
      <c r="BYR85" s="41"/>
      <c r="BYS85" s="139"/>
      <c r="BYT85" s="41"/>
      <c r="BYU85" s="41"/>
      <c r="BYV85" s="41"/>
      <c r="BYW85" s="41"/>
      <c r="BYX85" s="41"/>
      <c r="BYY85" s="76"/>
      <c r="BYZ85" s="41"/>
      <c r="BZA85" s="41"/>
      <c r="BZB85" s="41"/>
      <c r="BZC85" s="41"/>
      <c r="BZD85" s="41"/>
      <c r="BZE85" s="139"/>
      <c r="BZF85" s="41"/>
      <c r="BZG85" s="41"/>
      <c r="BZH85" s="41"/>
      <c r="BZI85" s="41"/>
      <c r="BZJ85" s="41"/>
      <c r="BZK85" s="76"/>
      <c r="BZL85" s="41"/>
      <c r="BZM85" s="41"/>
      <c r="BZN85" s="41"/>
      <c r="BZO85" s="41"/>
      <c r="BZP85" s="41"/>
      <c r="BZQ85" s="42"/>
      <c r="BZR85" s="40"/>
      <c r="BZS85" s="66"/>
      <c r="BZT85" s="66"/>
      <c r="BZU85" s="66"/>
      <c r="BZV85" s="41"/>
      <c r="BZW85" s="134"/>
      <c r="BZX85" s="41"/>
      <c r="BZY85" s="41"/>
      <c r="BZZ85" s="41"/>
      <c r="CAA85" s="41"/>
      <c r="CAB85" s="41"/>
      <c r="CAC85" s="139"/>
      <c r="CAD85" s="41"/>
      <c r="CAE85" s="41"/>
      <c r="CAF85" s="41"/>
      <c r="CAG85" s="41"/>
      <c r="CAH85" s="41"/>
      <c r="CAI85" s="76"/>
      <c r="CAJ85" s="41"/>
      <c r="CAK85" s="41"/>
      <c r="CAL85" s="41"/>
      <c r="CAM85" s="41"/>
      <c r="CAN85" s="41"/>
      <c r="CAO85" s="139"/>
      <c r="CAP85" s="41"/>
      <c r="CAQ85" s="41"/>
      <c r="CAR85" s="41"/>
      <c r="CAS85" s="41"/>
      <c r="CAT85" s="41"/>
      <c r="CAU85" s="76"/>
      <c r="CAV85" s="66"/>
      <c r="CAW85" s="66"/>
      <c r="CAX85" s="66"/>
      <c r="CAY85" s="66"/>
      <c r="CAZ85" s="41"/>
      <c r="CBA85" s="139"/>
      <c r="CBB85" s="41"/>
      <c r="CBC85" s="41"/>
      <c r="CBD85" s="41"/>
      <c r="CBE85" s="41"/>
      <c r="CBF85" s="41"/>
      <c r="CBG85" s="76"/>
      <c r="CBH85" s="41"/>
      <c r="CBI85" s="41"/>
      <c r="CBJ85" s="41"/>
      <c r="CBK85" s="41"/>
      <c r="CBL85" s="41"/>
      <c r="CBM85" s="139"/>
      <c r="CBN85" s="41"/>
      <c r="CBO85" s="41"/>
      <c r="CBP85" s="41"/>
      <c r="CBQ85" s="41"/>
      <c r="CBR85" s="41"/>
      <c r="CBS85" s="76"/>
      <c r="CBT85" s="41"/>
      <c r="CBU85" s="41"/>
      <c r="CBV85" s="41"/>
      <c r="CBW85" s="41"/>
      <c r="CBX85" s="41"/>
      <c r="CBY85" s="42"/>
      <c r="CBZ85" s="40"/>
      <c r="CCA85" s="66"/>
      <c r="CCB85" s="66"/>
      <c r="CCC85" s="66"/>
      <c r="CCD85" s="41"/>
      <c r="CCE85" s="134"/>
      <c r="CCF85" s="41"/>
      <c r="CCG85" s="41"/>
      <c r="CCH85" s="41"/>
      <c r="CCI85" s="41"/>
      <c r="CCJ85" s="41"/>
      <c r="CCK85" s="139"/>
      <c r="CCL85" s="41"/>
      <c r="CCM85" s="41"/>
      <c r="CCN85" s="41"/>
      <c r="CCO85" s="41"/>
      <c r="CCP85" s="41"/>
      <c r="CCQ85" s="76"/>
      <c r="CCR85" s="41"/>
      <c r="CCS85" s="41"/>
      <c r="CCT85" s="41"/>
      <c r="CCU85" s="41"/>
      <c r="CCV85" s="41"/>
      <c r="CCW85" s="139"/>
      <c r="CCX85" s="41"/>
      <c r="CCY85" s="41"/>
      <c r="CCZ85" s="41"/>
      <c r="CDA85" s="41"/>
      <c r="CDB85" s="41"/>
      <c r="CDC85" s="76"/>
      <c r="CDD85" s="66"/>
      <c r="CDE85" s="66"/>
      <c r="CDF85" s="66"/>
      <c r="CDG85" s="66"/>
      <c r="CDH85" s="41"/>
      <c r="CDI85" s="139"/>
      <c r="CDJ85" s="41"/>
      <c r="CDK85" s="41"/>
      <c r="CDL85" s="41"/>
      <c r="CDM85" s="41"/>
      <c r="CDN85" s="41"/>
      <c r="CDO85" s="76"/>
      <c r="CDP85" s="41"/>
      <c r="CDQ85" s="41"/>
      <c r="CDR85" s="41"/>
      <c r="CDS85" s="41"/>
      <c r="CDT85" s="41"/>
      <c r="CDU85" s="139"/>
      <c r="CDV85" s="41"/>
      <c r="CDW85" s="41"/>
      <c r="CDX85" s="41"/>
      <c r="CDY85" s="41"/>
      <c r="CDZ85" s="41"/>
      <c r="CEA85" s="76"/>
      <c r="CEB85" s="41"/>
      <c r="CEC85" s="41"/>
      <c r="CED85" s="41"/>
      <c r="CEE85" s="41"/>
      <c r="CEF85" s="41"/>
      <c r="CEG85" s="42"/>
      <c r="CEH85" s="40"/>
      <c r="CEI85" s="66"/>
      <c r="CEJ85" s="66"/>
      <c r="CEK85" s="66"/>
      <c r="CEL85" s="41"/>
      <c r="CEM85" s="134"/>
      <c r="CEN85" s="41"/>
      <c r="CEO85" s="41"/>
      <c r="CEP85" s="41"/>
      <c r="CEQ85" s="41"/>
      <c r="CER85" s="41"/>
      <c r="CES85" s="139"/>
      <c r="CET85" s="41"/>
      <c r="CEU85" s="41"/>
      <c r="CEV85" s="41"/>
      <c r="CEW85" s="41"/>
      <c r="CEX85" s="41"/>
      <c r="CEY85" s="76"/>
      <c r="CEZ85" s="41"/>
      <c r="CFA85" s="41"/>
      <c r="CFB85" s="41"/>
      <c r="CFC85" s="41"/>
      <c r="CFD85" s="41"/>
      <c r="CFE85" s="139"/>
      <c r="CFF85" s="41"/>
      <c r="CFG85" s="41"/>
      <c r="CFH85" s="41"/>
      <c r="CFI85" s="41"/>
      <c r="CFJ85" s="41"/>
      <c r="CFK85" s="76"/>
      <c r="CFL85" s="66"/>
      <c r="CFM85" s="66"/>
      <c r="CFN85" s="66"/>
      <c r="CFO85" s="66"/>
      <c r="CFP85" s="41"/>
      <c r="CFQ85" s="139"/>
      <c r="CFR85" s="41"/>
      <c r="CFS85" s="41"/>
      <c r="CFT85" s="41"/>
      <c r="CFU85" s="41"/>
      <c r="CFV85" s="41"/>
      <c r="CFW85" s="76"/>
      <c r="CFX85" s="41"/>
      <c r="CFY85" s="41"/>
      <c r="CFZ85" s="41"/>
      <c r="CGA85" s="41"/>
      <c r="CGB85" s="41"/>
      <c r="CGC85" s="139"/>
      <c r="CGD85" s="41"/>
      <c r="CGE85" s="41"/>
      <c r="CGF85" s="41"/>
      <c r="CGG85" s="41"/>
      <c r="CGH85" s="41"/>
      <c r="CGI85" s="76"/>
      <c r="CGJ85" s="41"/>
      <c r="CGK85" s="41"/>
      <c r="CGL85" s="41"/>
      <c r="CGM85" s="41"/>
      <c r="CGN85" s="41"/>
      <c r="CGO85" s="42"/>
      <c r="CGP85" s="40"/>
      <c r="CGQ85" s="66"/>
      <c r="CGR85" s="66"/>
      <c r="CGS85" s="66"/>
      <c r="CGT85" s="41"/>
      <c r="CGU85" s="134"/>
      <c r="CGV85" s="41"/>
      <c r="CGW85" s="41"/>
      <c r="CGX85" s="41"/>
      <c r="CGY85" s="41"/>
      <c r="CGZ85" s="41"/>
      <c r="CHA85" s="139"/>
      <c r="CHB85" s="41"/>
      <c r="CHC85" s="41"/>
      <c r="CHD85" s="41"/>
      <c r="CHE85" s="41"/>
      <c r="CHF85" s="41"/>
      <c r="CHG85" s="76"/>
      <c r="CHH85" s="41"/>
      <c r="CHI85" s="41"/>
      <c r="CHJ85" s="41"/>
      <c r="CHK85" s="41"/>
      <c r="CHL85" s="41"/>
      <c r="CHM85" s="139"/>
      <c r="CHN85" s="41"/>
      <c r="CHO85" s="41"/>
      <c r="CHP85" s="41"/>
      <c r="CHQ85" s="41"/>
      <c r="CHR85" s="41"/>
      <c r="CHS85" s="76"/>
      <c r="CHT85" s="66"/>
      <c r="CHU85" s="66"/>
      <c r="CHV85" s="66"/>
      <c r="CHW85" s="66"/>
      <c r="CHX85" s="41"/>
      <c r="CHY85" s="139"/>
      <c r="CHZ85" s="41"/>
      <c r="CIA85" s="41"/>
      <c r="CIB85" s="41"/>
      <c r="CIC85" s="41"/>
      <c r="CID85" s="41"/>
      <c r="CIE85" s="76"/>
      <c r="CIF85" s="41"/>
      <c r="CIG85" s="41"/>
      <c r="CIH85" s="41"/>
      <c r="CII85" s="41"/>
      <c r="CIJ85" s="41"/>
      <c r="CIK85" s="139"/>
      <c r="CIL85" s="41"/>
      <c r="CIM85" s="41"/>
      <c r="CIN85" s="41"/>
      <c r="CIO85" s="41"/>
      <c r="CIP85" s="41"/>
      <c r="CIQ85" s="76"/>
      <c r="CIR85" s="41"/>
      <c r="CIS85" s="41"/>
      <c r="CIT85" s="41"/>
      <c r="CIU85" s="41"/>
      <c r="CIV85" s="41"/>
      <c r="CIW85" s="42"/>
      <c r="CIX85" s="40"/>
      <c r="CIY85" s="66"/>
      <c r="CIZ85" s="66"/>
      <c r="CJA85" s="66"/>
      <c r="CJB85" s="41"/>
      <c r="CJC85" s="134"/>
      <c r="CJD85" s="41"/>
      <c r="CJE85" s="41"/>
      <c r="CJF85" s="41"/>
      <c r="CJG85" s="41"/>
      <c r="CJH85" s="41"/>
      <c r="CJI85" s="139"/>
      <c r="CJJ85" s="41"/>
      <c r="CJK85" s="41"/>
      <c r="CJL85" s="41"/>
      <c r="CJM85" s="41"/>
      <c r="CJN85" s="41"/>
      <c r="CJO85" s="76"/>
      <c r="CJP85" s="41"/>
      <c r="CJQ85" s="41"/>
      <c r="CJR85" s="41"/>
      <c r="CJS85" s="41"/>
      <c r="CJT85" s="41"/>
      <c r="CJU85" s="139"/>
      <c r="CJV85" s="41"/>
      <c r="CJW85" s="41"/>
      <c r="CJX85" s="41"/>
      <c r="CJY85" s="41"/>
      <c r="CJZ85" s="41"/>
      <c r="CKA85" s="76"/>
      <c r="CKB85" s="66"/>
      <c r="CKC85" s="66"/>
      <c r="CKD85" s="66"/>
      <c r="CKE85" s="66"/>
      <c r="CKF85" s="41"/>
      <c r="CKG85" s="139"/>
      <c r="CKH85" s="41"/>
      <c r="CKI85" s="41"/>
      <c r="CKJ85" s="41"/>
      <c r="CKK85" s="41"/>
      <c r="CKL85" s="41"/>
      <c r="CKM85" s="76"/>
      <c r="CKN85" s="41"/>
      <c r="CKO85" s="41"/>
      <c r="CKP85" s="41"/>
      <c r="CKQ85" s="41"/>
      <c r="CKR85" s="41"/>
      <c r="CKS85" s="139"/>
      <c r="CKT85" s="41"/>
      <c r="CKU85" s="41"/>
      <c r="CKV85" s="41"/>
      <c r="CKW85" s="41"/>
      <c r="CKX85" s="41"/>
      <c r="CKY85" s="76"/>
      <c r="CKZ85" s="41"/>
      <c r="CLA85" s="41"/>
      <c r="CLB85" s="41"/>
      <c r="CLC85" s="41"/>
      <c r="CLD85" s="41"/>
      <c r="CLE85" s="42"/>
      <c r="CLF85" s="40"/>
      <c r="CLG85" s="66"/>
      <c r="CLH85" s="66"/>
      <c r="CLI85" s="66"/>
      <c r="CLJ85" s="41"/>
      <c r="CLK85" s="134"/>
      <c r="CLL85" s="41"/>
      <c r="CLM85" s="41"/>
      <c r="CLN85" s="41"/>
      <c r="CLO85" s="41"/>
      <c r="CLP85" s="41"/>
      <c r="CLQ85" s="139"/>
      <c r="CLR85" s="41"/>
      <c r="CLS85" s="41"/>
      <c r="CLT85" s="41"/>
      <c r="CLU85" s="41"/>
      <c r="CLV85" s="41"/>
      <c r="CLW85" s="76"/>
      <c r="CLX85" s="41"/>
      <c r="CLY85" s="41"/>
      <c r="CLZ85" s="41"/>
      <c r="CMA85" s="41"/>
      <c r="CMB85" s="41"/>
      <c r="CMC85" s="139"/>
      <c r="CMD85" s="41"/>
      <c r="CME85" s="41"/>
      <c r="CMF85" s="41"/>
      <c r="CMG85" s="41"/>
      <c r="CMH85" s="41"/>
      <c r="CMI85" s="76"/>
      <c r="CMJ85" s="66"/>
      <c r="CMK85" s="66"/>
      <c r="CML85" s="66"/>
      <c r="CMM85" s="66"/>
      <c r="CMN85" s="41"/>
      <c r="CMO85" s="139"/>
      <c r="CMP85" s="41"/>
      <c r="CMQ85" s="41"/>
      <c r="CMR85" s="41"/>
      <c r="CMS85" s="41"/>
      <c r="CMT85" s="41"/>
      <c r="CMU85" s="76"/>
      <c r="CMV85" s="41"/>
      <c r="CMW85" s="41"/>
      <c r="CMX85" s="41"/>
      <c r="CMY85" s="41"/>
      <c r="CMZ85" s="41"/>
      <c r="CNA85" s="139"/>
      <c r="CNB85" s="41"/>
      <c r="CNC85" s="41"/>
      <c r="CND85" s="41"/>
      <c r="CNE85" s="41"/>
      <c r="CNF85" s="41"/>
      <c r="CNG85" s="76"/>
      <c r="CNH85" s="41"/>
      <c r="CNI85" s="41"/>
      <c r="CNJ85" s="41"/>
      <c r="CNK85" s="41"/>
      <c r="CNL85" s="41"/>
      <c r="CNM85" s="42"/>
      <c r="CNN85" s="40"/>
      <c r="CNO85" s="66"/>
      <c r="CNP85" s="66"/>
      <c r="CNQ85" s="66"/>
      <c r="CNR85" s="41"/>
      <c r="CNS85" s="134"/>
      <c r="CNT85" s="41"/>
      <c r="CNU85" s="41"/>
      <c r="CNV85" s="41"/>
      <c r="CNW85" s="41"/>
      <c r="CNX85" s="41"/>
      <c r="CNY85" s="139"/>
      <c r="CNZ85" s="41"/>
      <c r="COA85" s="41"/>
      <c r="COB85" s="41"/>
      <c r="COC85" s="41"/>
      <c r="COD85" s="41"/>
      <c r="COE85" s="76"/>
      <c r="COF85" s="41"/>
      <c r="COG85" s="41"/>
      <c r="COH85" s="41"/>
      <c r="COI85" s="41"/>
      <c r="COJ85" s="41"/>
      <c r="COK85" s="139"/>
      <c r="COL85" s="41"/>
      <c r="COM85" s="41"/>
      <c r="CON85" s="41"/>
      <c r="COO85" s="41"/>
      <c r="COP85" s="41"/>
      <c r="COQ85" s="76"/>
      <c r="COR85" s="66"/>
      <c r="COS85" s="66"/>
      <c r="COT85" s="66"/>
      <c r="COU85" s="66"/>
      <c r="COV85" s="41"/>
      <c r="COW85" s="139"/>
      <c r="COX85" s="41"/>
      <c r="COY85" s="41"/>
      <c r="COZ85" s="41"/>
      <c r="CPA85" s="41"/>
      <c r="CPB85" s="41"/>
      <c r="CPC85" s="76"/>
      <c r="CPD85" s="41"/>
      <c r="CPE85" s="41"/>
      <c r="CPF85" s="41"/>
      <c r="CPG85" s="41"/>
      <c r="CPH85" s="41"/>
      <c r="CPI85" s="139"/>
      <c r="CPJ85" s="41"/>
      <c r="CPK85" s="41"/>
      <c r="CPL85" s="41"/>
      <c r="CPM85" s="41"/>
      <c r="CPN85" s="41"/>
      <c r="CPO85" s="76"/>
      <c r="CPP85" s="41"/>
      <c r="CPQ85" s="41"/>
      <c r="CPR85" s="41"/>
      <c r="CPS85" s="41"/>
      <c r="CPT85" s="41"/>
      <c r="CPU85" s="42"/>
      <c r="CPV85" s="40"/>
      <c r="CPW85" s="66"/>
      <c r="CPX85" s="66"/>
      <c r="CPY85" s="66"/>
      <c r="CPZ85" s="41"/>
      <c r="CQA85" s="134"/>
      <c r="CQB85" s="41"/>
      <c r="CQC85" s="41"/>
      <c r="CQD85" s="41"/>
      <c r="CQE85" s="41"/>
      <c r="CQF85" s="41"/>
      <c r="CQG85" s="139"/>
      <c r="CQH85" s="41"/>
      <c r="CQI85" s="41"/>
      <c r="CQJ85" s="41"/>
      <c r="CQK85" s="41"/>
      <c r="CQL85" s="41"/>
      <c r="CQM85" s="76"/>
      <c r="CQN85" s="41"/>
      <c r="CQO85" s="41"/>
      <c r="CQP85" s="41"/>
      <c r="CQQ85" s="41"/>
      <c r="CQR85" s="41"/>
      <c r="CQS85" s="139"/>
      <c r="CQT85" s="41"/>
      <c r="CQU85" s="41"/>
      <c r="CQV85" s="41"/>
      <c r="CQW85" s="41"/>
      <c r="CQX85" s="41"/>
      <c r="CQY85" s="76"/>
      <c r="CQZ85" s="66"/>
      <c r="CRA85" s="66"/>
      <c r="CRB85" s="66"/>
      <c r="CRC85" s="66"/>
      <c r="CRD85" s="41"/>
      <c r="CRE85" s="139"/>
      <c r="CRF85" s="41"/>
      <c r="CRG85" s="41"/>
      <c r="CRH85" s="41"/>
      <c r="CRI85" s="41"/>
      <c r="CRJ85" s="41"/>
      <c r="CRK85" s="76"/>
      <c r="CRL85" s="41"/>
      <c r="CRM85" s="41"/>
      <c r="CRN85" s="41"/>
      <c r="CRO85" s="41"/>
      <c r="CRP85" s="41"/>
      <c r="CRQ85" s="139"/>
      <c r="CRR85" s="41"/>
      <c r="CRS85" s="41"/>
      <c r="CRT85" s="41"/>
      <c r="CRU85" s="41"/>
      <c r="CRV85" s="41"/>
      <c r="CRW85" s="76"/>
      <c r="CRX85" s="41"/>
      <c r="CRY85" s="41"/>
      <c r="CRZ85" s="41"/>
      <c r="CSA85" s="41"/>
      <c r="CSB85" s="41"/>
      <c r="CSC85" s="42"/>
      <c r="CSD85" s="90"/>
    </row>
    <row r="86" spans="1:2526" ht="20.100000000000001" customHeight="1" x14ac:dyDescent="0.3">
      <c r="A86" s="100" t="s">
        <v>19</v>
      </c>
      <c r="B86" s="63"/>
      <c r="C86" s="213"/>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28"/>
      <c r="BLW86" s="67"/>
      <c r="BLX86" s="67"/>
      <c r="BLY86" s="67"/>
      <c r="BLZ86" s="29"/>
      <c r="BMA86" s="131"/>
      <c r="BMB86" s="29"/>
      <c r="BMC86" s="29"/>
      <c r="BMD86" s="29"/>
      <c r="BME86" s="29"/>
      <c r="BMF86" s="29"/>
      <c r="BMG86" s="136"/>
      <c r="BMH86" s="29"/>
      <c r="BMI86" s="29"/>
      <c r="BMJ86" s="29"/>
      <c r="BMK86" s="29"/>
      <c r="BML86" s="29"/>
      <c r="BMM86" s="73"/>
      <c r="BMN86" s="29"/>
      <c r="BMO86" s="29"/>
      <c r="BMP86" s="29"/>
      <c r="BMQ86" s="29"/>
      <c r="BMR86" s="29"/>
      <c r="BMS86" s="136"/>
      <c r="BMT86" s="29"/>
      <c r="BMU86" s="29"/>
      <c r="BMV86" s="29"/>
      <c r="BMW86" s="29"/>
      <c r="BMX86" s="29"/>
      <c r="BMY86" s="73"/>
      <c r="BMZ86" s="67"/>
      <c r="BNA86" s="67"/>
      <c r="BNB86" s="67"/>
      <c r="BNC86" s="67"/>
      <c r="BND86" s="29"/>
      <c r="BNE86" s="136"/>
      <c r="BNF86" s="29"/>
      <c r="BNG86" s="29"/>
      <c r="BNH86" s="29"/>
      <c r="BNI86" s="29"/>
      <c r="BNJ86" s="29"/>
      <c r="BNK86" s="73"/>
      <c r="BNL86" s="29"/>
      <c r="BNM86" s="29"/>
      <c r="BNN86" s="29"/>
      <c r="BNO86" s="29"/>
      <c r="BNP86" s="29"/>
      <c r="BNQ86" s="136"/>
      <c r="BNR86" s="29"/>
      <c r="BNS86" s="29"/>
      <c r="BNT86" s="29"/>
      <c r="BNU86" s="29"/>
      <c r="BNV86" s="29"/>
      <c r="BNW86" s="73"/>
      <c r="BNX86" s="29"/>
      <c r="BNY86" s="29"/>
      <c r="BNZ86" s="29"/>
      <c r="BOA86" s="29"/>
      <c r="BOB86" s="29"/>
      <c r="BOC86" s="30"/>
      <c r="BOD86" s="28"/>
      <c r="BOE86" s="67"/>
      <c r="BOF86" s="67"/>
      <c r="BOG86" s="67"/>
      <c r="BOH86" s="29"/>
      <c r="BOI86" s="131"/>
      <c r="BOJ86" s="29"/>
      <c r="BOK86" s="29"/>
      <c r="BOL86" s="29"/>
      <c r="BOM86" s="29"/>
      <c r="BON86" s="29"/>
      <c r="BOO86" s="136"/>
      <c r="BOP86" s="29"/>
      <c r="BOQ86" s="29"/>
      <c r="BOR86" s="29"/>
      <c r="BOS86" s="29"/>
      <c r="BOT86" s="29"/>
      <c r="BOU86" s="73"/>
      <c r="BOV86" s="29"/>
      <c r="BOW86" s="29"/>
      <c r="BOX86" s="29"/>
      <c r="BOY86" s="29"/>
      <c r="BOZ86" s="29"/>
      <c r="BPA86" s="136"/>
      <c r="BPB86" s="29"/>
      <c r="BPC86" s="29"/>
      <c r="BPD86" s="29"/>
      <c r="BPE86" s="29"/>
      <c r="BPF86" s="29"/>
      <c r="BPG86" s="73"/>
      <c r="BPH86" s="67"/>
      <c r="BPI86" s="67"/>
      <c r="BPJ86" s="67"/>
      <c r="BPK86" s="67"/>
      <c r="BPL86" s="29"/>
      <c r="BPM86" s="136"/>
      <c r="BPN86" s="29"/>
      <c r="BPO86" s="29"/>
      <c r="BPP86" s="29"/>
      <c r="BPQ86" s="29"/>
      <c r="BPR86" s="29"/>
      <c r="BPS86" s="73"/>
      <c r="BPT86" s="29"/>
      <c r="BPU86" s="29"/>
      <c r="BPV86" s="29"/>
      <c r="BPW86" s="29"/>
      <c r="BPX86" s="29"/>
      <c r="BPY86" s="136"/>
      <c r="BPZ86" s="29"/>
      <c r="BQA86" s="29"/>
      <c r="BQB86" s="29"/>
      <c r="BQC86" s="29"/>
      <c r="BQD86" s="29"/>
      <c r="BQE86" s="73"/>
      <c r="BQF86" s="29"/>
      <c r="BQG86" s="29"/>
      <c r="BQH86" s="29"/>
      <c r="BQI86" s="29"/>
      <c r="BQJ86" s="29"/>
      <c r="BQK86" s="30"/>
      <c r="BQL86" s="28"/>
      <c r="BQM86" s="67"/>
      <c r="BQN86" s="67"/>
      <c r="BQO86" s="67"/>
      <c r="BQP86" s="29"/>
      <c r="BQQ86" s="131"/>
      <c r="BQR86" s="29"/>
      <c r="BQS86" s="29"/>
      <c r="BQT86" s="29"/>
      <c r="BQU86" s="29"/>
      <c r="BQV86" s="29"/>
      <c r="BQW86" s="136"/>
      <c r="BQX86" s="29"/>
      <c r="BQY86" s="29"/>
      <c r="BQZ86" s="29"/>
      <c r="BRA86" s="29"/>
      <c r="BRB86" s="29"/>
      <c r="BRC86" s="73"/>
      <c r="BRD86" s="29"/>
      <c r="BRE86" s="29"/>
      <c r="BRF86" s="29"/>
      <c r="BRG86" s="29"/>
      <c r="BRH86" s="29"/>
      <c r="BRI86" s="136"/>
      <c r="BRJ86" s="29"/>
      <c r="BRK86" s="29"/>
      <c r="BRL86" s="29"/>
      <c r="BRM86" s="29"/>
      <c r="BRN86" s="29"/>
      <c r="BRO86" s="73"/>
      <c r="BRP86" s="67"/>
      <c r="BRQ86" s="67"/>
      <c r="BRR86" s="67"/>
      <c r="BRS86" s="67"/>
      <c r="BRT86" s="29"/>
      <c r="BRU86" s="136"/>
      <c r="BRV86" s="29"/>
      <c r="BRW86" s="29"/>
      <c r="BRX86" s="29"/>
      <c r="BRY86" s="29"/>
      <c r="BRZ86" s="29"/>
      <c r="BSA86" s="73"/>
      <c r="BSB86" s="29"/>
      <c r="BSC86" s="29"/>
      <c r="BSD86" s="29"/>
      <c r="BSE86" s="29"/>
      <c r="BSF86" s="29"/>
      <c r="BSG86" s="136"/>
      <c r="BSH86" s="29"/>
      <c r="BSI86" s="29"/>
      <c r="BSJ86" s="29"/>
      <c r="BSK86" s="29"/>
      <c r="BSL86" s="29"/>
      <c r="BSM86" s="73"/>
      <c r="BSN86" s="29"/>
      <c r="BSO86" s="29"/>
      <c r="BSP86" s="29"/>
      <c r="BSQ86" s="29"/>
      <c r="BSR86" s="29"/>
      <c r="BSS86" s="30"/>
      <c r="BST86" s="28"/>
      <c r="BSU86" s="67"/>
      <c r="BSV86" s="67"/>
      <c r="BSW86" s="67"/>
      <c r="BSX86" s="29"/>
      <c r="BSY86" s="131"/>
      <c r="BSZ86" s="29"/>
      <c r="BTA86" s="29"/>
      <c r="BTB86" s="29"/>
      <c r="BTC86" s="29"/>
      <c r="BTD86" s="29"/>
      <c r="BTE86" s="136"/>
      <c r="BTF86" s="29"/>
      <c r="BTG86" s="29"/>
      <c r="BTH86" s="29"/>
      <c r="BTI86" s="29"/>
      <c r="BTJ86" s="29"/>
      <c r="BTK86" s="73"/>
      <c r="BTL86" s="29"/>
      <c r="BTM86" s="29"/>
      <c r="BTN86" s="29"/>
      <c r="BTO86" s="29"/>
      <c r="BTP86" s="29"/>
      <c r="BTQ86" s="136"/>
      <c r="BTR86" s="29"/>
      <c r="BTS86" s="29"/>
      <c r="BTT86" s="29"/>
      <c r="BTU86" s="29"/>
      <c r="BTV86" s="29"/>
      <c r="BTW86" s="73"/>
      <c r="BTX86" s="67"/>
      <c r="BTY86" s="67"/>
      <c r="BTZ86" s="67"/>
      <c r="BUA86" s="67"/>
      <c r="BUB86" s="29"/>
      <c r="BUC86" s="136"/>
      <c r="BUD86" s="29"/>
      <c r="BUE86" s="29"/>
      <c r="BUF86" s="29"/>
      <c r="BUG86" s="29"/>
      <c r="BUH86" s="29"/>
      <c r="BUI86" s="73"/>
      <c r="BUJ86" s="29"/>
      <c r="BUK86" s="29"/>
      <c r="BUL86" s="29"/>
      <c r="BUM86" s="29"/>
      <c r="BUN86" s="29"/>
      <c r="BUO86" s="136"/>
      <c r="BUP86" s="29"/>
      <c r="BUQ86" s="29"/>
      <c r="BUR86" s="29"/>
      <c r="BUS86" s="29"/>
      <c r="BUT86" s="29"/>
      <c r="BUU86" s="73"/>
      <c r="BUV86" s="29"/>
      <c r="BUW86" s="29"/>
      <c r="BUX86" s="29"/>
      <c r="BUY86" s="29"/>
      <c r="BUZ86" s="29"/>
      <c r="BVA86" s="30"/>
      <c r="BVB86" s="28"/>
      <c r="BVC86" s="67"/>
      <c r="BVD86" s="67"/>
      <c r="BVE86" s="67"/>
      <c r="BVF86" s="29"/>
      <c r="BVG86" s="131"/>
      <c r="BVH86" s="29"/>
      <c r="BVI86" s="29"/>
      <c r="BVJ86" s="29"/>
      <c r="BVK86" s="29"/>
      <c r="BVL86" s="29"/>
      <c r="BVM86" s="136"/>
      <c r="BVN86" s="29"/>
      <c r="BVO86" s="29"/>
      <c r="BVP86" s="29"/>
      <c r="BVQ86" s="29"/>
      <c r="BVR86" s="29"/>
      <c r="BVS86" s="73"/>
      <c r="BVT86" s="29"/>
      <c r="BVU86" s="29"/>
      <c r="BVV86" s="29"/>
      <c r="BVW86" s="29"/>
      <c r="BVX86" s="29"/>
      <c r="BVY86" s="136"/>
      <c r="BVZ86" s="29"/>
      <c r="BWA86" s="29"/>
      <c r="BWB86" s="29"/>
      <c r="BWC86" s="29"/>
      <c r="BWD86" s="29"/>
      <c r="BWE86" s="73"/>
      <c r="BWF86" s="67"/>
      <c r="BWG86" s="67"/>
      <c r="BWH86" s="67"/>
      <c r="BWI86" s="67"/>
      <c r="BWJ86" s="29"/>
      <c r="BWK86" s="136"/>
      <c r="BWL86" s="29"/>
      <c r="BWM86" s="29"/>
      <c r="BWN86" s="29"/>
      <c r="BWO86" s="29"/>
      <c r="BWP86" s="29"/>
      <c r="BWQ86" s="73"/>
      <c r="BWR86" s="29"/>
      <c r="BWS86" s="29"/>
      <c r="BWT86" s="29"/>
      <c r="BWU86" s="29"/>
      <c r="BWV86" s="29"/>
      <c r="BWW86" s="136"/>
      <c r="BWX86" s="29"/>
      <c r="BWY86" s="29"/>
      <c r="BWZ86" s="29"/>
      <c r="BXA86" s="29"/>
      <c r="BXB86" s="29"/>
      <c r="BXC86" s="73"/>
      <c r="BXD86" s="29"/>
      <c r="BXE86" s="29"/>
      <c r="BXF86" s="29"/>
      <c r="BXG86" s="29"/>
      <c r="BXH86" s="29"/>
      <c r="BXI86" s="30"/>
      <c r="BXJ86" s="28"/>
      <c r="BXK86" s="67"/>
      <c r="BXL86" s="67"/>
      <c r="BXM86" s="67"/>
      <c r="BXN86" s="29"/>
      <c r="BXO86" s="131"/>
      <c r="BXP86" s="29"/>
      <c r="BXQ86" s="29"/>
      <c r="BXR86" s="29"/>
      <c r="BXS86" s="29"/>
      <c r="BXT86" s="29"/>
      <c r="BXU86" s="136"/>
      <c r="BXV86" s="29"/>
      <c r="BXW86" s="29"/>
      <c r="BXX86" s="29"/>
      <c r="BXY86" s="29"/>
      <c r="BXZ86" s="29"/>
      <c r="BYA86" s="73"/>
      <c r="BYB86" s="29"/>
      <c r="BYC86" s="29"/>
      <c r="BYD86" s="29"/>
      <c r="BYE86" s="29"/>
      <c r="BYF86" s="29"/>
      <c r="BYG86" s="136"/>
      <c r="BYH86" s="29"/>
      <c r="BYI86" s="29"/>
      <c r="BYJ86" s="29"/>
      <c r="BYK86" s="29"/>
      <c r="BYL86" s="29"/>
      <c r="BYM86" s="73"/>
      <c r="BYN86" s="67"/>
      <c r="BYO86" s="67"/>
      <c r="BYP86" s="67"/>
      <c r="BYQ86" s="67"/>
      <c r="BYR86" s="29"/>
      <c r="BYS86" s="136"/>
      <c r="BYT86" s="29"/>
      <c r="BYU86" s="29"/>
      <c r="BYV86" s="29"/>
      <c r="BYW86" s="29"/>
      <c r="BYX86" s="29"/>
      <c r="BYY86" s="73"/>
      <c r="BYZ86" s="29"/>
      <c r="BZA86" s="29"/>
      <c r="BZB86" s="29"/>
      <c r="BZC86" s="29"/>
      <c r="BZD86" s="29"/>
      <c r="BZE86" s="136"/>
      <c r="BZF86" s="29"/>
      <c r="BZG86" s="29"/>
      <c r="BZH86" s="29"/>
      <c r="BZI86" s="29"/>
      <c r="BZJ86" s="29"/>
      <c r="BZK86" s="73"/>
      <c r="BZL86" s="29"/>
      <c r="BZM86" s="29"/>
      <c r="BZN86" s="29"/>
      <c r="BZO86" s="29"/>
      <c r="BZP86" s="29"/>
      <c r="BZQ86" s="30"/>
      <c r="BZR86" s="28"/>
      <c r="BZS86" s="67"/>
      <c r="BZT86" s="67"/>
      <c r="BZU86" s="67"/>
      <c r="BZV86" s="29"/>
      <c r="BZW86" s="131"/>
      <c r="BZX86" s="29"/>
      <c r="BZY86" s="29"/>
      <c r="BZZ86" s="29"/>
      <c r="CAA86" s="29"/>
      <c r="CAB86" s="29"/>
      <c r="CAC86" s="136"/>
      <c r="CAD86" s="29"/>
      <c r="CAE86" s="29"/>
      <c r="CAF86" s="29"/>
      <c r="CAG86" s="29"/>
      <c r="CAH86" s="29"/>
      <c r="CAI86" s="73"/>
      <c r="CAJ86" s="29"/>
      <c r="CAK86" s="29"/>
      <c r="CAL86" s="29"/>
      <c r="CAM86" s="29"/>
      <c r="CAN86" s="29"/>
      <c r="CAO86" s="136"/>
      <c r="CAP86" s="29"/>
      <c r="CAQ86" s="29"/>
      <c r="CAR86" s="29"/>
      <c r="CAS86" s="29"/>
      <c r="CAT86" s="29"/>
      <c r="CAU86" s="73"/>
      <c r="CAV86" s="67"/>
      <c r="CAW86" s="67"/>
      <c r="CAX86" s="67"/>
      <c r="CAY86" s="67"/>
      <c r="CAZ86" s="29"/>
      <c r="CBA86" s="136"/>
      <c r="CBB86" s="29"/>
      <c r="CBC86" s="29"/>
      <c r="CBD86" s="29"/>
      <c r="CBE86" s="29"/>
      <c r="CBF86" s="29"/>
      <c r="CBG86" s="73"/>
      <c r="CBH86" s="29"/>
      <c r="CBI86" s="29"/>
      <c r="CBJ86" s="29"/>
      <c r="CBK86" s="29"/>
      <c r="CBL86" s="29"/>
      <c r="CBM86" s="136"/>
      <c r="CBN86" s="29"/>
      <c r="CBO86" s="29"/>
      <c r="CBP86" s="29"/>
      <c r="CBQ86" s="29"/>
      <c r="CBR86" s="29"/>
      <c r="CBS86" s="73"/>
      <c r="CBT86" s="29"/>
      <c r="CBU86" s="29"/>
      <c r="CBV86" s="29"/>
      <c r="CBW86" s="29"/>
      <c r="CBX86" s="29"/>
      <c r="CBY86" s="30"/>
      <c r="CBZ86" s="28"/>
      <c r="CCA86" s="67"/>
      <c r="CCB86" s="67"/>
      <c r="CCC86" s="67"/>
      <c r="CCD86" s="29"/>
      <c r="CCE86" s="131"/>
      <c r="CCF86" s="29"/>
      <c r="CCG86" s="29"/>
      <c r="CCH86" s="29"/>
      <c r="CCI86" s="29"/>
      <c r="CCJ86" s="29"/>
      <c r="CCK86" s="136"/>
      <c r="CCL86" s="29"/>
      <c r="CCM86" s="29"/>
      <c r="CCN86" s="29"/>
      <c r="CCO86" s="29"/>
      <c r="CCP86" s="29"/>
      <c r="CCQ86" s="73"/>
      <c r="CCR86" s="29"/>
      <c r="CCS86" s="29"/>
      <c r="CCT86" s="29"/>
      <c r="CCU86" s="29"/>
      <c r="CCV86" s="29"/>
      <c r="CCW86" s="136"/>
      <c r="CCX86" s="29"/>
      <c r="CCY86" s="29"/>
      <c r="CCZ86" s="29"/>
      <c r="CDA86" s="29"/>
      <c r="CDB86" s="29"/>
      <c r="CDC86" s="73"/>
      <c r="CDD86" s="67"/>
      <c r="CDE86" s="67"/>
      <c r="CDF86" s="67"/>
      <c r="CDG86" s="67"/>
      <c r="CDH86" s="29"/>
      <c r="CDI86" s="136"/>
      <c r="CDJ86" s="29"/>
      <c r="CDK86" s="29"/>
      <c r="CDL86" s="29"/>
      <c r="CDM86" s="29"/>
      <c r="CDN86" s="29"/>
      <c r="CDO86" s="73"/>
      <c r="CDP86" s="29"/>
      <c r="CDQ86" s="29"/>
      <c r="CDR86" s="29"/>
      <c r="CDS86" s="29"/>
      <c r="CDT86" s="29"/>
      <c r="CDU86" s="136"/>
      <c r="CDV86" s="29"/>
      <c r="CDW86" s="29"/>
      <c r="CDX86" s="29"/>
      <c r="CDY86" s="29"/>
      <c r="CDZ86" s="29"/>
      <c r="CEA86" s="73"/>
      <c r="CEB86" s="29"/>
      <c r="CEC86" s="29"/>
      <c r="CED86" s="29"/>
      <c r="CEE86" s="29"/>
      <c r="CEF86" s="29"/>
      <c r="CEG86" s="30"/>
      <c r="CEH86" s="28"/>
      <c r="CEI86" s="67"/>
      <c r="CEJ86" s="67"/>
      <c r="CEK86" s="67"/>
      <c r="CEL86" s="29"/>
      <c r="CEM86" s="131"/>
      <c r="CEN86" s="29"/>
      <c r="CEO86" s="29"/>
      <c r="CEP86" s="29"/>
      <c r="CEQ86" s="29"/>
      <c r="CER86" s="29"/>
      <c r="CES86" s="136"/>
      <c r="CET86" s="29"/>
      <c r="CEU86" s="29"/>
      <c r="CEV86" s="29"/>
      <c r="CEW86" s="29"/>
      <c r="CEX86" s="29"/>
      <c r="CEY86" s="73"/>
      <c r="CEZ86" s="29"/>
      <c r="CFA86" s="29"/>
      <c r="CFB86" s="29"/>
      <c r="CFC86" s="29"/>
      <c r="CFD86" s="29"/>
      <c r="CFE86" s="136"/>
      <c r="CFF86" s="29"/>
      <c r="CFG86" s="29"/>
      <c r="CFH86" s="29"/>
      <c r="CFI86" s="29"/>
      <c r="CFJ86" s="29"/>
      <c r="CFK86" s="73"/>
      <c r="CFL86" s="67"/>
      <c r="CFM86" s="67"/>
      <c r="CFN86" s="67"/>
      <c r="CFO86" s="67"/>
      <c r="CFP86" s="29"/>
      <c r="CFQ86" s="136"/>
      <c r="CFR86" s="29"/>
      <c r="CFS86" s="29"/>
      <c r="CFT86" s="29"/>
      <c r="CFU86" s="29"/>
      <c r="CFV86" s="29"/>
      <c r="CFW86" s="73"/>
      <c r="CFX86" s="29"/>
      <c r="CFY86" s="29"/>
      <c r="CFZ86" s="29"/>
      <c r="CGA86" s="29"/>
      <c r="CGB86" s="29"/>
      <c r="CGC86" s="136"/>
      <c r="CGD86" s="29"/>
      <c r="CGE86" s="29"/>
      <c r="CGF86" s="29"/>
      <c r="CGG86" s="29"/>
      <c r="CGH86" s="29"/>
      <c r="CGI86" s="73"/>
      <c r="CGJ86" s="29"/>
      <c r="CGK86" s="29"/>
      <c r="CGL86" s="29"/>
      <c r="CGM86" s="29"/>
      <c r="CGN86" s="29"/>
      <c r="CGO86" s="30"/>
      <c r="CGP86" s="28"/>
      <c r="CGQ86" s="67"/>
      <c r="CGR86" s="67"/>
      <c r="CGS86" s="67"/>
      <c r="CGT86" s="29"/>
      <c r="CGU86" s="131"/>
      <c r="CGV86" s="29"/>
      <c r="CGW86" s="29"/>
      <c r="CGX86" s="29"/>
      <c r="CGY86" s="29"/>
      <c r="CGZ86" s="29"/>
      <c r="CHA86" s="136"/>
      <c r="CHB86" s="29"/>
      <c r="CHC86" s="29"/>
      <c r="CHD86" s="29"/>
      <c r="CHE86" s="29"/>
      <c r="CHF86" s="29"/>
      <c r="CHG86" s="73"/>
      <c r="CHH86" s="29"/>
      <c r="CHI86" s="29"/>
      <c r="CHJ86" s="29"/>
      <c r="CHK86" s="29"/>
      <c r="CHL86" s="29"/>
      <c r="CHM86" s="136"/>
      <c r="CHN86" s="29"/>
      <c r="CHO86" s="29"/>
      <c r="CHP86" s="29"/>
      <c r="CHQ86" s="29"/>
      <c r="CHR86" s="29"/>
      <c r="CHS86" s="73"/>
      <c r="CHT86" s="67"/>
      <c r="CHU86" s="67"/>
      <c r="CHV86" s="67"/>
      <c r="CHW86" s="67"/>
      <c r="CHX86" s="29"/>
      <c r="CHY86" s="136"/>
      <c r="CHZ86" s="29"/>
      <c r="CIA86" s="29"/>
      <c r="CIB86" s="29"/>
      <c r="CIC86" s="29"/>
      <c r="CID86" s="29"/>
      <c r="CIE86" s="73"/>
      <c r="CIF86" s="29"/>
      <c r="CIG86" s="29"/>
      <c r="CIH86" s="29"/>
      <c r="CII86" s="29"/>
      <c r="CIJ86" s="29"/>
      <c r="CIK86" s="136"/>
      <c r="CIL86" s="29"/>
      <c r="CIM86" s="29"/>
      <c r="CIN86" s="29"/>
      <c r="CIO86" s="29"/>
      <c r="CIP86" s="29"/>
      <c r="CIQ86" s="73"/>
      <c r="CIR86" s="29"/>
      <c r="CIS86" s="29"/>
      <c r="CIT86" s="29"/>
      <c r="CIU86" s="29"/>
      <c r="CIV86" s="29"/>
      <c r="CIW86" s="30"/>
      <c r="CIX86" s="28"/>
      <c r="CIY86" s="67"/>
      <c r="CIZ86" s="67"/>
      <c r="CJA86" s="67"/>
      <c r="CJB86" s="29"/>
      <c r="CJC86" s="131"/>
      <c r="CJD86" s="29"/>
      <c r="CJE86" s="29"/>
      <c r="CJF86" s="29"/>
      <c r="CJG86" s="29"/>
      <c r="CJH86" s="29"/>
      <c r="CJI86" s="136"/>
      <c r="CJJ86" s="29"/>
      <c r="CJK86" s="29"/>
      <c r="CJL86" s="29"/>
      <c r="CJM86" s="29"/>
      <c r="CJN86" s="29"/>
      <c r="CJO86" s="73"/>
      <c r="CJP86" s="29"/>
      <c r="CJQ86" s="29"/>
      <c r="CJR86" s="29"/>
      <c r="CJS86" s="29"/>
      <c r="CJT86" s="29"/>
      <c r="CJU86" s="136"/>
      <c r="CJV86" s="29"/>
      <c r="CJW86" s="29"/>
      <c r="CJX86" s="29"/>
      <c r="CJY86" s="29"/>
      <c r="CJZ86" s="29"/>
      <c r="CKA86" s="73"/>
      <c r="CKB86" s="67"/>
      <c r="CKC86" s="67"/>
      <c r="CKD86" s="67"/>
      <c r="CKE86" s="67"/>
      <c r="CKF86" s="29"/>
      <c r="CKG86" s="136"/>
      <c r="CKH86" s="29"/>
      <c r="CKI86" s="29"/>
      <c r="CKJ86" s="29"/>
      <c r="CKK86" s="29"/>
      <c r="CKL86" s="29"/>
      <c r="CKM86" s="73"/>
      <c r="CKN86" s="29"/>
      <c r="CKO86" s="29"/>
      <c r="CKP86" s="29"/>
      <c r="CKQ86" s="29"/>
      <c r="CKR86" s="29"/>
      <c r="CKS86" s="136"/>
      <c r="CKT86" s="29"/>
      <c r="CKU86" s="29"/>
      <c r="CKV86" s="29"/>
      <c r="CKW86" s="29"/>
      <c r="CKX86" s="29"/>
      <c r="CKY86" s="73"/>
      <c r="CKZ86" s="29"/>
      <c r="CLA86" s="29"/>
      <c r="CLB86" s="29"/>
      <c r="CLC86" s="29"/>
      <c r="CLD86" s="29"/>
      <c r="CLE86" s="30"/>
      <c r="CLF86" s="28"/>
      <c r="CLG86" s="67"/>
      <c r="CLH86" s="67"/>
      <c r="CLI86" s="67"/>
      <c r="CLJ86" s="29"/>
      <c r="CLK86" s="131"/>
      <c r="CLL86" s="29"/>
      <c r="CLM86" s="29"/>
      <c r="CLN86" s="29"/>
      <c r="CLO86" s="29"/>
      <c r="CLP86" s="29"/>
      <c r="CLQ86" s="136"/>
      <c r="CLR86" s="29"/>
      <c r="CLS86" s="29"/>
      <c r="CLT86" s="29"/>
      <c r="CLU86" s="29"/>
      <c r="CLV86" s="29"/>
      <c r="CLW86" s="73"/>
      <c r="CLX86" s="29"/>
      <c r="CLY86" s="29"/>
      <c r="CLZ86" s="29"/>
      <c r="CMA86" s="29"/>
      <c r="CMB86" s="29"/>
      <c r="CMC86" s="136"/>
      <c r="CMD86" s="29"/>
      <c r="CME86" s="29"/>
      <c r="CMF86" s="29"/>
      <c r="CMG86" s="29"/>
      <c r="CMH86" s="29"/>
      <c r="CMI86" s="73"/>
      <c r="CMJ86" s="67"/>
      <c r="CMK86" s="67"/>
      <c r="CML86" s="67"/>
      <c r="CMM86" s="67"/>
      <c r="CMN86" s="29"/>
      <c r="CMO86" s="136"/>
      <c r="CMP86" s="29"/>
      <c r="CMQ86" s="29"/>
      <c r="CMR86" s="29"/>
      <c r="CMS86" s="29"/>
      <c r="CMT86" s="29"/>
      <c r="CMU86" s="73"/>
      <c r="CMV86" s="29"/>
      <c r="CMW86" s="29"/>
      <c r="CMX86" s="29"/>
      <c r="CMY86" s="29"/>
      <c r="CMZ86" s="29"/>
      <c r="CNA86" s="136"/>
      <c r="CNB86" s="29"/>
      <c r="CNC86" s="29"/>
      <c r="CND86" s="29"/>
      <c r="CNE86" s="29"/>
      <c r="CNF86" s="29"/>
      <c r="CNG86" s="73"/>
      <c r="CNH86" s="29"/>
      <c r="CNI86" s="29"/>
      <c r="CNJ86" s="29"/>
      <c r="CNK86" s="29"/>
      <c r="CNL86" s="29"/>
      <c r="CNM86" s="30"/>
      <c r="CNN86" s="28"/>
      <c r="CNO86" s="67"/>
      <c r="CNP86" s="67"/>
      <c r="CNQ86" s="67"/>
      <c r="CNR86" s="29"/>
      <c r="CNS86" s="131"/>
      <c r="CNT86" s="29"/>
      <c r="CNU86" s="29"/>
      <c r="CNV86" s="29"/>
      <c r="CNW86" s="29"/>
      <c r="CNX86" s="29"/>
      <c r="CNY86" s="136"/>
      <c r="CNZ86" s="29"/>
      <c r="COA86" s="29"/>
      <c r="COB86" s="29"/>
      <c r="COC86" s="29"/>
      <c r="COD86" s="29"/>
      <c r="COE86" s="73"/>
      <c r="COF86" s="29"/>
      <c r="COG86" s="29"/>
      <c r="COH86" s="29"/>
      <c r="COI86" s="29"/>
      <c r="COJ86" s="29"/>
      <c r="COK86" s="136"/>
      <c r="COL86" s="29"/>
      <c r="COM86" s="29"/>
      <c r="CON86" s="29"/>
      <c r="COO86" s="29"/>
      <c r="COP86" s="29"/>
      <c r="COQ86" s="73"/>
      <c r="COR86" s="67"/>
      <c r="COS86" s="67"/>
      <c r="COT86" s="67"/>
      <c r="COU86" s="67"/>
      <c r="COV86" s="29"/>
      <c r="COW86" s="136"/>
      <c r="COX86" s="29"/>
      <c r="COY86" s="29"/>
      <c r="COZ86" s="29"/>
      <c r="CPA86" s="29"/>
      <c r="CPB86" s="29"/>
      <c r="CPC86" s="73"/>
      <c r="CPD86" s="29"/>
      <c r="CPE86" s="29"/>
      <c r="CPF86" s="29"/>
      <c r="CPG86" s="29"/>
      <c r="CPH86" s="29"/>
      <c r="CPI86" s="136"/>
      <c r="CPJ86" s="29"/>
      <c r="CPK86" s="29"/>
      <c r="CPL86" s="29"/>
      <c r="CPM86" s="29"/>
      <c r="CPN86" s="29"/>
      <c r="CPO86" s="73"/>
      <c r="CPP86" s="29"/>
      <c r="CPQ86" s="29"/>
      <c r="CPR86" s="29"/>
      <c r="CPS86" s="29"/>
      <c r="CPT86" s="29"/>
      <c r="CPU86" s="30"/>
      <c r="CPV86" s="28"/>
      <c r="CPW86" s="67"/>
      <c r="CPX86" s="67"/>
      <c r="CPY86" s="67"/>
      <c r="CPZ86" s="29"/>
      <c r="CQA86" s="131"/>
      <c r="CQB86" s="29"/>
      <c r="CQC86" s="29"/>
      <c r="CQD86" s="29"/>
      <c r="CQE86" s="29"/>
      <c r="CQF86" s="29"/>
      <c r="CQG86" s="136"/>
      <c r="CQH86" s="29"/>
      <c r="CQI86" s="29"/>
      <c r="CQJ86" s="29"/>
      <c r="CQK86" s="29"/>
      <c r="CQL86" s="29"/>
      <c r="CQM86" s="73"/>
      <c r="CQN86" s="29"/>
      <c r="CQO86" s="29"/>
      <c r="CQP86" s="29"/>
      <c r="CQQ86" s="29"/>
      <c r="CQR86" s="29"/>
      <c r="CQS86" s="136"/>
      <c r="CQT86" s="29"/>
      <c r="CQU86" s="29"/>
      <c r="CQV86" s="29"/>
      <c r="CQW86" s="29"/>
      <c r="CQX86" s="29"/>
      <c r="CQY86" s="73"/>
      <c r="CQZ86" s="67"/>
      <c r="CRA86" s="67"/>
      <c r="CRB86" s="67"/>
      <c r="CRC86" s="67"/>
      <c r="CRD86" s="29"/>
      <c r="CRE86" s="136"/>
      <c r="CRF86" s="29"/>
      <c r="CRG86" s="29"/>
      <c r="CRH86" s="29"/>
      <c r="CRI86" s="29"/>
      <c r="CRJ86" s="29"/>
      <c r="CRK86" s="73"/>
      <c r="CRL86" s="29"/>
      <c r="CRM86" s="29"/>
      <c r="CRN86" s="29"/>
      <c r="CRO86" s="29"/>
      <c r="CRP86" s="29"/>
      <c r="CRQ86" s="136"/>
      <c r="CRR86" s="29"/>
      <c r="CRS86" s="29"/>
      <c r="CRT86" s="29"/>
      <c r="CRU86" s="29"/>
      <c r="CRV86" s="29"/>
      <c r="CRW86" s="73"/>
      <c r="CRX86" s="29"/>
      <c r="CRY86" s="29"/>
      <c r="CRZ86" s="29"/>
      <c r="CSA86" s="29"/>
      <c r="CSB86" s="29"/>
      <c r="CSC86" s="30"/>
      <c r="CSD86" s="90"/>
    </row>
    <row r="87" spans="1:2526" ht="20.100000000000001" customHeight="1" x14ac:dyDescent="0.25">
      <c r="A87" s="100" t="s">
        <v>18</v>
      </c>
      <c r="B87" s="63"/>
      <c r="C87" s="211"/>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32"/>
      <c r="BLW87" s="64"/>
      <c r="BLX87" s="64"/>
      <c r="BLY87" s="64"/>
      <c r="BLZ87" s="33"/>
      <c r="BMA87" s="132"/>
      <c r="BMB87" s="33"/>
      <c r="BMC87" s="33"/>
      <c r="BMD87" s="33"/>
      <c r="BME87" s="33"/>
      <c r="BMF87" s="33"/>
      <c r="BMG87" s="137"/>
      <c r="BMH87" s="33"/>
      <c r="BMI87" s="33"/>
      <c r="BMJ87" s="33"/>
      <c r="BMK87" s="33"/>
      <c r="BML87" s="33"/>
      <c r="BMM87" s="74"/>
      <c r="BMN87" s="33"/>
      <c r="BMO87" s="33"/>
      <c r="BMP87" s="33"/>
      <c r="BMQ87" s="33"/>
      <c r="BMR87" s="33"/>
      <c r="BMS87" s="137"/>
      <c r="BMT87" s="33"/>
      <c r="BMU87" s="33"/>
      <c r="BMV87" s="33"/>
      <c r="BMW87" s="33"/>
      <c r="BMX87" s="33"/>
      <c r="BMY87" s="74"/>
      <c r="BMZ87" s="64"/>
      <c r="BNA87" s="64"/>
      <c r="BNB87" s="64"/>
      <c r="BNC87" s="64"/>
      <c r="BND87" s="33"/>
      <c r="BNE87" s="137"/>
      <c r="BNF87" s="33"/>
      <c r="BNG87" s="33"/>
      <c r="BNH87" s="33"/>
      <c r="BNI87" s="33"/>
      <c r="BNJ87" s="33"/>
      <c r="BNK87" s="74"/>
      <c r="BNL87" s="33"/>
      <c r="BNM87" s="33"/>
      <c r="BNN87" s="33"/>
      <c r="BNO87" s="33"/>
      <c r="BNP87" s="33"/>
      <c r="BNQ87" s="137"/>
      <c r="BNR87" s="33"/>
      <c r="BNS87" s="33"/>
      <c r="BNT87" s="33"/>
      <c r="BNU87" s="33"/>
      <c r="BNV87" s="33"/>
      <c r="BNW87" s="74"/>
      <c r="BNX87" s="33"/>
      <c r="BNY87" s="33"/>
      <c r="BNZ87" s="33"/>
      <c r="BOA87" s="33"/>
      <c r="BOB87" s="33"/>
      <c r="BOC87" s="34"/>
      <c r="BOD87" s="32"/>
      <c r="BOE87" s="64"/>
      <c r="BOF87" s="64"/>
      <c r="BOG87" s="64"/>
      <c r="BOH87" s="33"/>
      <c r="BOI87" s="132"/>
      <c r="BOJ87" s="33"/>
      <c r="BOK87" s="33"/>
      <c r="BOL87" s="33"/>
      <c r="BOM87" s="33"/>
      <c r="BON87" s="33"/>
      <c r="BOO87" s="137"/>
      <c r="BOP87" s="33"/>
      <c r="BOQ87" s="33"/>
      <c r="BOR87" s="33"/>
      <c r="BOS87" s="33"/>
      <c r="BOT87" s="33"/>
      <c r="BOU87" s="74"/>
      <c r="BOV87" s="33"/>
      <c r="BOW87" s="33"/>
      <c r="BOX87" s="33"/>
      <c r="BOY87" s="33"/>
      <c r="BOZ87" s="33"/>
      <c r="BPA87" s="137"/>
      <c r="BPB87" s="33"/>
      <c r="BPC87" s="33"/>
      <c r="BPD87" s="33"/>
      <c r="BPE87" s="33"/>
      <c r="BPF87" s="33"/>
      <c r="BPG87" s="74"/>
      <c r="BPH87" s="64"/>
      <c r="BPI87" s="64"/>
      <c r="BPJ87" s="64"/>
      <c r="BPK87" s="64"/>
      <c r="BPL87" s="33"/>
      <c r="BPM87" s="137"/>
      <c r="BPN87" s="33"/>
      <c r="BPO87" s="33"/>
      <c r="BPP87" s="33"/>
      <c r="BPQ87" s="33"/>
      <c r="BPR87" s="33"/>
      <c r="BPS87" s="74"/>
      <c r="BPT87" s="33"/>
      <c r="BPU87" s="33"/>
      <c r="BPV87" s="33"/>
      <c r="BPW87" s="33"/>
      <c r="BPX87" s="33"/>
      <c r="BPY87" s="137"/>
      <c r="BPZ87" s="33"/>
      <c r="BQA87" s="33"/>
      <c r="BQB87" s="33"/>
      <c r="BQC87" s="33"/>
      <c r="BQD87" s="33"/>
      <c r="BQE87" s="74"/>
      <c r="BQF87" s="33"/>
      <c r="BQG87" s="33"/>
      <c r="BQH87" s="33"/>
      <c r="BQI87" s="33"/>
      <c r="BQJ87" s="33"/>
      <c r="BQK87" s="34"/>
      <c r="BQL87" s="32"/>
      <c r="BQM87" s="64"/>
      <c r="BQN87" s="64"/>
      <c r="BQO87" s="64"/>
      <c r="BQP87" s="33"/>
      <c r="BQQ87" s="132"/>
      <c r="BQR87" s="33"/>
      <c r="BQS87" s="33"/>
      <c r="BQT87" s="33"/>
      <c r="BQU87" s="33"/>
      <c r="BQV87" s="33"/>
      <c r="BQW87" s="137"/>
      <c r="BQX87" s="33"/>
      <c r="BQY87" s="33"/>
      <c r="BQZ87" s="33"/>
      <c r="BRA87" s="33"/>
      <c r="BRB87" s="33"/>
      <c r="BRC87" s="74"/>
      <c r="BRD87" s="33"/>
      <c r="BRE87" s="33"/>
      <c r="BRF87" s="33"/>
      <c r="BRG87" s="33"/>
      <c r="BRH87" s="33"/>
      <c r="BRI87" s="137"/>
      <c r="BRJ87" s="33"/>
      <c r="BRK87" s="33"/>
      <c r="BRL87" s="33"/>
      <c r="BRM87" s="33"/>
      <c r="BRN87" s="33"/>
      <c r="BRO87" s="74"/>
      <c r="BRP87" s="64"/>
      <c r="BRQ87" s="64"/>
      <c r="BRR87" s="64"/>
      <c r="BRS87" s="64"/>
      <c r="BRT87" s="33"/>
      <c r="BRU87" s="137"/>
      <c r="BRV87" s="33"/>
      <c r="BRW87" s="33"/>
      <c r="BRX87" s="33"/>
      <c r="BRY87" s="33"/>
      <c r="BRZ87" s="33"/>
      <c r="BSA87" s="74"/>
      <c r="BSB87" s="33"/>
      <c r="BSC87" s="33"/>
      <c r="BSD87" s="33"/>
      <c r="BSE87" s="33"/>
      <c r="BSF87" s="33"/>
      <c r="BSG87" s="137"/>
      <c r="BSH87" s="33"/>
      <c r="BSI87" s="33"/>
      <c r="BSJ87" s="33"/>
      <c r="BSK87" s="33"/>
      <c r="BSL87" s="33"/>
      <c r="BSM87" s="74"/>
      <c r="BSN87" s="33"/>
      <c r="BSO87" s="33"/>
      <c r="BSP87" s="33"/>
      <c r="BSQ87" s="33"/>
      <c r="BSR87" s="33"/>
      <c r="BSS87" s="34"/>
      <c r="BST87" s="32"/>
      <c r="BSU87" s="64"/>
      <c r="BSV87" s="64"/>
      <c r="BSW87" s="64"/>
      <c r="BSX87" s="33"/>
      <c r="BSY87" s="132"/>
      <c r="BSZ87" s="33"/>
      <c r="BTA87" s="33"/>
      <c r="BTB87" s="33"/>
      <c r="BTC87" s="33"/>
      <c r="BTD87" s="33"/>
      <c r="BTE87" s="137"/>
      <c r="BTF87" s="33"/>
      <c r="BTG87" s="33"/>
      <c r="BTH87" s="33"/>
      <c r="BTI87" s="33"/>
      <c r="BTJ87" s="33"/>
      <c r="BTK87" s="74"/>
      <c r="BTL87" s="33"/>
      <c r="BTM87" s="33"/>
      <c r="BTN87" s="33"/>
      <c r="BTO87" s="33"/>
      <c r="BTP87" s="33"/>
      <c r="BTQ87" s="137"/>
      <c r="BTR87" s="33"/>
      <c r="BTS87" s="33"/>
      <c r="BTT87" s="33"/>
      <c r="BTU87" s="33"/>
      <c r="BTV87" s="33"/>
      <c r="BTW87" s="74"/>
      <c r="BTX87" s="64"/>
      <c r="BTY87" s="64"/>
      <c r="BTZ87" s="64"/>
      <c r="BUA87" s="64"/>
      <c r="BUB87" s="33"/>
      <c r="BUC87" s="137"/>
      <c r="BUD87" s="33"/>
      <c r="BUE87" s="33"/>
      <c r="BUF87" s="33"/>
      <c r="BUG87" s="33"/>
      <c r="BUH87" s="33"/>
      <c r="BUI87" s="74"/>
      <c r="BUJ87" s="33"/>
      <c r="BUK87" s="33"/>
      <c r="BUL87" s="33"/>
      <c r="BUM87" s="33"/>
      <c r="BUN87" s="33"/>
      <c r="BUO87" s="137"/>
      <c r="BUP87" s="33"/>
      <c r="BUQ87" s="33"/>
      <c r="BUR87" s="33"/>
      <c r="BUS87" s="33"/>
      <c r="BUT87" s="33"/>
      <c r="BUU87" s="74"/>
      <c r="BUV87" s="33"/>
      <c r="BUW87" s="33"/>
      <c r="BUX87" s="33"/>
      <c r="BUY87" s="33"/>
      <c r="BUZ87" s="33"/>
      <c r="BVA87" s="34"/>
      <c r="BVB87" s="32"/>
      <c r="BVC87" s="64"/>
      <c r="BVD87" s="64"/>
      <c r="BVE87" s="64"/>
      <c r="BVF87" s="33"/>
      <c r="BVG87" s="132"/>
      <c r="BVH87" s="33"/>
      <c r="BVI87" s="33"/>
      <c r="BVJ87" s="33"/>
      <c r="BVK87" s="33"/>
      <c r="BVL87" s="33"/>
      <c r="BVM87" s="137"/>
      <c r="BVN87" s="33"/>
      <c r="BVO87" s="33"/>
      <c r="BVP87" s="33"/>
      <c r="BVQ87" s="33"/>
      <c r="BVR87" s="33"/>
      <c r="BVS87" s="74"/>
      <c r="BVT87" s="33"/>
      <c r="BVU87" s="33"/>
      <c r="BVV87" s="33"/>
      <c r="BVW87" s="33"/>
      <c r="BVX87" s="33"/>
      <c r="BVY87" s="137"/>
      <c r="BVZ87" s="33"/>
      <c r="BWA87" s="33"/>
      <c r="BWB87" s="33"/>
      <c r="BWC87" s="33"/>
      <c r="BWD87" s="33"/>
      <c r="BWE87" s="74"/>
      <c r="BWF87" s="64"/>
      <c r="BWG87" s="64"/>
      <c r="BWH87" s="64"/>
      <c r="BWI87" s="64"/>
      <c r="BWJ87" s="33"/>
      <c r="BWK87" s="137"/>
      <c r="BWL87" s="33"/>
      <c r="BWM87" s="33"/>
      <c r="BWN87" s="33"/>
      <c r="BWO87" s="33"/>
      <c r="BWP87" s="33"/>
      <c r="BWQ87" s="74"/>
      <c r="BWR87" s="33"/>
      <c r="BWS87" s="33"/>
      <c r="BWT87" s="33"/>
      <c r="BWU87" s="33"/>
      <c r="BWV87" s="33"/>
      <c r="BWW87" s="137"/>
      <c r="BWX87" s="33"/>
      <c r="BWY87" s="33"/>
      <c r="BWZ87" s="33"/>
      <c r="BXA87" s="33"/>
      <c r="BXB87" s="33"/>
      <c r="BXC87" s="74"/>
      <c r="BXD87" s="33"/>
      <c r="BXE87" s="33"/>
      <c r="BXF87" s="33"/>
      <c r="BXG87" s="33"/>
      <c r="BXH87" s="33"/>
      <c r="BXI87" s="34"/>
      <c r="BXJ87" s="32"/>
      <c r="BXK87" s="64"/>
      <c r="BXL87" s="64"/>
      <c r="BXM87" s="64"/>
      <c r="BXN87" s="33"/>
      <c r="BXO87" s="132"/>
      <c r="BXP87" s="33"/>
      <c r="BXQ87" s="33"/>
      <c r="BXR87" s="33"/>
      <c r="BXS87" s="33"/>
      <c r="BXT87" s="33"/>
      <c r="BXU87" s="137"/>
      <c r="BXV87" s="33"/>
      <c r="BXW87" s="33"/>
      <c r="BXX87" s="33"/>
      <c r="BXY87" s="33"/>
      <c r="BXZ87" s="33"/>
      <c r="BYA87" s="74"/>
      <c r="BYB87" s="33"/>
      <c r="BYC87" s="33"/>
      <c r="BYD87" s="33"/>
      <c r="BYE87" s="33"/>
      <c r="BYF87" s="33"/>
      <c r="BYG87" s="137"/>
      <c r="BYH87" s="33"/>
      <c r="BYI87" s="33"/>
      <c r="BYJ87" s="33"/>
      <c r="BYK87" s="33"/>
      <c r="BYL87" s="33"/>
      <c r="BYM87" s="74"/>
      <c r="BYN87" s="64"/>
      <c r="BYO87" s="64"/>
      <c r="BYP87" s="64"/>
      <c r="BYQ87" s="64"/>
      <c r="BYR87" s="33"/>
      <c r="BYS87" s="137"/>
      <c r="BYT87" s="33"/>
      <c r="BYU87" s="33"/>
      <c r="BYV87" s="33"/>
      <c r="BYW87" s="33"/>
      <c r="BYX87" s="33"/>
      <c r="BYY87" s="74"/>
      <c r="BYZ87" s="33"/>
      <c r="BZA87" s="33"/>
      <c r="BZB87" s="33"/>
      <c r="BZC87" s="33"/>
      <c r="BZD87" s="33"/>
      <c r="BZE87" s="137"/>
      <c r="BZF87" s="33"/>
      <c r="BZG87" s="33"/>
      <c r="BZH87" s="33"/>
      <c r="BZI87" s="33"/>
      <c r="BZJ87" s="33"/>
      <c r="BZK87" s="74"/>
      <c r="BZL87" s="33"/>
      <c r="BZM87" s="33"/>
      <c r="BZN87" s="33"/>
      <c r="BZO87" s="33"/>
      <c r="BZP87" s="33"/>
      <c r="BZQ87" s="34"/>
      <c r="BZR87" s="32"/>
      <c r="BZS87" s="64"/>
      <c r="BZT87" s="64"/>
      <c r="BZU87" s="64"/>
      <c r="BZV87" s="33"/>
      <c r="BZW87" s="132"/>
      <c r="BZX87" s="33"/>
      <c r="BZY87" s="33"/>
      <c r="BZZ87" s="33"/>
      <c r="CAA87" s="33"/>
      <c r="CAB87" s="33"/>
      <c r="CAC87" s="137"/>
      <c r="CAD87" s="33"/>
      <c r="CAE87" s="33"/>
      <c r="CAF87" s="33"/>
      <c r="CAG87" s="33"/>
      <c r="CAH87" s="33"/>
      <c r="CAI87" s="74"/>
      <c r="CAJ87" s="33"/>
      <c r="CAK87" s="33"/>
      <c r="CAL87" s="33"/>
      <c r="CAM87" s="33"/>
      <c r="CAN87" s="33"/>
      <c r="CAO87" s="137"/>
      <c r="CAP87" s="33"/>
      <c r="CAQ87" s="33"/>
      <c r="CAR87" s="33"/>
      <c r="CAS87" s="33"/>
      <c r="CAT87" s="33"/>
      <c r="CAU87" s="74"/>
      <c r="CAV87" s="64"/>
      <c r="CAW87" s="64"/>
      <c r="CAX87" s="64"/>
      <c r="CAY87" s="64"/>
      <c r="CAZ87" s="33"/>
      <c r="CBA87" s="137"/>
      <c r="CBB87" s="33"/>
      <c r="CBC87" s="33"/>
      <c r="CBD87" s="33"/>
      <c r="CBE87" s="33"/>
      <c r="CBF87" s="33"/>
      <c r="CBG87" s="74"/>
      <c r="CBH87" s="33"/>
      <c r="CBI87" s="33"/>
      <c r="CBJ87" s="33"/>
      <c r="CBK87" s="33"/>
      <c r="CBL87" s="33"/>
      <c r="CBM87" s="137"/>
      <c r="CBN87" s="33"/>
      <c r="CBO87" s="33"/>
      <c r="CBP87" s="33"/>
      <c r="CBQ87" s="33"/>
      <c r="CBR87" s="33"/>
      <c r="CBS87" s="74"/>
      <c r="CBT87" s="33"/>
      <c r="CBU87" s="33"/>
      <c r="CBV87" s="33"/>
      <c r="CBW87" s="33"/>
      <c r="CBX87" s="33"/>
      <c r="CBY87" s="34"/>
      <c r="CBZ87" s="32"/>
      <c r="CCA87" s="64"/>
      <c r="CCB87" s="64"/>
      <c r="CCC87" s="64"/>
      <c r="CCD87" s="33"/>
      <c r="CCE87" s="132"/>
      <c r="CCF87" s="33"/>
      <c r="CCG87" s="33"/>
      <c r="CCH87" s="33"/>
      <c r="CCI87" s="33"/>
      <c r="CCJ87" s="33"/>
      <c r="CCK87" s="137"/>
      <c r="CCL87" s="33"/>
      <c r="CCM87" s="33"/>
      <c r="CCN87" s="33"/>
      <c r="CCO87" s="33"/>
      <c r="CCP87" s="33"/>
      <c r="CCQ87" s="74"/>
      <c r="CCR87" s="33"/>
      <c r="CCS87" s="33"/>
      <c r="CCT87" s="33"/>
      <c r="CCU87" s="33"/>
      <c r="CCV87" s="33"/>
      <c r="CCW87" s="137"/>
      <c r="CCX87" s="33"/>
      <c r="CCY87" s="33"/>
      <c r="CCZ87" s="33"/>
      <c r="CDA87" s="33"/>
      <c r="CDB87" s="33"/>
      <c r="CDC87" s="74"/>
      <c r="CDD87" s="64"/>
      <c r="CDE87" s="64"/>
      <c r="CDF87" s="64"/>
      <c r="CDG87" s="64"/>
      <c r="CDH87" s="33"/>
      <c r="CDI87" s="137"/>
      <c r="CDJ87" s="33"/>
      <c r="CDK87" s="33"/>
      <c r="CDL87" s="33"/>
      <c r="CDM87" s="33"/>
      <c r="CDN87" s="33"/>
      <c r="CDO87" s="74"/>
      <c r="CDP87" s="33"/>
      <c r="CDQ87" s="33"/>
      <c r="CDR87" s="33"/>
      <c r="CDS87" s="33"/>
      <c r="CDT87" s="33"/>
      <c r="CDU87" s="137"/>
      <c r="CDV87" s="33"/>
      <c r="CDW87" s="33"/>
      <c r="CDX87" s="33"/>
      <c r="CDY87" s="33"/>
      <c r="CDZ87" s="33"/>
      <c r="CEA87" s="74"/>
      <c r="CEB87" s="33"/>
      <c r="CEC87" s="33"/>
      <c r="CED87" s="33"/>
      <c r="CEE87" s="33"/>
      <c r="CEF87" s="33"/>
      <c r="CEG87" s="34"/>
      <c r="CEH87" s="32"/>
      <c r="CEI87" s="64"/>
      <c r="CEJ87" s="64"/>
      <c r="CEK87" s="64"/>
      <c r="CEL87" s="33"/>
      <c r="CEM87" s="132"/>
      <c r="CEN87" s="33"/>
      <c r="CEO87" s="33"/>
      <c r="CEP87" s="33"/>
      <c r="CEQ87" s="33"/>
      <c r="CER87" s="33"/>
      <c r="CES87" s="137"/>
      <c r="CET87" s="33"/>
      <c r="CEU87" s="33"/>
      <c r="CEV87" s="33"/>
      <c r="CEW87" s="33"/>
      <c r="CEX87" s="33"/>
      <c r="CEY87" s="74"/>
      <c r="CEZ87" s="33"/>
      <c r="CFA87" s="33"/>
      <c r="CFB87" s="33"/>
      <c r="CFC87" s="33"/>
      <c r="CFD87" s="33"/>
      <c r="CFE87" s="137"/>
      <c r="CFF87" s="33"/>
      <c r="CFG87" s="33"/>
      <c r="CFH87" s="33"/>
      <c r="CFI87" s="33"/>
      <c r="CFJ87" s="33"/>
      <c r="CFK87" s="74"/>
      <c r="CFL87" s="64"/>
      <c r="CFM87" s="64"/>
      <c r="CFN87" s="64"/>
      <c r="CFO87" s="64"/>
      <c r="CFP87" s="33"/>
      <c r="CFQ87" s="137"/>
      <c r="CFR87" s="33"/>
      <c r="CFS87" s="33"/>
      <c r="CFT87" s="33"/>
      <c r="CFU87" s="33"/>
      <c r="CFV87" s="33"/>
      <c r="CFW87" s="74"/>
      <c r="CFX87" s="33"/>
      <c r="CFY87" s="33"/>
      <c r="CFZ87" s="33"/>
      <c r="CGA87" s="33"/>
      <c r="CGB87" s="33"/>
      <c r="CGC87" s="137"/>
      <c r="CGD87" s="33"/>
      <c r="CGE87" s="33"/>
      <c r="CGF87" s="33"/>
      <c r="CGG87" s="33"/>
      <c r="CGH87" s="33"/>
      <c r="CGI87" s="74"/>
      <c r="CGJ87" s="33"/>
      <c r="CGK87" s="33"/>
      <c r="CGL87" s="33"/>
      <c r="CGM87" s="33"/>
      <c r="CGN87" s="33"/>
      <c r="CGO87" s="34"/>
      <c r="CGP87" s="32"/>
      <c r="CGQ87" s="64"/>
      <c r="CGR87" s="64"/>
      <c r="CGS87" s="64"/>
      <c r="CGT87" s="33"/>
      <c r="CGU87" s="132"/>
      <c r="CGV87" s="33"/>
      <c r="CGW87" s="33"/>
      <c r="CGX87" s="33"/>
      <c r="CGY87" s="33"/>
      <c r="CGZ87" s="33"/>
      <c r="CHA87" s="137"/>
      <c r="CHB87" s="33"/>
      <c r="CHC87" s="33"/>
      <c r="CHD87" s="33"/>
      <c r="CHE87" s="33"/>
      <c r="CHF87" s="33"/>
      <c r="CHG87" s="74"/>
      <c r="CHH87" s="33"/>
      <c r="CHI87" s="33"/>
      <c r="CHJ87" s="33"/>
      <c r="CHK87" s="33"/>
      <c r="CHL87" s="33"/>
      <c r="CHM87" s="137"/>
      <c r="CHN87" s="33"/>
      <c r="CHO87" s="33"/>
      <c r="CHP87" s="33"/>
      <c r="CHQ87" s="33"/>
      <c r="CHR87" s="33"/>
      <c r="CHS87" s="74"/>
      <c r="CHT87" s="64"/>
      <c r="CHU87" s="64"/>
      <c r="CHV87" s="64"/>
      <c r="CHW87" s="64"/>
      <c r="CHX87" s="33"/>
      <c r="CHY87" s="137"/>
      <c r="CHZ87" s="33"/>
      <c r="CIA87" s="33"/>
      <c r="CIB87" s="33"/>
      <c r="CIC87" s="33"/>
      <c r="CID87" s="33"/>
      <c r="CIE87" s="74"/>
      <c r="CIF87" s="33"/>
      <c r="CIG87" s="33"/>
      <c r="CIH87" s="33"/>
      <c r="CII87" s="33"/>
      <c r="CIJ87" s="33"/>
      <c r="CIK87" s="137"/>
      <c r="CIL87" s="33"/>
      <c r="CIM87" s="33"/>
      <c r="CIN87" s="33"/>
      <c r="CIO87" s="33"/>
      <c r="CIP87" s="33"/>
      <c r="CIQ87" s="74"/>
      <c r="CIR87" s="33"/>
      <c r="CIS87" s="33"/>
      <c r="CIT87" s="33"/>
      <c r="CIU87" s="33"/>
      <c r="CIV87" s="33"/>
      <c r="CIW87" s="34"/>
      <c r="CIX87" s="32"/>
      <c r="CIY87" s="64"/>
      <c r="CIZ87" s="64"/>
      <c r="CJA87" s="64"/>
      <c r="CJB87" s="33"/>
      <c r="CJC87" s="132"/>
      <c r="CJD87" s="33"/>
      <c r="CJE87" s="33"/>
      <c r="CJF87" s="33"/>
      <c r="CJG87" s="33"/>
      <c r="CJH87" s="33"/>
      <c r="CJI87" s="137"/>
      <c r="CJJ87" s="33"/>
      <c r="CJK87" s="33"/>
      <c r="CJL87" s="33"/>
      <c r="CJM87" s="33"/>
      <c r="CJN87" s="33"/>
      <c r="CJO87" s="74"/>
      <c r="CJP87" s="33"/>
      <c r="CJQ87" s="33"/>
      <c r="CJR87" s="33"/>
      <c r="CJS87" s="33"/>
      <c r="CJT87" s="33"/>
      <c r="CJU87" s="137"/>
      <c r="CJV87" s="33"/>
      <c r="CJW87" s="33"/>
      <c r="CJX87" s="33"/>
      <c r="CJY87" s="33"/>
      <c r="CJZ87" s="33"/>
      <c r="CKA87" s="74"/>
      <c r="CKB87" s="64"/>
      <c r="CKC87" s="64"/>
      <c r="CKD87" s="64"/>
      <c r="CKE87" s="64"/>
      <c r="CKF87" s="33"/>
      <c r="CKG87" s="137"/>
      <c r="CKH87" s="33"/>
      <c r="CKI87" s="33"/>
      <c r="CKJ87" s="33"/>
      <c r="CKK87" s="33"/>
      <c r="CKL87" s="33"/>
      <c r="CKM87" s="74"/>
      <c r="CKN87" s="33"/>
      <c r="CKO87" s="33"/>
      <c r="CKP87" s="33"/>
      <c r="CKQ87" s="33"/>
      <c r="CKR87" s="33"/>
      <c r="CKS87" s="137"/>
      <c r="CKT87" s="33"/>
      <c r="CKU87" s="33"/>
      <c r="CKV87" s="33"/>
      <c r="CKW87" s="33"/>
      <c r="CKX87" s="33"/>
      <c r="CKY87" s="74"/>
      <c r="CKZ87" s="33"/>
      <c r="CLA87" s="33"/>
      <c r="CLB87" s="33"/>
      <c r="CLC87" s="33"/>
      <c r="CLD87" s="33"/>
      <c r="CLE87" s="34"/>
      <c r="CLF87" s="32"/>
      <c r="CLG87" s="64"/>
      <c r="CLH87" s="64"/>
      <c r="CLI87" s="64"/>
      <c r="CLJ87" s="33"/>
      <c r="CLK87" s="132"/>
      <c r="CLL87" s="33"/>
      <c r="CLM87" s="33"/>
      <c r="CLN87" s="33"/>
      <c r="CLO87" s="33"/>
      <c r="CLP87" s="33"/>
      <c r="CLQ87" s="137"/>
      <c r="CLR87" s="33"/>
      <c r="CLS87" s="33"/>
      <c r="CLT87" s="33"/>
      <c r="CLU87" s="33"/>
      <c r="CLV87" s="33"/>
      <c r="CLW87" s="74"/>
      <c r="CLX87" s="33"/>
      <c r="CLY87" s="33"/>
      <c r="CLZ87" s="33"/>
      <c r="CMA87" s="33"/>
      <c r="CMB87" s="33"/>
      <c r="CMC87" s="137"/>
      <c r="CMD87" s="33"/>
      <c r="CME87" s="33"/>
      <c r="CMF87" s="33"/>
      <c r="CMG87" s="33"/>
      <c r="CMH87" s="33"/>
      <c r="CMI87" s="74"/>
      <c r="CMJ87" s="64"/>
      <c r="CMK87" s="64"/>
      <c r="CML87" s="64"/>
      <c r="CMM87" s="64"/>
      <c r="CMN87" s="33"/>
      <c r="CMO87" s="137"/>
      <c r="CMP87" s="33"/>
      <c r="CMQ87" s="33"/>
      <c r="CMR87" s="33"/>
      <c r="CMS87" s="33"/>
      <c r="CMT87" s="33"/>
      <c r="CMU87" s="74"/>
      <c r="CMV87" s="33"/>
      <c r="CMW87" s="33"/>
      <c r="CMX87" s="33"/>
      <c r="CMY87" s="33"/>
      <c r="CMZ87" s="33"/>
      <c r="CNA87" s="137"/>
      <c r="CNB87" s="33"/>
      <c r="CNC87" s="33"/>
      <c r="CND87" s="33"/>
      <c r="CNE87" s="33"/>
      <c r="CNF87" s="33"/>
      <c r="CNG87" s="74"/>
      <c r="CNH87" s="33"/>
      <c r="CNI87" s="33"/>
      <c r="CNJ87" s="33"/>
      <c r="CNK87" s="33"/>
      <c r="CNL87" s="33"/>
      <c r="CNM87" s="34"/>
      <c r="CNN87" s="32"/>
      <c r="CNO87" s="64"/>
      <c r="CNP87" s="64"/>
      <c r="CNQ87" s="64"/>
      <c r="CNR87" s="33"/>
      <c r="CNS87" s="132"/>
      <c r="CNT87" s="33"/>
      <c r="CNU87" s="33"/>
      <c r="CNV87" s="33"/>
      <c r="CNW87" s="33"/>
      <c r="CNX87" s="33"/>
      <c r="CNY87" s="137"/>
      <c r="CNZ87" s="33"/>
      <c r="COA87" s="33"/>
      <c r="COB87" s="33"/>
      <c r="COC87" s="33"/>
      <c r="COD87" s="33"/>
      <c r="COE87" s="74"/>
      <c r="COF87" s="33"/>
      <c r="COG87" s="33"/>
      <c r="COH87" s="33"/>
      <c r="COI87" s="33"/>
      <c r="COJ87" s="33"/>
      <c r="COK87" s="137"/>
      <c r="COL87" s="33"/>
      <c r="COM87" s="33"/>
      <c r="CON87" s="33"/>
      <c r="COO87" s="33"/>
      <c r="COP87" s="33"/>
      <c r="COQ87" s="74"/>
      <c r="COR87" s="64"/>
      <c r="COS87" s="64"/>
      <c r="COT87" s="64"/>
      <c r="COU87" s="64"/>
      <c r="COV87" s="33"/>
      <c r="COW87" s="137"/>
      <c r="COX87" s="33"/>
      <c r="COY87" s="33"/>
      <c r="COZ87" s="33"/>
      <c r="CPA87" s="33"/>
      <c r="CPB87" s="33"/>
      <c r="CPC87" s="74"/>
      <c r="CPD87" s="33"/>
      <c r="CPE87" s="33"/>
      <c r="CPF87" s="33"/>
      <c r="CPG87" s="33"/>
      <c r="CPH87" s="33"/>
      <c r="CPI87" s="137"/>
      <c r="CPJ87" s="33"/>
      <c r="CPK87" s="33"/>
      <c r="CPL87" s="33"/>
      <c r="CPM87" s="33"/>
      <c r="CPN87" s="33"/>
      <c r="CPO87" s="74"/>
      <c r="CPP87" s="33"/>
      <c r="CPQ87" s="33"/>
      <c r="CPR87" s="33"/>
      <c r="CPS87" s="33"/>
      <c r="CPT87" s="33"/>
      <c r="CPU87" s="34"/>
      <c r="CPV87" s="32"/>
      <c r="CPW87" s="64"/>
      <c r="CPX87" s="64"/>
      <c r="CPY87" s="64"/>
      <c r="CPZ87" s="33"/>
      <c r="CQA87" s="132"/>
      <c r="CQB87" s="33"/>
      <c r="CQC87" s="33"/>
      <c r="CQD87" s="33"/>
      <c r="CQE87" s="33"/>
      <c r="CQF87" s="33"/>
      <c r="CQG87" s="137"/>
      <c r="CQH87" s="33"/>
      <c r="CQI87" s="33"/>
      <c r="CQJ87" s="33"/>
      <c r="CQK87" s="33"/>
      <c r="CQL87" s="33"/>
      <c r="CQM87" s="74"/>
      <c r="CQN87" s="33"/>
      <c r="CQO87" s="33"/>
      <c r="CQP87" s="33"/>
      <c r="CQQ87" s="33"/>
      <c r="CQR87" s="33"/>
      <c r="CQS87" s="137"/>
      <c r="CQT87" s="33"/>
      <c r="CQU87" s="33"/>
      <c r="CQV87" s="33"/>
      <c r="CQW87" s="33"/>
      <c r="CQX87" s="33"/>
      <c r="CQY87" s="74"/>
      <c r="CQZ87" s="64"/>
      <c r="CRA87" s="64"/>
      <c r="CRB87" s="64"/>
      <c r="CRC87" s="64"/>
      <c r="CRD87" s="33"/>
      <c r="CRE87" s="137"/>
      <c r="CRF87" s="33"/>
      <c r="CRG87" s="33"/>
      <c r="CRH87" s="33"/>
      <c r="CRI87" s="33"/>
      <c r="CRJ87" s="33"/>
      <c r="CRK87" s="74"/>
      <c r="CRL87" s="33"/>
      <c r="CRM87" s="33"/>
      <c r="CRN87" s="33"/>
      <c r="CRO87" s="33"/>
      <c r="CRP87" s="33"/>
      <c r="CRQ87" s="137"/>
      <c r="CRR87" s="33"/>
      <c r="CRS87" s="33"/>
      <c r="CRT87" s="33"/>
      <c r="CRU87" s="33"/>
      <c r="CRV87" s="33"/>
      <c r="CRW87" s="74"/>
      <c r="CRX87" s="33"/>
      <c r="CRY87" s="33"/>
      <c r="CRZ87" s="33"/>
      <c r="CSA87" s="33"/>
      <c r="CSB87" s="33"/>
      <c r="CSC87" s="34"/>
      <c r="CSD87" s="90"/>
    </row>
    <row r="88" spans="1:2526" ht="20.100000000000001" customHeight="1" x14ac:dyDescent="0.25">
      <c r="A88" s="100" t="s">
        <v>19</v>
      </c>
      <c r="B88" s="63"/>
      <c r="C88" s="212"/>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36"/>
      <c r="BLW88" s="65"/>
      <c r="BLX88" s="65"/>
      <c r="BLY88" s="65"/>
      <c r="BLZ88" s="37"/>
      <c r="BMA88" s="133"/>
      <c r="BMB88" s="37"/>
      <c r="BMC88" s="37"/>
      <c r="BMD88" s="37"/>
      <c r="BME88" s="37"/>
      <c r="BMF88" s="37"/>
      <c r="BMG88" s="138"/>
      <c r="BMH88" s="37"/>
      <c r="BMI88" s="37"/>
      <c r="BMJ88" s="37"/>
      <c r="BMK88" s="37"/>
      <c r="BML88" s="37"/>
      <c r="BMM88" s="75"/>
      <c r="BMN88" s="37"/>
      <c r="BMO88" s="37"/>
      <c r="BMP88" s="37"/>
      <c r="BMQ88" s="37"/>
      <c r="BMR88" s="37"/>
      <c r="BMS88" s="138"/>
      <c r="BMT88" s="37"/>
      <c r="BMU88" s="37"/>
      <c r="BMV88" s="37"/>
      <c r="BMW88" s="37"/>
      <c r="BMX88" s="37"/>
      <c r="BMY88" s="75"/>
      <c r="BMZ88" s="65"/>
      <c r="BNA88" s="65"/>
      <c r="BNB88" s="65"/>
      <c r="BNC88" s="65"/>
      <c r="BND88" s="37"/>
      <c r="BNE88" s="138"/>
      <c r="BNF88" s="37"/>
      <c r="BNG88" s="37"/>
      <c r="BNH88" s="37"/>
      <c r="BNI88" s="37"/>
      <c r="BNJ88" s="37"/>
      <c r="BNK88" s="75"/>
      <c r="BNL88" s="37"/>
      <c r="BNM88" s="37"/>
      <c r="BNN88" s="37"/>
      <c r="BNO88" s="37"/>
      <c r="BNP88" s="37"/>
      <c r="BNQ88" s="138"/>
      <c r="BNR88" s="37"/>
      <c r="BNS88" s="37"/>
      <c r="BNT88" s="37"/>
      <c r="BNU88" s="37"/>
      <c r="BNV88" s="37"/>
      <c r="BNW88" s="75"/>
      <c r="BNX88" s="37"/>
      <c r="BNY88" s="37"/>
      <c r="BNZ88" s="37"/>
      <c r="BOA88" s="37"/>
      <c r="BOB88" s="37"/>
      <c r="BOC88" s="38"/>
      <c r="BOD88" s="36"/>
      <c r="BOE88" s="65"/>
      <c r="BOF88" s="65"/>
      <c r="BOG88" s="65"/>
      <c r="BOH88" s="37"/>
      <c r="BOI88" s="133"/>
      <c r="BOJ88" s="37"/>
      <c r="BOK88" s="37"/>
      <c r="BOL88" s="37"/>
      <c r="BOM88" s="37"/>
      <c r="BON88" s="37"/>
      <c r="BOO88" s="138"/>
      <c r="BOP88" s="37"/>
      <c r="BOQ88" s="37"/>
      <c r="BOR88" s="37"/>
      <c r="BOS88" s="37"/>
      <c r="BOT88" s="37"/>
      <c r="BOU88" s="75"/>
      <c r="BOV88" s="37"/>
      <c r="BOW88" s="37"/>
      <c r="BOX88" s="37"/>
      <c r="BOY88" s="37"/>
      <c r="BOZ88" s="37"/>
      <c r="BPA88" s="138"/>
      <c r="BPB88" s="37"/>
      <c r="BPC88" s="37"/>
      <c r="BPD88" s="37"/>
      <c r="BPE88" s="37"/>
      <c r="BPF88" s="37"/>
      <c r="BPG88" s="75"/>
      <c r="BPH88" s="65"/>
      <c r="BPI88" s="65"/>
      <c r="BPJ88" s="65"/>
      <c r="BPK88" s="65"/>
      <c r="BPL88" s="37"/>
      <c r="BPM88" s="138"/>
      <c r="BPN88" s="37"/>
      <c r="BPO88" s="37"/>
      <c r="BPP88" s="37"/>
      <c r="BPQ88" s="37"/>
      <c r="BPR88" s="37"/>
      <c r="BPS88" s="75"/>
      <c r="BPT88" s="37"/>
      <c r="BPU88" s="37"/>
      <c r="BPV88" s="37"/>
      <c r="BPW88" s="37"/>
      <c r="BPX88" s="37"/>
      <c r="BPY88" s="138"/>
      <c r="BPZ88" s="37"/>
      <c r="BQA88" s="37"/>
      <c r="BQB88" s="37"/>
      <c r="BQC88" s="37"/>
      <c r="BQD88" s="37"/>
      <c r="BQE88" s="75"/>
      <c r="BQF88" s="37"/>
      <c r="BQG88" s="37"/>
      <c r="BQH88" s="37"/>
      <c r="BQI88" s="37"/>
      <c r="BQJ88" s="37"/>
      <c r="BQK88" s="38"/>
      <c r="BQL88" s="36"/>
      <c r="BQM88" s="65"/>
      <c r="BQN88" s="65"/>
      <c r="BQO88" s="65"/>
      <c r="BQP88" s="37"/>
      <c r="BQQ88" s="133"/>
      <c r="BQR88" s="37"/>
      <c r="BQS88" s="37"/>
      <c r="BQT88" s="37"/>
      <c r="BQU88" s="37"/>
      <c r="BQV88" s="37"/>
      <c r="BQW88" s="138"/>
      <c r="BQX88" s="37"/>
      <c r="BQY88" s="37"/>
      <c r="BQZ88" s="37"/>
      <c r="BRA88" s="37"/>
      <c r="BRB88" s="37"/>
      <c r="BRC88" s="75"/>
      <c r="BRD88" s="37"/>
      <c r="BRE88" s="37"/>
      <c r="BRF88" s="37"/>
      <c r="BRG88" s="37"/>
      <c r="BRH88" s="37"/>
      <c r="BRI88" s="138"/>
      <c r="BRJ88" s="37"/>
      <c r="BRK88" s="37"/>
      <c r="BRL88" s="37"/>
      <c r="BRM88" s="37"/>
      <c r="BRN88" s="37"/>
      <c r="BRO88" s="75"/>
      <c r="BRP88" s="65"/>
      <c r="BRQ88" s="65"/>
      <c r="BRR88" s="65"/>
      <c r="BRS88" s="65"/>
      <c r="BRT88" s="37"/>
      <c r="BRU88" s="138"/>
      <c r="BRV88" s="37"/>
      <c r="BRW88" s="37"/>
      <c r="BRX88" s="37"/>
      <c r="BRY88" s="37"/>
      <c r="BRZ88" s="37"/>
      <c r="BSA88" s="75"/>
      <c r="BSB88" s="37"/>
      <c r="BSC88" s="37"/>
      <c r="BSD88" s="37"/>
      <c r="BSE88" s="37"/>
      <c r="BSF88" s="37"/>
      <c r="BSG88" s="138"/>
      <c r="BSH88" s="37"/>
      <c r="BSI88" s="37"/>
      <c r="BSJ88" s="37"/>
      <c r="BSK88" s="37"/>
      <c r="BSL88" s="37"/>
      <c r="BSM88" s="75"/>
      <c r="BSN88" s="37"/>
      <c r="BSO88" s="37"/>
      <c r="BSP88" s="37"/>
      <c r="BSQ88" s="37"/>
      <c r="BSR88" s="37"/>
      <c r="BSS88" s="38"/>
      <c r="BST88" s="36"/>
      <c r="BSU88" s="65"/>
      <c r="BSV88" s="65"/>
      <c r="BSW88" s="65"/>
      <c r="BSX88" s="37"/>
      <c r="BSY88" s="133"/>
      <c r="BSZ88" s="37"/>
      <c r="BTA88" s="37"/>
      <c r="BTB88" s="37"/>
      <c r="BTC88" s="37"/>
      <c r="BTD88" s="37"/>
      <c r="BTE88" s="138"/>
      <c r="BTF88" s="37"/>
      <c r="BTG88" s="37"/>
      <c r="BTH88" s="37"/>
      <c r="BTI88" s="37"/>
      <c r="BTJ88" s="37"/>
      <c r="BTK88" s="75"/>
      <c r="BTL88" s="37"/>
      <c r="BTM88" s="37"/>
      <c r="BTN88" s="37"/>
      <c r="BTO88" s="37"/>
      <c r="BTP88" s="37"/>
      <c r="BTQ88" s="138"/>
      <c r="BTR88" s="37"/>
      <c r="BTS88" s="37"/>
      <c r="BTT88" s="37"/>
      <c r="BTU88" s="37"/>
      <c r="BTV88" s="37"/>
      <c r="BTW88" s="75"/>
      <c r="BTX88" s="65"/>
      <c r="BTY88" s="65"/>
      <c r="BTZ88" s="65"/>
      <c r="BUA88" s="65"/>
      <c r="BUB88" s="37"/>
      <c r="BUC88" s="138"/>
      <c r="BUD88" s="37"/>
      <c r="BUE88" s="37"/>
      <c r="BUF88" s="37"/>
      <c r="BUG88" s="37"/>
      <c r="BUH88" s="37"/>
      <c r="BUI88" s="75"/>
      <c r="BUJ88" s="37"/>
      <c r="BUK88" s="37"/>
      <c r="BUL88" s="37"/>
      <c r="BUM88" s="37"/>
      <c r="BUN88" s="37"/>
      <c r="BUO88" s="138"/>
      <c r="BUP88" s="37"/>
      <c r="BUQ88" s="37"/>
      <c r="BUR88" s="37"/>
      <c r="BUS88" s="37"/>
      <c r="BUT88" s="37"/>
      <c r="BUU88" s="75"/>
      <c r="BUV88" s="37"/>
      <c r="BUW88" s="37"/>
      <c r="BUX88" s="37"/>
      <c r="BUY88" s="37"/>
      <c r="BUZ88" s="37"/>
      <c r="BVA88" s="38"/>
      <c r="BVB88" s="36"/>
      <c r="BVC88" s="65"/>
      <c r="BVD88" s="65"/>
      <c r="BVE88" s="65"/>
      <c r="BVF88" s="37"/>
      <c r="BVG88" s="133"/>
      <c r="BVH88" s="37"/>
      <c r="BVI88" s="37"/>
      <c r="BVJ88" s="37"/>
      <c r="BVK88" s="37"/>
      <c r="BVL88" s="37"/>
      <c r="BVM88" s="138"/>
      <c r="BVN88" s="37"/>
      <c r="BVO88" s="37"/>
      <c r="BVP88" s="37"/>
      <c r="BVQ88" s="37"/>
      <c r="BVR88" s="37"/>
      <c r="BVS88" s="75"/>
      <c r="BVT88" s="37"/>
      <c r="BVU88" s="37"/>
      <c r="BVV88" s="37"/>
      <c r="BVW88" s="37"/>
      <c r="BVX88" s="37"/>
      <c r="BVY88" s="138"/>
      <c r="BVZ88" s="37"/>
      <c r="BWA88" s="37"/>
      <c r="BWB88" s="37"/>
      <c r="BWC88" s="37"/>
      <c r="BWD88" s="37"/>
      <c r="BWE88" s="75"/>
      <c r="BWF88" s="65"/>
      <c r="BWG88" s="65"/>
      <c r="BWH88" s="65"/>
      <c r="BWI88" s="65"/>
      <c r="BWJ88" s="37"/>
      <c r="BWK88" s="138"/>
      <c r="BWL88" s="37"/>
      <c r="BWM88" s="37"/>
      <c r="BWN88" s="37"/>
      <c r="BWO88" s="37"/>
      <c r="BWP88" s="37"/>
      <c r="BWQ88" s="75"/>
      <c r="BWR88" s="37"/>
      <c r="BWS88" s="37"/>
      <c r="BWT88" s="37"/>
      <c r="BWU88" s="37"/>
      <c r="BWV88" s="37"/>
      <c r="BWW88" s="138"/>
      <c r="BWX88" s="37"/>
      <c r="BWY88" s="37"/>
      <c r="BWZ88" s="37"/>
      <c r="BXA88" s="37"/>
      <c r="BXB88" s="37"/>
      <c r="BXC88" s="75"/>
      <c r="BXD88" s="37"/>
      <c r="BXE88" s="37"/>
      <c r="BXF88" s="37"/>
      <c r="BXG88" s="37"/>
      <c r="BXH88" s="37"/>
      <c r="BXI88" s="38"/>
      <c r="BXJ88" s="36"/>
      <c r="BXK88" s="65"/>
      <c r="BXL88" s="65"/>
      <c r="BXM88" s="65"/>
      <c r="BXN88" s="37"/>
      <c r="BXO88" s="133"/>
      <c r="BXP88" s="37"/>
      <c r="BXQ88" s="37"/>
      <c r="BXR88" s="37"/>
      <c r="BXS88" s="37"/>
      <c r="BXT88" s="37"/>
      <c r="BXU88" s="138"/>
      <c r="BXV88" s="37"/>
      <c r="BXW88" s="37"/>
      <c r="BXX88" s="37"/>
      <c r="BXY88" s="37"/>
      <c r="BXZ88" s="37"/>
      <c r="BYA88" s="75"/>
      <c r="BYB88" s="37"/>
      <c r="BYC88" s="37"/>
      <c r="BYD88" s="37"/>
      <c r="BYE88" s="37"/>
      <c r="BYF88" s="37"/>
      <c r="BYG88" s="138"/>
      <c r="BYH88" s="37"/>
      <c r="BYI88" s="37"/>
      <c r="BYJ88" s="37"/>
      <c r="BYK88" s="37"/>
      <c r="BYL88" s="37"/>
      <c r="BYM88" s="75"/>
      <c r="BYN88" s="65"/>
      <c r="BYO88" s="65"/>
      <c r="BYP88" s="65"/>
      <c r="BYQ88" s="65"/>
      <c r="BYR88" s="37"/>
      <c r="BYS88" s="138"/>
      <c r="BYT88" s="37"/>
      <c r="BYU88" s="37"/>
      <c r="BYV88" s="37"/>
      <c r="BYW88" s="37"/>
      <c r="BYX88" s="37"/>
      <c r="BYY88" s="75"/>
      <c r="BYZ88" s="37"/>
      <c r="BZA88" s="37"/>
      <c r="BZB88" s="37"/>
      <c r="BZC88" s="37"/>
      <c r="BZD88" s="37"/>
      <c r="BZE88" s="138"/>
      <c r="BZF88" s="37"/>
      <c r="BZG88" s="37"/>
      <c r="BZH88" s="37"/>
      <c r="BZI88" s="37"/>
      <c r="BZJ88" s="37"/>
      <c r="BZK88" s="75"/>
      <c r="BZL88" s="37"/>
      <c r="BZM88" s="37"/>
      <c r="BZN88" s="37"/>
      <c r="BZO88" s="37"/>
      <c r="BZP88" s="37"/>
      <c r="BZQ88" s="38"/>
      <c r="BZR88" s="36"/>
      <c r="BZS88" s="65"/>
      <c r="BZT88" s="65"/>
      <c r="BZU88" s="65"/>
      <c r="BZV88" s="37"/>
      <c r="BZW88" s="133"/>
      <c r="BZX88" s="37"/>
      <c r="BZY88" s="37"/>
      <c r="BZZ88" s="37"/>
      <c r="CAA88" s="37"/>
      <c r="CAB88" s="37"/>
      <c r="CAC88" s="138"/>
      <c r="CAD88" s="37"/>
      <c r="CAE88" s="37"/>
      <c r="CAF88" s="37"/>
      <c r="CAG88" s="37"/>
      <c r="CAH88" s="37"/>
      <c r="CAI88" s="75"/>
      <c r="CAJ88" s="37"/>
      <c r="CAK88" s="37"/>
      <c r="CAL88" s="37"/>
      <c r="CAM88" s="37"/>
      <c r="CAN88" s="37"/>
      <c r="CAO88" s="138"/>
      <c r="CAP88" s="37"/>
      <c r="CAQ88" s="37"/>
      <c r="CAR88" s="37"/>
      <c r="CAS88" s="37"/>
      <c r="CAT88" s="37"/>
      <c r="CAU88" s="75"/>
      <c r="CAV88" s="65"/>
      <c r="CAW88" s="65"/>
      <c r="CAX88" s="65"/>
      <c r="CAY88" s="65"/>
      <c r="CAZ88" s="37"/>
      <c r="CBA88" s="138"/>
      <c r="CBB88" s="37"/>
      <c r="CBC88" s="37"/>
      <c r="CBD88" s="37"/>
      <c r="CBE88" s="37"/>
      <c r="CBF88" s="37"/>
      <c r="CBG88" s="75"/>
      <c r="CBH88" s="37"/>
      <c r="CBI88" s="37"/>
      <c r="CBJ88" s="37"/>
      <c r="CBK88" s="37"/>
      <c r="CBL88" s="37"/>
      <c r="CBM88" s="138"/>
      <c r="CBN88" s="37"/>
      <c r="CBO88" s="37"/>
      <c r="CBP88" s="37"/>
      <c r="CBQ88" s="37"/>
      <c r="CBR88" s="37"/>
      <c r="CBS88" s="75"/>
      <c r="CBT88" s="37"/>
      <c r="CBU88" s="37"/>
      <c r="CBV88" s="37"/>
      <c r="CBW88" s="37"/>
      <c r="CBX88" s="37"/>
      <c r="CBY88" s="38"/>
      <c r="CBZ88" s="36"/>
      <c r="CCA88" s="65"/>
      <c r="CCB88" s="65"/>
      <c r="CCC88" s="65"/>
      <c r="CCD88" s="37"/>
      <c r="CCE88" s="133"/>
      <c r="CCF88" s="37"/>
      <c r="CCG88" s="37"/>
      <c r="CCH88" s="37"/>
      <c r="CCI88" s="37"/>
      <c r="CCJ88" s="37"/>
      <c r="CCK88" s="138"/>
      <c r="CCL88" s="37"/>
      <c r="CCM88" s="37"/>
      <c r="CCN88" s="37"/>
      <c r="CCO88" s="37"/>
      <c r="CCP88" s="37"/>
      <c r="CCQ88" s="75"/>
      <c r="CCR88" s="37"/>
      <c r="CCS88" s="37"/>
      <c r="CCT88" s="37"/>
      <c r="CCU88" s="37"/>
      <c r="CCV88" s="37"/>
      <c r="CCW88" s="138"/>
      <c r="CCX88" s="37"/>
      <c r="CCY88" s="37"/>
      <c r="CCZ88" s="37"/>
      <c r="CDA88" s="37"/>
      <c r="CDB88" s="37"/>
      <c r="CDC88" s="75"/>
      <c r="CDD88" s="65"/>
      <c r="CDE88" s="65"/>
      <c r="CDF88" s="65"/>
      <c r="CDG88" s="65"/>
      <c r="CDH88" s="37"/>
      <c r="CDI88" s="138"/>
      <c r="CDJ88" s="37"/>
      <c r="CDK88" s="37"/>
      <c r="CDL88" s="37"/>
      <c r="CDM88" s="37"/>
      <c r="CDN88" s="37"/>
      <c r="CDO88" s="75"/>
      <c r="CDP88" s="37"/>
      <c r="CDQ88" s="37"/>
      <c r="CDR88" s="37"/>
      <c r="CDS88" s="37"/>
      <c r="CDT88" s="37"/>
      <c r="CDU88" s="138"/>
      <c r="CDV88" s="37"/>
      <c r="CDW88" s="37"/>
      <c r="CDX88" s="37"/>
      <c r="CDY88" s="37"/>
      <c r="CDZ88" s="37"/>
      <c r="CEA88" s="75"/>
      <c r="CEB88" s="37"/>
      <c r="CEC88" s="37"/>
      <c r="CED88" s="37"/>
      <c r="CEE88" s="37"/>
      <c r="CEF88" s="37"/>
      <c r="CEG88" s="38"/>
      <c r="CEH88" s="36"/>
      <c r="CEI88" s="65"/>
      <c r="CEJ88" s="65"/>
      <c r="CEK88" s="65"/>
      <c r="CEL88" s="37"/>
      <c r="CEM88" s="133"/>
      <c r="CEN88" s="37"/>
      <c r="CEO88" s="37"/>
      <c r="CEP88" s="37"/>
      <c r="CEQ88" s="37"/>
      <c r="CER88" s="37"/>
      <c r="CES88" s="138"/>
      <c r="CET88" s="37"/>
      <c r="CEU88" s="37"/>
      <c r="CEV88" s="37"/>
      <c r="CEW88" s="37"/>
      <c r="CEX88" s="37"/>
      <c r="CEY88" s="75"/>
      <c r="CEZ88" s="37"/>
      <c r="CFA88" s="37"/>
      <c r="CFB88" s="37"/>
      <c r="CFC88" s="37"/>
      <c r="CFD88" s="37"/>
      <c r="CFE88" s="138"/>
      <c r="CFF88" s="37"/>
      <c r="CFG88" s="37"/>
      <c r="CFH88" s="37"/>
      <c r="CFI88" s="37"/>
      <c r="CFJ88" s="37"/>
      <c r="CFK88" s="75"/>
      <c r="CFL88" s="65"/>
      <c r="CFM88" s="65"/>
      <c r="CFN88" s="65"/>
      <c r="CFO88" s="65"/>
      <c r="CFP88" s="37"/>
      <c r="CFQ88" s="138"/>
      <c r="CFR88" s="37"/>
      <c r="CFS88" s="37"/>
      <c r="CFT88" s="37"/>
      <c r="CFU88" s="37"/>
      <c r="CFV88" s="37"/>
      <c r="CFW88" s="75"/>
      <c r="CFX88" s="37"/>
      <c r="CFY88" s="37"/>
      <c r="CFZ88" s="37"/>
      <c r="CGA88" s="37"/>
      <c r="CGB88" s="37"/>
      <c r="CGC88" s="138"/>
      <c r="CGD88" s="37"/>
      <c r="CGE88" s="37"/>
      <c r="CGF88" s="37"/>
      <c r="CGG88" s="37"/>
      <c r="CGH88" s="37"/>
      <c r="CGI88" s="75"/>
      <c r="CGJ88" s="37"/>
      <c r="CGK88" s="37"/>
      <c r="CGL88" s="37"/>
      <c r="CGM88" s="37"/>
      <c r="CGN88" s="37"/>
      <c r="CGO88" s="38"/>
      <c r="CGP88" s="36"/>
      <c r="CGQ88" s="65"/>
      <c r="CGR88" s="65"/>
      <c r="CGS88" s="65"/>
      <c r="CGT88" s="37"/>
      <c r="CGU88" s="133"/>
      <c r="CGV88" s="37"/>
      <c r="CGW88" s="37"/>
      <c r="CGX88" s="37"/>
      <c r="CGY88" s="37"/>
      <c r="CGZ88" s="37"/>
      <c r="CHA88" s="138"/>
      <c r="CHB88" s="37"/>
      <c r="CHC88" s="37"/>
      <c r="CHD88" s="37"/>
      <c r="CHE88" s="37"/>
      <c r="CHF88" s="37"/>
      <c r="CHG88" s="75"/>
      <c r="CHH88" s="37"/>
      <c r="CHI88" s="37"/>
      <c r="CHJ88" s="37"/>
      <c r="CHK88" s="37"/>
      <c r="CHL88" s="37"/>
      <c r="CHM88" s="138"/>
      <c r="CHN88" s="37"/>
      <c r="CHO88" s="37"/>
      <c r="CHP88" s="37"/>
      <c r="CHQ88" s="37"/>
      <c r="CHR88" s="37"/>
      <c r="CHS88" s="75"/>
      <c r="CHT88" s="65"/>
      <c r="CHU88" s="65"/>
      <c r="CHV88" s="65"/>
      <c r="CHW88" s="65"/>
      <c r="CHX88" s="37"/>
      <c r="CHY88" s="138"/>
      <c r="CHZ88" s="37"/>
      <c r="CIA88" s="37"/>
      <c r="CIB88" s="37"/>
      <c r="CIC88" s="37"/>
      <c r="CID88" s="37"/>
      <c r="CIE88" s="75"/>
      <c r="CIF88" s="37"/>
      <c r="CIG88" s="37"/>
      <c r="CIH88" s="37"/>
      <c r="CII88" s="37"/>
      <c r="CIJ88" s="37"/>
      <c r="CIK88" s="138"/>
      <c r="CIL88" s="37"/>
      <c r="CIM88" s="37"/>
      <c r="CIN88" s="37"/>
      <c r="CIO88" s="37"/>
      <c r="CIP88" s="37"/>
      <c r="CIQ88" s="75"/>
      <c r="CIR88" s="37"/>
      <c r="CIS88" s="37"/>
      <c r="CIT88" s="37"/>
      <c r="CIU88" s="37"/>
      <c r="CIV88" s="37"/>
      <c r="CIW88" s="38"/>
      <c r="CIX88" s="36"/>
      <c r="CIY88" s="65"/>
      <c r="CIZ88" s="65"/>
      <c r="CJA88" s="65"/>
      <c r="CJB88" s="37"/>
      <c r="CJC88" s="133"/>
      <c r="CJD88" s="37"/>
      <c r="CJE88" s="37"/>
      <c r="CJF88" s="37"/>
      <c r="CJG88" s="37"/>
      <c r="CJH88" s="37"/>
      <c r="CJI88" s="138"/>
      <c r="CJJ88" s="37"/>
      <c r="CJK88" s="37"/>
      <c r="CJL88" s="37"/>
      <c r="CJM88" s="37"/>
      <c r="CJN88" s="37"/>
      <c r="CJO88" s="75"/>
      <c r="CJP88" s="37"/>
      <c r="CJQ88" s="37"/>
      <c r="CJR88" s="37"/>
      <c r="CJS88" s="37"/>
      <c r="CJT88" s="37"/>
      <c r="CJU88" s="138"/>
      <c r="CJV88" s="37"/>
      <c r="CJW88" s="37"/>
      <c r="CJX88" s="37"/>
      <c r="CJY88" s="37"/>
      <c r="CJZ88" s="37"/>
      <c r="CKA88" s="75"/>
      <c r="CKB88" s="65"/>
      <c r="CKC88" s="65"/>
      <c r="CKD88" s="65"/>
      <c r="CKE88" s="65"/>
      <c r="CKF88" s="37"/>
      <c r="CKG88" s="138"/>
      <c r="CKH88" s="37"/>
      <c r="CKI88" s="37"/>
      <c r="CKJ88" s="37"/>
      <c r="CKK88" s="37"/>
      <c r="CKL88" s="37"/>
      <c r="CKM88" s="75"/>
      <c r="CKN88" s="37"/>
      <c r="CKO88" s="37"/>
      <c r="CKP88" s="37"/>
      <c r="CKQ88" s="37"/>
      <c r="CKR88" s="37"/>
      <c r="CKS88" s="138"/>
      <c r="CKT88" s="37"/>
      <c r="CKU88" s="37"/>
      <c r="CKV88" s="37"/>
      <c r="CKW88" s="37"/>
      <c r="CKX88" s="37"/>
      <c r="CKY88" s="75"/>
      <c r="CKZ88" s="37"/>
      <c r="CLA88" s="37"/>
      <c r="CLB88" s="37"/>
      <c r="CLC88" s="37"/>
      <c r="CLD88" s="37"/>
      <c r="CLE88" s="38"/>
      <c r="CLF88" s="36"/>
      <c r="CLG88" s="65"/>
      <c r="CLH88" s="65"/>
      <c r="CLI88" s="65"/>
      <c r="CLJ88" s="37"/>
      <c r="CLK88" s="133"/>
      <c r="CLL88" s="37"/>
      <c r="CLM88" s="37"/>
      <c r="CLN88" s="37"/>
      <c r="CLO88" s="37"/>
      <c r="CLP88" s="37"/>
      <c r="CLQ88" s="138"/>
      <c r="CLR88" s="37"/>
      <c r="CLS88" s="37"/>
      <c r="CLT88" s="37"/>
      <c r="CLU88" s="37"/>
      <c r="CLV88" s="37"/>
      <c r="CLW88" s="75"/>
      <c r="CLX88" s="37"/>
      <c r="CLY88" s="37"/>
      <c r="CLZ88" s="37"/>
      <c r="CMA88" s="37"/>
      <c r="CMB88" s="37"/>
      <c r="CMC88" s="138"/>
      <c r="CMD88" s="37"/>
      <c r="CME88" s="37"/>
      <c r="CMF88" s="37"/>
      <c r="CMG88" s="37"/>
      <c r="CMH88" s="37"/>
      <c r="CMI88" s="75"/>
      <c r="CMJ88" s="65"/>
      <c r="CMK88" s="65"/>
      <c r="CML88" s="65"/>
      <c r="CMM88" s="65"/>
      <c r="CMN88" s="37"/>
      <c r="CMO88" s="138"/>
      <c r="CMP88" s="37"/>
      <c r="CMQ88" s="37"/>
      <c r="CMR88" s="37"/>
      <c r="CMS88" s="37"/>
      <c r="CMT88" s="37"/>
      <c r="CMU88" s="75"/>
      <c r="CMV88" s="37"/>
      <c r="CMW88" s="37"/>
      <c r="CMX88" s="37"/>
      <c r="CMY88" s="37"/>
      <c r="CMZ88" s="37"/>
      <c r="CNA88" s="138"/>
      <c r="CNB88" s="37"/>
      <c r="CNC88" s="37"/>
      <c r="CND88" s="37"/>
      <c r="CNE88" s="37"/>
      <c r="CNF88" s="37"/>
      <c r="CNG88" s="75"/>
      <c r="CNH88" s="37"/>
      <c r="CNI88" s="37"/>
      <c r="CNJ88" s="37"/>
      <c r="CNK88" s="37"/>
      <c r="CNL88" s="37"/>
      <c r="CNM88" s="38"/>
      <c r="CNN88" s="36"/>
      <c r="CNO88" s="65"/>
      <c r="CNP88" s="65"/>
      <c r="CNQ88" s="65"/>
      <c r="CNR88" s="37"/>
      <c r="CNS88" s="133"/>
      <c r="CNT88" s="37"/>
      <c r="CNU88" s="37"/>
      <c r="CNV88" s="37"/>
      <c r="CNW88" s="37"/>
      <c r="CNX88" s="37"/>
      <c r="CNY88" s="138"/>
      <c r="CNZ88" s="37"/>
      <c r="COA88" s="37"/>
      <c r="COB88" s="37"/>
      <c r="COC88" s="37"/>
      <c r="COD88" s="37"/>
      <c r="COE88" s="75"/>
      <c r="COF88" s="37"/>
      <c r="COG88" s="37"/>
      <c r="COH88" s="37"/>
      <c r="COI88" s="37"/>
      <c r="COJ88" s="37"/>
      <c r="COK88" s="138"/>
      <c r="COL88" s="37"/>
      <c r="COM88" s="37"/>
      <c r="CON88" s="37"/>
      <c r="COO88" s="37"/>
      <c r="COP88" s="37"/>
      <c r="COQ88" s="75"/>
      <c r="COR88" s="65"/>
      <c r="COS88" s="65"/>
      <c r="COT88" s="65"/>
      <c r="COU88" s="65"/>
      <c r="COV88" s="37"/>
      <c r="COW88" s="138"/>
      <c r="COX88" s="37"/>
      <c r="COY88" s="37"/>
      <c r="COZ88" s="37"/>
      <c r="CPA88" s="37"/>
      <c r="CPB88" s="37"/>
      <c r="CPC88" s="75"/>
      <c r="CPD88" s="37"/>
      <c r="CPE88" s="37"/>
      <c r="CPF88" s="37"/>
      <c r="CPG88" s="37"/>
      <c r="CPH88" s="37"/>
      <c r="CPI88" s="138"/>
      <c r="CPJ88" s="37"/>
      <c r="CPK88" s="37"/>
      <c r="CPL88" s="37"/>
      <c r="CPM88" s="37"/>
      <c r="CPN88" s="37"/>
      <c r="CPO88" s="75"/>
      <c r="CPP88" s="37"/>
      <c r="CPQ88" s="37"/>
      <c r="CPR88" s="37"/>
      <c r="CPS88" s="37"/>
      <c r="CPT88" s="37"/>
      <c r="CPU88" s="38"/>
      <c r="CPV88" s="36"/>
      <c r="CPW88" s="65"/>
      <c r="CPX88" s="65"/>
      <c r="CPY88" s="65"/>
      <c r="CPZ88" s="37"/>
      <c r="CQA88" s="133"/>
      <c r="CQB88" s="37"/>
      <c r="CQC88" s="37"/>
      <c r="CQD88" s="37"/>
      <c r="CQE88" s="37"/>
      <c r="CQF88" s="37"/>
      <c r="CQG88" s="138"/>
      <c r="CQH88" s="37"/>
      <c r="CQI88" s="37"/>
      <c r="CQJ88" s="37"/>
      <c r="CQK88" s="37"/>
      <c r="CQL88" s="37"/>
      <c r="CQM88" s="75"/>
      <c r="CQN88" s="37"/>
      <c r="CQO88" s="37"/>
      <c r="CQP88" s="37"/>
      <c r="CQQ88" s="37"/>
      <c r="CQR88" s="37"/>
      <c r="CQS88" s="138"/>
      <c r="CQT88" s="37"/>
      <c r="CQU88" s="37"/>
      <c r="CQV88" s="37"/>
      <c r="CQW88" s="37"/>
      <c r="CQX88" s="37"/>
      <c r="CQY88" s="75"/>
      <c r="CQZ88" s="65"/>
      <c r="CRA88" s="65"/>
      <c r="CRB88" s="65"/>
      <c r="CRC88" s="65"/>
      <c r="CRD88" s="37"/>
      <c r="CRE88" s="138"/>
      <c r="CRF88" s="37"/>
      <c r="CRG88" s="37"/>
      <c r="CRH88" s="37"/>
      <c r="CRI88" s="37"/>
      <c r="CRJ88" s="37"/>
      <c r="CRK88" s="75"/>
      <c r="CRL88" s="37"/>
      <c r="CRM88" s="37"/>
      <c r="CRN88" s="37"/>
      <c r="CRO88" s="37"/>
      <c r="CRP88" s="37"/>
      <c r="CRQ88" s="138"/>
      <c r="CRR88" s="37"/>
      <c r="CRS88" s="37"/>
      <c r="CRT88" s="37"/>
      <c r="CRU88" s="37"/>
      <c r="CRV88" s="37"/>
      <c r="CRW88" s="75"/>
      <c r="CRX88" s="37"/>
      <c r="CRY88" s="37"/>
      <c r="CRZ88" s="37"/>
      <c r="CSA88" s="37"/>
      <c r="CSB88" s="37"/>
      <c r="CSC88" s="38"/>
      <c r="CSD88" s="90"/>
    </row>
    <row r="89" spans="1:2526" ht="20.100000000000001" customHeight="1" x14ac:dyDescent="0.25">
      <c r="A89" s="100" t="s">
        <v>18</v>
      </c>
      <c r="B89" s="63"/>
      <c r="C89" s="211"/>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32"/>
      <c r="BLW89" s="64"/>
      <c r="BLX89" s="64"/>
      <c r="BLY89" s="64"/>
      <c r="BLZ89" s="33"/>
      <c r="BMA89" s="132"/>
      <c r="BMB89" s="33"/>
      <c r="BMC89" s="33"/>
      <c r="BMD89" s="33"/>
      <c r="BME89" s="33"/>
      <c r="BMF89" s="33"/>
      <c r="BMG89" s="137"/>
      <c r="BMH89" s="33"/>
      <c r="BMI89" s="33"/>
      <c r="BMJ89" s="33"/>
      <c r="BMK89" s="33"/>
      <c r="BML89" s="33"/>
      <c r="BMM89" s="74"/>
      <c r="BMN89" s="33"/>
      <c r="BMO89" s="33"/>
      <c r="BMP89" s="33"/>
      <c r="BMQ89" s="33"/>
      <c r="BMR89" s="33"/>
      <c r="BMS89" s="137"/>
      <c r="BMT89" s="33"/>
      <c r="BMU89" s="33"/>
      <c r="BMV89" s="33"/>
      <c r="BMW89" s="33"/>
      <c r="BMX89" s="33"/>
      <c r="BMY89" s="74"/>
      <c r="BMZ89" s="64"/>
      <c r="BNA89" s="64"/>
      <c r="BNB89" s="64"/>
      <c r="BNC89" s="64"/>
      <c r="BND89" s="33"/>
      <c r="BNE89" s="137"/>
      <c r="BNF89" s="33"/>
      <c r="BNG89" s="33"/>
      <c r="BNH89" s="33"/>
      <c r="BNI89" s="33"/>
      <c r="BNJ89" s="33"/>
      <c r="BNK89" s="74"/>
      <c r="BNL89" s="33"/>
      <c r="BNM89" s="33"/>
      <c r="BNN89" s="33"/>
      <c r="BNO89" s="33"/>
      <c r="BNP89" s="33"/>
      <c r="BNQ89" s="137"/>
      <c r="BNR89" s="33"/>
      <c r="BNS89" s="33"/>
      <c r="BNT89" s="33"/>
      <c r="BNU89" s="33"/>
      <c r="BNV89" s="33"/>
      <c r="BNW89" s="74"/>
      <c r="BNX89" s="33"/>
      <c r="BNY89" s="33"/>
      <c r="BNZ89" s="33"/>
      <c r="BOA89" s="33"/>
      <c r="BOB89" s="33"/>
      <c r="BOC89" s="34"/>
      <c r="BOD89" s="32"/>
      <c r="BOE89" s="64"/>
      <c r="BOF89" s="64"/>
      <c r="BOG89" s="64"/>
      <c r="BOH89" s="33"/>
      <c r="BOI89" s="132"/>
      <c r="BOJ89" s="33"/>
      <c r="BOK89" s="33"/>
      <c r="BOL89" s="33"/>
      <c r="BOM89" s="33"/>
      <c r="BON89" s="33"/>
      <c r="BOO89" s="137"/>
      <c r="BOP89" s="33"/>
      <c r="BOQ89" s="33"/>
      <c r="BOR89" s="33"/>
      <c r="BOS89" s="33"/>
      <c r="BOT89" s="33"/>
      <c r="BOU89" s="74"/>
      <c r="BOV89" s="33"/>
      <c r="BOW89" s="33"/>
      <c r="BOX89" s="33"/>
      <c r="BOY89" s="33"/>
      <c r="BOZ89" s="33"/>
      <c r="BPA89" s="137"/>
      <c r="BPB89" s="33"/>
      <c r="BPC89" s="33"/>
      <c r="BPD89" s="33"/>
      <c r="BPE89" s="33"/>
      <c r="BPF89" s="33"/>
      <c r="BPG89" s="74"/>
      <c r="BPH89" s="64"/>
      <c r="BPI89" s="64"/>
      <c r="BPJ89" s="64"/>
      <c r="BPK89" s="64"/>
      <c r="BPL89" s="33"/>
      <c r="BPM89" s="137"/>
      <c r="BPN89" s="33"/>
      <c r="BPO89" s="33"/>
      <c r="BPP89" s="33"/>
      <c r="BPQ89" s="33"/>
      <c r="BPR89" s="33"/>
      <c r="BPS89" s="74"/>
      <c r="BPT89" s="33"/>
      <c r="BPU89" s="33"/>
      <c r="BPV89" s="33"/>
      <c r="BPW89" s="33"/>
      <c r="BPX89" s="33"/>
      <c r="BPY89" s="137"/>
      <c r="BPZ89" s="33"/>
      <c r="BQA89" s="33"/>
      <c r="BQB89" s="33"/>
      <c r="BQC89" s="33"/>
      <c r="BQD89" s="33"/>
      <c r="BQE89" s="74"/>
      <c r="BQF89" s="33"/>
      <c r="BQG89" s="33"/>
      <c r="BQH89" s="33"/>
      <c r="BQI89" s="33"/>
      <c r="BQJ89" s="33"/>
      <c r="BQK89" s="34"/>
      <c r="BQL89" s="32"/>
      <c r="BQM89" s="64"/>
      <c r="BQN89" s="64"/>
      <c r="BQO89" s="64"/>
      <c r="BQP89" s="33"/>
      <c r="BQQ89" s="132"/>
      <c r="BQR89" s="33"/>
      <c r="BQS89" s="33"/>
      <c r="BQT89" s="33"/>
      <c r="BQU89" s="33"/>
      <c r="BQV89" s="33"/>
      <c r="BQW89" s="137"/>
      <c r="BQX89" s="33"/>
      <c r="BQY89" s="33"/>
      <c r="BQZ89" s="33"/>
      <c r="BRA89" s="33"/>
      <c r="BRB89" s="33"/>
      <c r="BRC89" s="74"/>
      <c r="BRD89" s="33"/>
      <c r="BRE89" s="33"/>
      <c r="BRF89" s="33"/>
      <c r="BRG89" s="33"/>
      <c r="BRH89" s="33"/>
      <c r="BRI89" s="137"/>
      <c r="BRJ89" s="33"/>
      <c r="BRK89" s="33"/>
      <c r="BRL89" s="33"/>
      <c r="BRM89" s="33"/>
      <c r="BRN89" s="33"/>
      <c r="BRO89" s="74"/>
      <c r="BRP89" s="64"/>
      <c r="BRQ89" s="64"/>
      <c r="BRR89" s="64"/>
      <c r="BRS89" s="64"/>
      <c r="BRT89" s="33"/>
      <c r="BRU89" s="137"/>
      <c r="BRV89" s="33"/>
      <c r="BRW89" s="33"/>
      <c r="BRX89" s="33"/>
      <c r="BRY89" s="33"/>
      <c r="BRZ89" s="33"/>
      <c r="BSA89" s="74"/>
      <c r="BSB89" s="33"/>
      <c r="BSC89" s="33"/>
      <c r="BSD89" s="33"/>
      <c r="BSE89" s="33"/>
      <c r="BSF89" s="33"/>
      <c r="BSG89" s="137"/>
      <c r="BSH89" s="33"/>
      <c r="BSI89" s="33"/>
      <c r="BSJ89" s="33"/>
      <c r="BSK89" s="33"/>
      <c r="BSL89" s="33"/>
      <c r="BSM89" s="74"/>
      <c r="BSN89" s="33"/>
      <c r="BSO89" s="33"/>
      <c r="BSP89" s="33"/>
      <c r="BSQ89" s="33"/>
      <c r="BSR89" s="33"/>
      <c r="BSS89" s="34"/>
      <c r="BST89" s="32"/>
      <c r="BSU89" s="64"/>
      <c r="BSV89" s="64"/>
      <c r="BSW89" s="64"/>
      <c r="BSX89" s="33"/>
      <c r="BSY89" s="132"/>
      <c r="BSZ89" s="33"/>
      <c r="BTA89" s="33"/>
      <c r="BTB89" s="33"/>
      <c r="BTC89" s="33"/>
      <c r="BTD89" s="33"/>
      <c r="BTE89" s="137"/>
      <c r="BTF89" s="33"/>
      <c r="BTG89" s="33"/>
      <c r="BTH89" s="33"/>
      <c r="BTI89" s="33"/>
      <c r="BTJ89" s="33"/>
      <c r="BTK89" s="74"/>
      <c r="BTL89" s="33"/>
      <c r="BTM89" s="33"/>
      <c r="BTN89" s="33"/>
      <c r="BTO89" s="33"/>
      <c r="BTP89" s="33"/>
      <c r="BTQ89" s="137"/>
      <c r="BTR89" s="33"/>
      <c r="BTS89" s="33"/>
      <c r="BTT89" s="33"/>
      <c r="BTU89" s="33"/>
      <c r="BTV89" s="33"/>
      <c r="BTW89" s="74"/>
      <c r="BTX89" s="64"/>
      <c r="BTY89" s="64"/>
      <c r="BTZ89" s="64"/>
      <c r="BUA89" s="64"/>
      <c r="BUB89" s="33"/>
      <c r="BUC89" s="137"/>
      <c r="BUD89" s="33"/>
      <c r="BUE89" s="33"/>
      <c r="BUF89" s="33"/>
      <c r="BUG89" s="33"/>
      <c r="BUH89" s="33"/>
      <c r="BUI89" s="74"/>
      <c r="BUJ89" s="33"/>
      <c r="BUK89" s="33"/>
      <c r="BUL89" s="33"/>
      <c r="BUM89" s="33"/>
      <c r="BUN89" s="33"/>
      <c r="BUO89" s="137"/>
      <c r="BUP89" s="33"/>
      <c r="BUQ89" s="33"/>
      <c r="BUR89" s="33"/>
      <c r="BUS89" s="33"/>
      <c r="BUT89" s="33"/>
      <c r="BUU89" s="74"/>
      <c r="BUV89" s="33"/>
      <c r="BUW89" s="33"/>
      <c r="BUX89" s="33"/>
      <c r="BUY89" s="33"/>
      <c r="BUZ89" s="33"/>
      <c r="BVA89" s="34"/>
      <c r="BVB89" s="32"/>
      <c r="BVC89" s="64"/>
      <c r="BVD89" s="64"/>
      <c r="BVE89" s="64"/>
      <c r="BVF89" s="33"/>
      <c r="BVG89" s="132"/>
      <c r="BVH89" s="33"/>
      <c r="BVI89" s="33"/>
      <c r="BVJ89" s="33"/>
      <c r="BVK89" s="33"/>
      <c r="BVL89" s="33"/>
      <c r="BVM89" s="137"/>
      <c r="BVN89" s="33"/>
      <c r="BVO89" s="33"/>
      <c r="BVP89" s="33"/>
      <c r="BVQ89" s="33"/>
      <c r="BVR89" s="33"/>
      <c r="BVS89" s="74"/>
      <c r="BVT89" s="33"/>
      <c r="BVU89" s="33"/>
      <c r="BVV89" s="33"/>
      <c r="BVW89" s="33"/>
      <c r="BVX89" s="33"/>
      <c r="BVY89" s="137"/>
      <c r="BVZ89" s="33"/>
      <c r="BWA89" s="33"/>
      <c r="BWB89" s="33"/>
      <c r="BWC89" s="33"/>
      <c r="BWD89" s="33"/>
      <c r="BWE89" s="74"/>
      <c r="BWF89" s="64"/>
      <c r="BWG89" s="64"/>
      <c r="BWH89" s="64"/>
      <c r="BWI89" s="64"/>
      <c r="BWJ89" s="33"/>
      <c r="BWK89" s="137"/>
      <c r="BWL89" s="33"/>
      <c r="BWM89" s="33"/>
      <c r="BWN89" s="33"/>
      <c r="BWO89" s="33"/>
      <c r="BWP89" s="33"/>
      <c r="BWQ89" s="74"/>
      <c r="BWR89" s="33"/>
      <c r="BWS89" s="33"/>
      <c r="BWT89" s="33"/>
      <c r="BWU89" s="33"/>
      <c r="BWV89" s="33"/>
      <c r="BWW89" s="137"/>
      <c r="BWX89" s="33"/>
      <c r="BWY89" s="33"/>
      <c r="BWZ89" s="33"/>
      <c r="BXA89" s="33"/>
      <c r="BXB89" s="33"/>
      <c r="BXC89" s="74"/>
      <c r="BXD89" s="33"/>
      <c r="BXE89" s="33"/>
      <c r="BXF89" s="33"/>
      <c r="BXG89" s="33"/>
      <c r="BXH89" s="33"/>
      <c r="BXI89" s="34"/>
      <c r="BXJ89" s="32"/>
      <c r="BXK89" s="64"/>
      <c r="BXL89" s="64"/>
      <c r="BXM89" s="64"/>
      <c r="BXN89" s="33"/>
      <c r="BXO89" s="132"/>
      <c r="BXP89" s="33"/>
      <c r="BXQ89" s="33"/>
      <c r="BXR89" s="33"/>
      <c r="BXS89" s="33"/>
      <c r="BXT89" s="33"/>
      <c r="BXU89" s="137"/>
      <c r="BXV89" s="33"/>
      <c r="BXW89" s="33"/>
      <c r="BXX89" s="33"/>
      <c r="BXY89" s="33"/>
      <c r="BXZ89" s="33"/>
      <c r="BYA89" s="74"/>
      <c r="BYB89" s="33"/>
      <c r="BYC89" s="33"/>
      <c r="BYD89" s="33"/>
      <c r="BYE89" s="33"/>
      <c r="BYF89" s="33"/>
      <c r="BYG89" s="137"/>
      <c r="BYH89" s="33"/>
      <c r="BYI89" s="33"/>
      <c r="BYJ89" s="33"/>
      <c r="BYK89" s="33"/>
      <c r="BYL89" s="33"/>
      <c r="BYM89" s="74"/>
      <c r="BYN89" s="64"/>
      <c r="BYO89" s="64"/>
      <c r="BYP89" s="64"/>
      <c r="BYQ89" s="64"/>
      <c r="BYR89" s="33"/>
      <c r="BYS89" s="137"/>
      <c r="BYT89" s="33"/>
      <c r="BYU89" s="33"/>
      <c r="BYV89" s="33"/>
      <c r="BYW89" s="33"/>
      <c r="BYX89" s="33"/>
      <c r="BYY89" s="74"/>
      <c r="BYZ89" s="33"/>
      <c r="BZA89" s="33"/>
      <c r="BZB89" s="33"/>
      <c r="BZC89" s="33"/>
      <c r="BZD89" s="33"/>
      <c r="BZE89" s="137"/>
      <c r="BZF89" s="33"/>
      <c r="BZG89" s="33"/>
      <c r="BZH89" s="33"/>
      <c r="BZI89" s="33"/>
      <c r="BZJ89" s="33"/>
      <c r="BZK89" s="74"/>
      <c r="BZL89" s="33"/>
      <c r="BZM89" s="33"/>
      <c r="BZN89" s="33"/>
      <c r="BZO89" s="33"/>
      <c r="BZP89" s="33"/>
      <c r="BZQ89" s="34"/>
      <c r="BZR89" s="32"/>
      <c r="BZS89" s="64"/>
      <c r="BZT89" s="64"/>
      <c r="BZU89" s="64"/>
      <c r="BZV89" s="33"/>
      <c r="BZW89" s="132"/>
      <c r="BZX89" s="33"/>
      <c r="BZY89" s="33"/>
      <c r="BZZ89" s="33"/>
      <c r="CAA89" s="33"/>
      <c r="CAB89" s="33"/>
      <c r="CAC89" s="137"/>
      <c r="CAD89" s="33"/>
      <c r="CAE89" s="33"/>
      <c r="CAF89" s="33"/>
      <c r="CAG89" s="33"/>
      <c r="CAH89" s="33"/>
      <c r="CAI89" s="74"/>
      <c r="CAJ89" s="33"/>
      <c r="CAK89" s="33"/>
      <c r="CAL89" s="33"/>
      <c r="CAM89" s="33"/>
      <c r="CAN89" s="33"/>
      <c r="CAO89" s="137"/>
      <c r="CAP89" s="33"/>
      <c r="CAQ89" s="33"/>
      <c r="CAR89" s="33"/>
      <c r="CAS89" s="33"/>
      <c r="CAT89" s="33"/>
      <c r="CAU89" s="74"/>
      <c r="CAV89" s="64"/>
      <c r="CAW89" s="64"/>
      <c r="CAX89" s="64"/>
      <c r="CAY89" s="64"/>
      <c r="CAZ89" s="33"/>
      <c r="CBA89" s="137"/>
      <c r="CBB89" s="33"/>
      <c r="CBC89" s="33"/>
      <c r="CBD89" s="33"/>
      <c r="CBE89" s="33"/>
      <c r="CBF89" s="33"/>
      <c r="CBG89" s="74"/>
      <c r="CBH89" s="33"/>
      <c r="CBI89" s="33"/>
      <c r="CBJ89" s="33"/>
      <c r="CBK89" s="33"/>
      <c r="CBL89" s="33"/>
      <c r="CBM89" s="137"/>
      <c r="CBN89" s="33"/>
      <c r="CBO89" s="33"/>
      <c r="CBP89" s="33"/>
      <c r="CBQ89" s="33"/>
      <c r="CBR89" s="33"/>
      <c r="CBS89" s="74"/>
      <c r="CBT89" s="33"/>
      <c r="CBU89" s="33"/>
      <c r="CBV89" s="33"/>
      <c r="CBW89" s="33"/>
      <c r="CBX89" s="33"/>
      <c r="CBY89" s="34"/>
      <c r="CBZ89" s="32"/>
      <c r="CCA89" s="64"/>
      <c r="CCB89" s="64"/>
      <c r="CCC89" s="64"/>
      <c r="CCD89" s="33"/>
      <c r="CCE89" s="132"/>
      <c r="CCF89" s="33"/>
      <c r="CCG89" s="33"/>
      <c r="CCH89" s="33"/>
      <c r="CCI89" s="33"/>
      <c r="CCJ89" s="33"/>
      <c r="CCK89" s="137"/>
      <c r="CCL89" s="33"/>
      <c r="CCM89" s="33"/>
      <c r="CCN89" s="33"/>
      <c r="CCO89" s="33"/>
      <c r="CCP89" s="33"/>
      <c r="CCQ89" s="74"/>
      <c r="CCR89" s="33"/>
      <c r="CCS89" s="33"/>
      <c r="CCT89" s="33"/>
      <c r="CCU89" s="33"/>
      <c r="CCV89" s="33"/>
      <c r="CCW89" s="137"/>
      <c r="CCX89" s="33"/>
      <c r="CCY89" s="33"/>
      <c r="CCZ89" s="33"/>
      <c r="CDA89" s="33"/>
      <c r="CDB89" s="33"/>
      <c r="CDC89" s="74"/>
      <c r="CDD89" s="64"/>
      <c r="CDE89" s="64"/>
      <c r="CDF89" s="64"/>
      <c r="CDG89" s="64"/>
      <c r="CDH89" s="33"/>
      <c r="CDI89" s="137"/>
      <c r="CDJ89" s="33"/>
      <c r="CDK89" s="33"/>
      <c r="CDL89" s="33"/>
      <c r="CDM89" s="33"/>
      <c r="CDN89" s="33"/>
      <c r="CDO89" s="74"/>
      <c r="CDP89" s="33"/>
      <c r="CDQ89" s="33"/>
      <c r="CDR89" s="33"/>
      <c r="CDS89" s="33"/>
      <c r="CDT89" s="33"/>
      <c r="CDU89" s="137"/>
      <c r="CDV89" s="33"/>
      <c r="CDW89" s="33"/>
      <c r="CDX89" s="33"/>
      <c r="CDY89" s="33"/>
      <c r="CDZ89" s="33"/>
      <c r="CEA89" s="74"/>
      <c r="CEB89" s="33"/>
      <c r="CEC89" s="33"/>
      <c r="CED89" s="33"/>
      <c r="CEE89" s="33"/>
      <c r="CEF89" s="33"/>
      <c r="CEG89" s="34"/>
      <c r="CEH89" s="32"/>
      <c r="CEI89" s="64"/>
      <c r="CEJ89" s="64"/>
      <c r="CEK89" s="64"/>
      <c r="CEL89" s="33"/>
      <c r="CEM89" s="132"/>
      <c r="CEN89" s="33"/>
      <c r="CEO89" s="33"/>
      <c r="CEP89" s="33"/>
      <c r="CEQ89" s="33"/>
      <c r="CER89" s="33"/>
      <c r="CES89" s="137"/>
      <c r="CET89" s="33"/>
      <c r="CEU89" s="33"/>
      <c r="CEV89" s="33"/>
      <c r="CEW89" s="33"/>
      <c r="CEX89" s="33"/>
      <c r="CEY89" s="74"/>
      <c r="CEZ89" s="33"/>
      <c r="CFA89" s="33"/>
      <c r="CFB89" s="33"/>
      <c r="CFC89" s="33"/>
      <c r="CFD89" s="33"/>
      <c r="CFE89" s="137"/>
      <c r="CFF89" s="33"/>
      <c r="CFG89" s="33"/>
      <c r="CFH89" s="33"/>
      <c r="CFI89" s="33"/>
      <c r="CFJ89" s="33"/>
      <c r="CFK89" s="74"/>
      <c r="CFL89" s="64"/>
      <c r="CFM89" s="64"/>
      <c r="CFN89" s="64"/>
      <c r="CFO89" s="64"/>
      <c r="CFP89" s="33"/>
      <c r="CFQ89" s="137"/>
      <c r="CFR89" s="33"/>
      <c r="CFS89" s="33"/>
      <c r="CFT89" s="33"/>
      <c r="CFU89" s="33"/>
      <c r="CFV89" s="33"/>
      <c r="CFW89" s="74"/>
      <c r="CFX89" s="33"/>
      <c r="CFY89" s="33"/>
      <c r="CFZ89" s="33"/>
      <c r="CGA89" s="33"/>
      <c r="CGB89" s="33"/>
      <c r="CGC89" s="137"/>
      <c r="CGD89" s="33"/>
      <c r="CGE89" s="33"/>
      <c r="CGF89" s="33"/>
      <c r="CGG89" s="33"/>
      <c r="CGH89" s="33"/>
      <c r="CGI89" s="74"/>
      <c r="CGJ89" s="33"/>
      <c r="CGK89" s="33"/>
      <c r="CGL89" s="33"/>
      <c r="CGM89" s="33"/>
      <c r="CGN89" s="33"/>
      <c r="CGO89" s="34"/>
      <c r="CGP89" s="32"/>
      <c r="CGQ89" s="64"/>
      <c r="CGR89" s="64"/>
      <c r="CGS89" s="64"/>
      <c r="CGT89" s="33"/>
      <c r="CGU89" s="132"/>
      <c r="CGV89" s="33"/>
      <c r="CGW89" s="33"/>
      <c r="CGX89" s="33"/>
      <c r="CGY89" s="33"/>
      <c r="CGZ89" s="33"/>
      <c r="CHA89" s="137"/>
      <c r="CHB89" s="33"/>
      <c r="CHC89" s="33"/>
      <c r="CHD89" s="33"/>
      <c r="CHE89" s="33"/>
      <c r="CHF89" s="33"/>
      <c r="CHG89" s="74"/>
      <c r="CHH89" s="33"/>
      <c r="CHI89" s="33"/>
      <c r="CHJ89" s="33"/>
      <c r="CHK89" s="33"/>
      <c r="CHL89" s="33"/>
      <c r="CHM89" s="137"/>
      <c r="CHN89" s="33"/>
      <c r="CHO89" s="33"/>
      <c r="CHP89" s="33"/>
      <c r="CHQ89" s="33"/>
      <c r="CHR89" s="33"/>
      <c r="CHS89" s="74"/>
      <c r="CHT89" s="64"/>
      <c r="CHU89" s="64"/>
      <c r="CHV89" s="64"/>
      <c r="CHW89" s="64"/>
      <c r="CHX89" s="33"/>
      <c r="CHY89" s="137"/>
      <c r="CHZ89" s="33"/>
      <c r="CIA89" s="33"/>
      <c r="CIB89" s="33"/>
      <c r="CIC89" s="33"/>
      <c r="CID89" s="33"/>
      <c r="CIE89" s="74"/>
      <c r="CIF89" s="33"/>
      <c r="CIG89" s="33"/>
      <c r="CIH89" s="33"/>
      <c r="CII89" s="33"/>
      <c r="CIJ89" s="33"/>
      <c r="CIK89" s="137"/>
      <c r="CIL89" s="33"/>
      <c r="CIM89" s="33"/>
      <c r="CIN89" s="33"/>
      <c r="CIO89" s="33"/>
      <c r="CIP89" s="33"/>
      <c r="CIQ89" s="74"/>
      <c r="CIR89" s="33"/>
      <c r="CIS89" s="33"/>
      <c r="CIT89" s="33"/>
      <c r="CIU89" s="33"/>
      <c r="CIV89" s="33"/>
      <c r="CIW89" s="34"/>
      <c r="CIX89" s="32"/>
      <c r="CIY89" s="64"/>
      <c r="CIZ89" s="64"/>
      <c r="CJA89" s="64"/>
      <c r="CJB89" s="33"/>
      <c r="CJC89" s="132"/>
      <c r="CJD89" s="33"/>
      <c r="CJE89" s="33"/>
      <c r="CJF89" s="33"/>
      <c r="CJG89" s="33"/>
      <c r="CJH89" s="33"/>
      <c r="CJI89" s="137"/>
      <c r="CJJ89" s="33"/>
      <c r="CJK89" s="33"/>
      <c r="CJL89" s="33"/>
      <c r="CJM89" s="33"/>
      <c r="CJN89" s="33"/>
      <c r="CJO89" s="74"/>
      <c r="CJP89" s="33"/>
      <c r="CJQ89" s="33"/>
      <c r="CJR89" s="33"/>
      <c r="CJS89" s="33"/>
      <c r="CJT89" s="33"/>
      <c r="CJU89" s="137"/>
      <c r="CJV89" s="33"/>
      <c r="CJW89" s="33"/>
      <c r="CJX89" s="33"/>
      <c r="CJY89" s="33"/>
      <c r="CJZ89" s="33"/>
      <c r="CKA89" s="74"/>
      <c r="CKB89" s="64"/>
      <c r="CKC89" s="64"/>
      <c r="CKD89" s="64"/>
      <c r="CKE89" s="64"/>
      <c r="CKF89" s="33"/>
      <c r="CKG89" s="137"/>
      <c r="CKH89" s="33"/>
      <c r="CKI89" s="33"/>
      <c r="CKJ89" s="33"/>
      <c r="CKK89" s="33"/>
      <c r="CKL89" s="33"/>
      <c r="CKM89" s="74"/>
      <c r="CKN89" s="33"/>
      <c r="CKO89" s="33"/>
      <c r="CKP89" s="33"/>
      <c r="CKQ89" s="33"/>
      <c r="CKR89" s="33"/>
      <c r="CKS89" s="137"/>
      <c r="CKT89" s="33"/>
      <c r="CKU89" s="33"/>
      <c r="CKV89" s="33"/>
      <c r="CKW89" s="33"/>
      <c r="CKX89" s="33"/>
      <c r="CKY89" s="74"/>
      <c r="CKZ89" s="33"/>
      <c r="CLA89" s="33"/>
      <c r="CLB89" s="33"/>
      <c r="CLC89" s="33"/>
      <c r="CLD89" s="33"/>
      <c r="CLE89" s="34"/>
      <c r="CLF89" s="32"/>
      <c r="CLG89" s="64"/>
      <c r="CLH89" s="64"/>
      <c r="CLI89" s="64"/>
      <c r="CLJ89" s="33"/>
      <c r="CLK89" s="132"/>
      <c r="CLL89" s="33"/>
      <c r="CLM89" s="33"/>
      <c r="CLN89" s="33"/>
      <c r="CLO89" s="33"/>
      <c r="CLP89" s="33"/>
      <c r="CLQ89" s="137"/>
      <c r="CLR89" s="33"/>
      <c r="CLS89" s="33"/>
      <c r="CLT89" s="33"/>
      <c r="CLU89" s="33"/>
      <c r="CLV89" s="33"/>
      <c r="CLW89" s="74"/>
      <c r="CLX89" s="33"/>
      <c r="CLY89" s="33"/>
      <c r="CLZ89" s="33"/>
      <c r="CMA89" s="33"/>
      <c r="CMB89" s="33"/>
      <c r="CMC89" s="137"/>
      <c r="CMD89" s="33"/>
      <c r="CME89" s="33"/>
      <c r="CMF89" s="33"/>
      <c r="CMG89" s="33"/>
      <c r="CMH89" s="33"/>
      <c r="CMI89" s="74"/>
      <c r="CMJ89" s="64"/>
      <c r="CMK89" s="64"/>
      <c r="CML89" s="64"/>
      <c r="CMM89" s="64"/>
      <c r="CMN89" s="33"/>
      <c r="CMO89" s="137"/>
      <c r="CMP89" s="33"/>
      <c r="CMQ89" s="33"/>
      <c r="CMR89" s="33"/>
      <c r="CMS89" s="33"/>
      <c r="CMT89" s="33"/>
      <c r="CMU89" s="74"/>
      <c r="CMV89" s="33"/>
      <c r="CMW89" s="33"/>
      <c r="CMX89" s="33"/>
      <c r="CMY89" s="33"/>
      <c r="CMZ89" s="33"/>
      <c r="CNA89" s="137"/>
      <c r="CNB89" s="33"/>
      <c r="CNC89" s="33"/>
      <c r="CND89" s="33"/>
      <c r="CNE89" s="33"/>
      <c r="CNF89" s="33"/>
      <c r="CNG89" s="74"/>
      <c r="CNH89" s="33"/>
      <c r="CNI89" s="33"/>
      <c r="CNJ89" s="33"/>
      <c r="CNK89" s="33"/>
      <c r="CNL89" s="33"/>
      <c r="CNM89" s="34"/>
      <c r="CNN89" s="32"/>
      <c r="CNO89" s="64"/>
      <c r="CNP89" s="64"/>
      <c r="CNQ89" s="64"/>
      <c r="CNR89" s="33"/>
      <c r="CNS89" s="132"/>
      <c r="CNT89" s="33"/>
      <c r="CNU89" s="33"/>
      <c r="CNV89" s="33"/>
      <c r="CNW89" s="33"/>
      <c r="CNX89" s="33"/>
      <c r="CNY89" s="137"/>
      <c r="CNZ89" s="33"/>
      <c r="COA89" s="33"/>
      <c r="COB89" s="33"/>
      <c r="COC89" s="33"/>
      <c r="COD89" s="33"/>
      <c r="COE89" s="74"/>
      <c r="COF89" s="33"/>
      <c r="COG89" s="33"/>
      <c r="COH89" s="33"/>
      <c r="COI89" s="33"/>
      <c r="COJ89" s="33"/>
      <c r="COK89" s="137"/>
      <c r="COL89" s="33"/>
      <c r="COM89" s="33"/>
      <c r="CON89" s="33"/>
      <c r="COO89" s="33"/>
      <c r="COP89" s="33"/>
      <c r="COQ89" s="74"/>
      <c r="COR89" s="64"/>
      <c r="COS89" s="64"/>
      <c r="COT89" s="64"/>
      <c r="COU89" s="64"/>
      <c r="COV89" s="33"/>
      <c r="COW89" s="137"/>
      <c r="COX89" s="33"/>
      <c r="COY89" s="33"/>
      <c r="COZ89" s="33"/>
      <c r="CPA89" s="33"/>
      <c r="CPB89" s="33"/>
      <c r="CPC89" s="74"/>
      <c r="CPD89" s="33"/>
      <c r="CPE89" s="33"/>
      <c r="CPF89" s="33"/>
      <c r="CPG89" s="33"/>
      <c r="CPH89" s="33"/>
      <c r="CPI89" s="137"/>
      <c r="CPJ89" s="33"/>
      <c r="CPK89" s="33"/>
      <c r="CPL89" s="33"/>
      <c r="CPM89" s="33"/>
      <c r="CPN89" s="33"/>
      <c r="CPO89" s="74"/>
      <c r="CPP89" s="33"/>
      <c r="CPQ89" s="33"/>
      <c r="CPR89" s="33"/>
      <c r="CPS89" s="33"/>
      <c r="CPT89" s="33"/>
      <c r="CPU89" s="34"/>
      <c r="CPV89" s="32"/>
      <c r="CPW89" s="64"/>
      <c r="CPX89" s="64"/>
      <c r="CPY89" s="64"/>
      <c r="CPZ89" s="33"/>
      <c r="CQA89" s="132"/>
      <c r="CQB89" s="33"/>
      <c r="CQC89" s="33"/>
      <c r="CQD89" s="33"/>
      <c r="CQE89" s="33"/>
      <c r="CQF89" s="33"/>
      <c r="CQG89" s="137"/>
      <c r="CQH89" s="33"/>
      <c r="CQI89" s="33"/>
      <c r="CQJ89" s="33"/>
      <c r="CQK89" s="33"/>
      <c r="CQL89" s="33"/>
      <c r="CQM89" s="74"/>
      <c r="CQN89" s="33"/>
      <c r="CQO89" s="33"/>
      <c r="CQP89" s="33"/>
      <c r="CQQ89" s="33"/>
      <c r="CQR89" s="33"/>
      <c r="CQS89" s="137"/>
      <c r="CQT89" s="33"/>
      <c r="CQU89" s="33"/>
      <c r="CQV89" s="33"/>
      <c r="CQW89" s="33"/>
      <c r="CQX89" s="33"/>
      <c r="CQY89" s="74"/>
      <c r="CQZ89" s="64"/>
      <c r="CRA89" s="64"/>
      <c r="CRB89" s="64"/>
      <c r="CRC89" s="64"/>
      <c r="CRD89" s="33"/>
      <c r="CRE89" s="137"/>
      <c r="CRF89" s="33"/>
      <c r="CRG89" s="33"/>
      <c r="CRH89" s="33"/>
      <c r="CRI89" s="33"/>
      <c r="CRJ89" s="33"/>
      <c r="CRK89" s="74"/>
      <c r="CRL89" s="33"/>
      <c r="CRM89" s="33"/>
      <c r="CRN89" s="33"/>
      <c r="CRO89" s="33"/>
      <c r="CRP89" s="33"/>
      <c r="CRQ89" s="137"/>
      <c r="CRR89" s="33"/>
      <c r="CRS89" s="33"/>
      <c r="CRT89" s="33"/>
      <c r="CRU89" s="33"/>
      <c r="CRV89" s="33"/>
      <c r="CRW89" s="74"/>
      <c r="CRX89" s="33"/>
      <c r="CRY89" s="33"/>
      <c r="CRZ89" s="33"/>
      <c r="CSA89" s="33"/>
      <c r="CSB89" s="33"/>
      <c r="CSC89" s="34"/>
      <c r="CSD89" s="90"/>
    </row>
    <row r="90" spans="1:2526" ht="20.100000000000001" customHeight="1" x14ac:dyDescent="0.3">
      <c r="A90" s="100" t="s">
        <v>19</v>
      </c>
      <c r="B90" s="63"/>
      <c r="C90" s="213"/>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36"/>
      <c r="BLW90" s="65"/>
      <c r="BLX90" s="65"/>
      <c r="BLY90" s="65"/>
      <c r="BLZ90" s="37"/>
      <c r="BMA90" s="133"/>
      <c r="BMB90" s="37"/>
      <c r="BMC90" s="37"/>
      <c r="BMD90" s="37"/>
      <c r="BME90" s="37"/>
      <c r="BMF90" s="37"/>
      <c r="BMG90" s="138"/>
      <c r="BMH90" s="37"/>
      <c r="BMI90" s="37"/>
      <c r="BMJ90" s="37"/>
      <c r="BMK90" s="37"/>
      <c r="BML90" s="37"/>
      <c r="BMM90" s="75"/>
      <c r="BMN90" s="37"/>
      <c r="BMO90" s="37"/>
      <c r="BMP90" s="37"/>
      <c r="BMQ90" s="37"/>
      <c r="BMR90" s="37"/>
      <c r="BMS90" s="138"/>
      <c r="BMT90" s="37"/>
      <c r="BMU90" s="37"/>
      <c r="BMV90" s="37"/>
      <c r="BMW90" s="37"/>
      <c r="BMX90" s="37"/>
      <c r="BMY90" s="75"/>
      <c r="BMZ90" s="65"/>
      <c r="BNA90" s="65"/>
      <c r="BNB90" s="65"/>
      <c r="BNC90" s="65"/>
      <c r="BND90" s="37"/>
      <c r="BNE90" s="138"/>
      <c r="BNF90" s="37"/>
      <c r="BNG90" s="37"/>
      <c r="BNH90" s="37"/>
      <c r="BNI90" s="37"/>
      <c r="BNJ90" s="37"/>
      <c r="BNK90" s="75"/>
      <c r="BNL90" s="37"/>
      <c r="BNM90" s="37"/>
      <c r="BNN90" s="37"/>
      <c r="BNO90" s="37"/>
      <c r="BNP90" s="37"/>
      <c r="BNQ90" s="138"/>
      <c r="BNR90" s="37"/>
      <c r="BNS90" s="37"/>
      <c r="BNT90" s="37"/>
      <c r="BNU90" s="37"/>
      <c r="BNV90" s="37"/>
      <c r="BNW90" s="75"/>
      <c r="BNX90" s="37"/>
      <c r="BNY90" s="37"/>
      <c r="BNZ90" s="37"/>
      <c r="BOA90" s="37"/>
      <c r="BOB90" s="37"/>
      <c r="BOC90" s="38"/>
      <c r="BOD90" s="36"/>
      <c r="BOE90" s="65"/>
      <c r="BOF90" s="65"/>
      <c r="BOG90" s="65"/>
      <c r="BOH90" s="37"/>
      <c r="BOI90" s="133"/>
      <c r="BOJ90" s="37"/>
      <c r="BOK90" s="37"/>
      <c r="BOL90" s="37"/>
      <c r="BOM90" s="37"/>
      <c r="BON90" s="37"/>
      <c r="BOO90" s="138"/>
      <c r="BOP90" s="37"/>
      <c r="BOQ90" s="37"/>
      <c r="BOR90" s="37"/>
      <c r="BOS90" s="37"/>
      <c r="BOT90" s="37"/>
      <c r="BOU90" s="75"/>
      <c r="BOV90" s="37"/>
      <c r="BOW90" s="37"/>
      <c r="BOX90" s="37"/>
      <c r="BOY90" s="37"/>
      <c r="BOZ90" s="37"/>
      <c r="BPA90" s="138"/>
      <c r="BPB90" s="37"/>
      <c r="BPC90" s="37"/>
      <c r="BPD90" s="37"/>
      <c r="BPE90" s="37"/>
      <c r="BPF90" s="37"/>
      <c r="BPG90" s="75"/>
      <c r="BPH90" s="65"/>
      <c r="BPI90" s="65"/>
      <c r="BPJ90" s="65"/>
      <c r="BPK90" s="65"/>
      <c r="BPL90" s="37"/>
      <c r="BPM90" s="138"/>
      <c r="BPN90" s="37"/>
      <c r="BPO90" s="37"/>
      <c r="BPP90" s="37"/>
      <c r="BPQ90" s="37"/>
      <c r="BPR90" s="37"/>
      <c r="BPS90" s="75"/>
      <c r="BPT90" s="37"/>
      <c r="BPU90" s="37"/>
      <c r="BPV90" s="37"/>
      <c r="BPW90" s="37"/>
      <c r="BPX90" s="37"/>
      <c r="BPY90" s="138"/>
      <c r="BPZ90" s="37"/>
      <c r="BQA90" s="37"/>
      <c r="BQB90" s="37"/>
      <c r="BQC90" s="37"/>
      <c r="BQD90" s="37"/>
      <c r="BQE90" s="75"/>
      <c r="BQF90" s="37"/>
      <c r="BQG90" s="37"/>
      <c r="BQH90" s="37"/>
      <c r="BQI90" s="37"/>
      <c r="BQJ90" s="37"/>
      <c r="BQK90" s="38"/>
      <c r="BQL90" s="36"/>
      <c r="BQM90" s="65"/>
      <c r="BQN90" s="65"/>
      <c r="BQO90" s="65"/>
      <c r="BQP90" s="37"/>
      <c r="BQQ90" s="133"/>
      <c r="BQR90" s="37"/>
      <c r="BQS90" s="37"/>
      <c r="BQT90" s="37"/>
      <c r="BQU90" s="37"/>
      <c r="BQV90" s="37"/>
      <c r="BQW90" s="138"/>
      <c r="BQX90" s="37"/>
      <c r="BQY90" s="37"/>
      <c r="BQZ90" s="37"/>
      <c r="BRA90" s="37"/>
      <c r="BRB90" s="37"/>
      <c r="BRC90" s="75"/>
      <c r="BRD90" s="37"/>
      <c r="BRE90" s="37"/>
      <c r="BRF90" s="37"/>
      <c r="BRG90" s="37"/>
      <c r="BRH90" s="37"/>
      <c r="BRI90" s="138"/>
      <c r="BRJ90" s="37"/>
      <c r="BRK90" s="37"/>
      <c r="BRL90" s="37"/>
      <c r="BRM90" s="37"/>
      <c r="BRN90" s="37"/>
      <c r="BRO90" s="75"/>
      <c r="BRP90" s="65"/>
      <c r="BRQ90" s="65"/>
      <c r="BRR90" s="65"/>
      <c r="BRS90" s="65"/>
      <c r="BRT90" s="37"/>
      <c r="BRU90" s="138"/>
      <c r="BRV90" s="37"/>
      <c r="BRW90" s="37"/>
      <c r="BRX90" s="37"/>
      <c r="BRY90" s="37"/>
      <c r="BRZ90" s="37"/>
      <c r="BSA90" s="75"/>
      <c r="BSB90" s="37"/>
      <c r="BSC90" s="37"/>
      <c r="BSD90" s="37"/>
      <c r="BSE90" s="37"/>
      <c r="BSF90" s="37"/>
      <c r="BSG90" s="138"/>
      <c r="BSH90" s="37"/>
      <c r="BSI90" s="37"/>
      <c r="BSJ90" s="37"/>
      <c r="BSK90" s="37"/>
      <c r="BSL90" s="37"/>
      <c r="BSM90" s="75"/>
      <c r="BSN90" s="37"/>
      <c r="BSO90" s="37"/>
      <c r="BSP90" s="37"/>
      <c r="BSQ90" s="37"/>
      <c r="BSR90" s="37"/>
      <c r="BSS90" s="38"/>
      <c r="BST90" s="36"/>
      <c r="BSU90" s="65"/>
      <c r="BSV90" s="65"/>
      <c r="BSW90" s="65"/>
      <c r="BSX90" s="37"/>
      <c r="BSY90" s="133"/>
      <c r="BSZ90" s="37"/>
      <c r="BTA90" s="37"/>
      <c r="BTB90" s="37"/>
      <c r="BTC90" s="37"/>
      <c r="BTD90" s="37"/>
      <c r="BTE90" s="138"/>
      <c r="BTF90" s="37"/>
      <c r="BTG90" s="37"/>
      <c r="BTH90" s="37"/>
      <c r="BTI90" s="37"/>
      <c r="BTJ90" s="37"/>
      <c r="BTK90" s="75"/>
      <c r="BTL90" s="37"/>
      <c r="BTM90" s="37"/>
      <c r="BTN90" s="37"/>
      <c r="BTO90" s="37"/>
      <c r="BTP90" s="37"/>
      <c r="BTQ90" s="138"/>
      <c r="BTR90" s="37"/>
      <c r="BTS90" s="37"/>
      <c r="BTT90" s="37"/>
      <c r="BTU90" s="37"/>
      <c r="BTV90" s="37"/>
      <c r="BTW90" s="75"/>
      <c r="BTX90" s="65"/>
      <c r="BTY90" s="65"/>
      <c r="BTZ90" s="65"/>
      <c r="BUA90" s="65"/>
      <c r="BUB90" s="37"/>
      <c r="BUC90" s="138"/>
      <c r="BUD90" s="37"/>
      <c r="BUE90" s="37"/>
      <c r="BUF90" s="37"/>
      <c r="BUG90" s="37"/>
      <c r="BUH90" s="37"/>
      <c r="BUI90" s="75"/>
      <c r="BUJ90" s="37"/>
      <c r="BUK90" s="37"/>
      <c r="BUL90" s="37"/>
      <c r="BUM90" s="37"/>
      <c r="BUN90" s="37"/>
      <c r="BUO90" s="138"/>
      <c r="BUP90" s="37"/>
      <c r="BUQ90" s="37"/>
      <c r="BUR90" s="37"/>
      <c r="BUS90" s="37"/>
      <c r="BUT90" s="37"/>
      <c r="BUU90" s="75"/>
      <c r="BUV90" s="37"/>
      <c r="BUW90" s="37"/>
      <c r="BUX90" s="37"/>
      <c r="BUY90" s="37"/>
      <c r="BUZ90" s="37"/>
      <c r="BVA90" s="38"/>
      <c r="BVB90" s="36"/>
      <c r="BVC90" s="65"/>
      <c r="BVD90" s="65"/>
      <c r="BVE90" s="65"/>
      <c r="BVF90" s="37"/>
      <c r="BVG90" s="133"/>
      <c r="BVH90" s="37"/>
      <c r="BVI90" s="37"/>
      <c r="BVJ90" s="37"/>
      <c r="BVK90" s="37"/>
      <c r="BVL90" s="37"/>
      <c r="BVM90" s="138"/>
      <c r="BVN90" s="37"/>
      <c r="BVO90" s="37"/>
      <c r="BVP90" s="37"/>
      <c r="BVQ90" s="37"/>
      <c r="BVR90" s="37"/>
      <c r="BVS90" s="75"/>
      <c r="BVT90" s="37"/>
      <c r="BVU90" s="37"/>
      <c r="BVV90" s="37"/>
      <c r="BVW90" s="37"/>
      <c r="BVX90" s="37"/>
      <c r="BVY90" s="138"/>
      <c r="BVZ90" s="37"/>
      <c r="BWA90" s="37"/>
      <c r="BWB90" s="37"/>
      <c r="BWC90" s="37"/>
      <c r="BWD90" s="37"/>
      <c r="BWE90" s="75"/>
      <c r="BWF90" s="65"/>
      <c r="BWG90" s="65"/>
      <c r="BWH90" s="65"/>
      <c r="BWI90" s="65"/>
      <c r="BWJ90" s="37"/>
      <c r="BWK90" s="138"/>
      <c r="BWL90" s="37"/>
      <c r="BWM90" s="37"/>
      <c r="BWN90" s="37"/>
      <c r="BWO90" s="37"/>
      <c r="BWP90" s="37"/>
      <c r="BWQ90" s="75"/>
      <c r="BWR90" s="37"/>
      <c r="BWS90" s="37"/>
      <c r="BWT90" s="37"/>
      <c r="BWU90" s="37"/>
      <c r="BWV90" s="37"/>
      <c r="BWW90" s="138"/>
      <c r="BWX90" s="37"/>
      <c r="BWY90" s="37"/>
      <c r="BWZ90" s="37"/>
      <c r="BXA90" s="37"/>
      <c r="BXB90" s="37"/>
      <c r="BXC90" s="75"/>
      <c r="BXD90" s="37"/>
      <c r="BXE90" s="37"/>
      <c r="BXF90" s="37"/>
      <c r="BXG90" s="37"/>
      <c r="BXH90" s="37"/>
      <c r="BXI90" s="38"/>
      <c r="BXJ90" s="36"/>
      <c r="BXK90" s="65"/>
      <c r="BXL90" s="65"/>
      <c r="BXM90" s="65"/>
      <c r="BXN90" s="37"/>
      <c r="BXO90" s="133"/>
      <c r="BXP90" s="37"/>
      <c r="BXQ90" s="37"/>
      <c r="BXR90" s="37"/>
      <c r="BXS90" s="37"/>
      <c r="BXT90" s="37"/>
      <c r="BXU90" s="138"/>
      <c r="BXV90" s="37"/>
      <c r="BXW90" s="37"/>
      <c r="BXX90" s="37"/>
      <c r="BXY90" s="37"/>
      <c r="BXZ90" s="37"/>
      <c r="BYA90" s="75"/>
      <c r="BYB90" s="37"/>
      <c r="BYC90" s="37"/>
      <c r="BYD90" s="37"/>
      <c r="BYE90" s="37"/>
      <c r="BYF90" s="37"/>
      <c r="BYG90" s="138"/>
      <c r="BYH90" s="37"/>
      <c r="BYI90" s="37"/>
      <c r="BYJ90" s="37"/>
      <c r="BYK90" s="37"/>
      <c r="BYL90" s="37"/>
      <c r="BYM90" s="75"/>
      <c r="BYN90" s="65"/>
      <c r="BYO90" s="65"/>
      <c r="BYP90" s="65"/>
      <c r="BYQ90" s="65"/>
      <c r="BYR90" s="37"/>
      <c r="BYS90" s="138"/>
      <c r="BYT90" s="37"/>
      <c r="BYU90" s="37"/>
      <c r="BYV90" s="37"/>
      <c r="BYW90" s="37"/>
      <c r="BYX90" s="37"/>
      <c r="BYY90" s="75"/>
      <c r="BYZ90" s="37"/>
      <c r="BZA90" s="37"/>
      <c r="BZB90" s="37"/>
      <c r="BZC90" s="37"/>
      <c r="BZD90" s="37"/>
      <c r="BZE90" s="138"/>
      <c r="BZF90" s="37"/>
      <c r="BZG90" s="37"/>
      <c r="BZH90" s="37"/>
      <c r="BZI90" s="37"/>
      <c r="BZJ90" s="37"/>
      <c r="BZK90" s="75"/>
      <c r="BZL90" s="37"/>
      <c r="BZM90" s="37"/>
      <c r="BZN90" s="37"/>
      <c r="BZO90" s="37"/>
      <c r="BZP90" s="37"/>
      <c r="BZQ90" s="38"/>
      <c r="BZR90" s="36"/>
      <c r="BZS90" s="65"/>
      <c r="BZT90" s="65"/>
      <c r="BZU90" s="65"/>
      <c r="BZV90" s="37"/>
      <c r="BZW90" s="133"/>
      <c r="BZX90" s="37"/>
      <c r="BZY90" s="37"/>
      <c r="BZZ90" s="37"/>
      <c r="CAA90" s="37"/>
      <c r="CAB90" s="37"/>
      <c r="CAC90" s="138"/>
      <c r="CAD90" s="37"/>
      <c r="CAE90" s="37"/>
      <c r="CAF90" s="37"/>
      <c r="CAG90" s="37"/>
      <c r="CAH90" s="37"/>
      <c r="CAI90" s="75"/>
      <c r="CAJ90" s="37"/>
      <c r="CAK90" s="37"/>
      <c r="CAL90" s="37"/>
      <c r="CAM90" s="37"/>
      <c r="CAN90" s="37"/>
      <c r="CAO90" s="138"/>
      <c r="CAP90" s="37"/>
      <c r="CAQ90" s="37"/>
      <c r="CAR90" s="37"/>
      <c r="CAS90" s="37"/>
      <c r="CAT90" s="37"/>
      <c r="CAU90" s="75"/>
      <c r="CAV90" s="65"/>
      <c r="CAW90" s="65"/>
      <c r="CAX90" s="65"/>
      <c r="CAY90" s="65"/>
      <c r="CAZ90" s="37"/>
      <c r="CBA90" s="138"/>
      <c r="CBB90" s="37"/>
      <c r="CBC90" s="37"/>
      <c r="CBD90" s="37"/>
      <c r="CBE90" s="37"/>
      <c r="CBF90" s="37"/>
      <c r="CBG90" s="75"/>
      <c r="CBH90" s="37"/>
      <c r="CBI90" s="37"/>
      <c r="CBJ90" s="37"/>
      <c r="CBK90" s="37"/>
      <c r="CBL90" s="37"/>
      <c r="CBM90" s="138"/>
      <c r="CBN90" s="37"/>
      <c r="CBO90" s="37"/>
      <c r="CBP90" s="37"/>
      <c r="CBQ90" s="37"/>
      <c r="CBR90" s="37"/>
      <c r="CBS90" s="75"/>
      <c r="CBT90" s="37"/>
      <c r="CBU90" s="37"/>
      <c r="CBV90" s="37"/>
      <c r="CBW90" s="37"/>
      <c r="CBX90" s="37"/>
      <c r="CBY90" s="38"/>
      <c r="CBZ90" s="36"/>
      <c r="CCA90" s="65"/>
      <c r="CCB90" s="65"/>
      <c r="CCC90" s="65"/>
      <c r="CCD90" s="37"/>
      <c r="CCE90" s="133"/>
      <c r="CCF90" s="37"/>
      <c r="CCG90" s="37"/>
      <c r="CCH90" s="37"/>
      <c r="CCI90" s="37"/>
      <c r="CCJ90" s="37"/>
      <c r="CCK90" s="138"/>
      <c r="CCL90" s="37"/>
      <c r="CCM90" s="37"/>
      <c r="CCN90" s="37"/>
      <c r="CCO90" s="37"/>
      <c r="CCP90" s="37"/>
      <c r="CCQ90" s="75"/>
      <c r="CCR90" s="37"/>
      <c r="CCS90" s="37"/>
      <c r="CCT90" s="37"/>
      <c r="CCU90" s="37"/>
      <c r="CCV90" s="37"/>
      <c r="CCW90" s="138"/>
      <c r="CCX90" s="37"/>
      <c r="CCY90" s="37"/>
      <c r="CCZ90" s="37"/>
      <c r="CDA90" s="37"/>
      <c r="CDB90" s="37"/>
      <c r="CDC90" s="75"/>
      <c r="CDD90" s="65"/>
      <c r="CDE90" s="65"/>
      <c r="CDF90" s="65"/>
      <c r="CDG90" s="65"/>
      <c r="CDH90" s="37"/>
      <c r="CDI90" s="138"/>
      <c r="CDJ90" s="37"/>
      <c r="CDK90" s="37"/>
      <c r="CDL90" s="37"/>
      <c r="CDM90" s="37"/>
      <c r="CDN90" s="37"/>
      <c r="CDO90" s="75"/>
      <c r="CDP90" s="37"/>
      <c r="CDQ90" s="37"/>
      <c r="CDR90" s="37"/>
      <c r="CDS90" s="37"/>
      <c r="CDT90" s="37"/>
      <c r="CDU90" s="138"/>
      <c r="CDV90" s="37"/>
      <c r="CDW90" s="37"/>
      <c r="CDX90" s="37"/>
      <c r="CDY90" s="37"/>
      <c r="CDZ90" s="37"/>
      <c r="CEA90" s="75"/>
      <c r="CEB90" s="37"/>
      <c r="CEC90" s="37"/>
      <c r="CED90" s="37"/>
      <c r="CEE90" s="37"/>
      <c r="CEF90" s="37"/>
      <c r="CEG90" s="38"/>
      <c r="CEH90" s="36"/>
      <c r="CEI90" s="65"/>
      <c r="CEJ90" s="65"/>
      <c r="CEK90" s="65"/>
      <c r="CEL90" s="37"/>
      <c r="CEM90" s="133"/>
      <c r="CEN90" s="37"/>
      <c r="CEO90" s="37"/>
      <c r="CEP90" s="37"/>
      <c r="CEQ90" s="37"/>
      <c r="CER90" s="37"/>
      <c r="CES90" s="138"/>
      <c r="CET90" s="37"/>
      <c r="CEU90" s="37"/>
      <c r="CEV90" s="37"/>
      <c r="CEW90" s="37"/>
      <c r="CEX90" s="37"/>
      <c r="CEY90" s="75"/>
      <c r="CEZ90" s="37"/>
      <c r="CFA90" s="37"/>
      <c r="CFB90" s="37"/>
      <c r="CFC90" s="37"/>
      <c r="CFD90" s="37"/>
      <c r="CFE90" s="138"/>
      <c r="CFF90" s="37"/>
      <c r="CFG90" s="37"/>
      <c r="CFH90" s="37"/>
      <c r="CFI90" s="37"/>
      <c r="CFJ90" s="37"/>
      <c r="CFK90" s="75"/>
      <c r="CFL90" s="65"/>
      <c r="CFM90" s="65"/>
      <c r="CFN90" s="65"/>
      <c r="CFO90" s="65"/>
      <c r="CFP90" s="37"/>
      <c r="CFQ90" s="138"/>
      <c r="CFR90" s="37"/>
      <c r="CFS90" s="37"/>
      <c r="CFT90" s="37"/>
      <c r="CFU90" s="37"/>
      <c r="CFV90" s="37"/>
      <c r="CFW90" s="75"/>
      <c r="CFX90" s="37"/>
      <c r="CFY90" s="37"/>
      <c r="CFZ90" s="37"/>
      <c r="CGA90" s="37"/>
      <c r="CGB90" s="37"/>
      <c r="CGC90" s="138"/>
      <c r="CGD90" s="37"/>
      <c r="CGE90" s="37"/>
      <c r="CGF90" s="37"/>
      <c r="CGG90" s="37"/>
      <c r="CGH90" s="37"/>
      <c r="CGI90" s="75"/>
      <c r="CGJ90" s="37"/>
      <c r="CGK90" s="37"/>
      <c r="CGL90" s="37"/>
      <c r="CGM90" s="37"/>
      <c r="CGN90" s="37"/>
      <c r="CGO90" s="38"/>
      <c r="CGP90" s="36"/>
      <c r="CGQ90" s="65"/>
      <c r="CGR90" s="65"/>
      <c r="CGS90" s="65"/>
      <c r="CGT90" s="37"/>
      <c r="CGU90" s="133"/>
      <c r="CGV90" s="37"/>
      <c r="CGW90" s="37"/>
      <c r="CGX90" s="37"/>
      <c r="CGY90" s="37"/>
      <c r="CGZ90" s="37"/>
      <c r="CHA90" s="138"/>
      <c r="CHB90" s="37"/>
      <c r="CHC90" s="37"/>
      <c r="CHD90" s="37"/>
      <c r="CHE90" s="37"/>
      <c r="CHF90" s="37"/>
      <c r="CHG90" s="75"/>
      <c r="CHH90" s="37"/>
      <c r="CHI90" s="37"/>
      <c r="CHJ90" s="37"/>
      <c r="CHK90" s="37"/>
      <c r="CHL90" s="37"/>
      <c r="CHM90" s="138"/>
      <c r="CHN90" s="37"/>
      <c r="CHO90" s="37"/>
      <c r="CHP90" s="37"/>
      <c r="CHQ90" s="37"/>
      <c r="CHR90" s="37"/>
      <c r="CHS90" s="75"/>
      <c r="CHT90" s="65"/>
      <c r="CHU90" s="65"/>
      <c r="CHV90" s="65"/>
      <c r="CHW90" s="65"/>
      <c r="CHX90" s="37"/>
      <c r="CHY90" s="138"/>
      <c r="CHZ90" s="37"/>
      <c r="CIA90" s="37"/>
      <c r="CIB90" s="37"/>
      <c r="CIC90" s="37"/>
      <c r="CID90" s="37"/>
      <c r="CIE90" s="75"/>
      <c r="CIF90" s="37"/>
      <c r="CIG90" s="37"/>
      <c r="CIH90" s="37"/>
      <c r="CII90" s="37"/>
      <c r="CIJ90" s="37"/>
      <c r="CIK90" s="138"/>
      <c r="CIL90" s="37"/>
      <c r="CIM90" s="37"/>
      <c r="CIN90" s="37"/>
      <c r="CIO90" s="37"/>
      <c r="CIP90" s="37"/>
      <c r="CIQ90" s="75"/>
      <c r="CIR90" s="37"/>
      <c r="CIS90" s="37"/>
      <c r="CIT90" s="37"/>
      <c r="CIU90" s="37"/>
      <c r="CIV90" s="37"/>
      <c r="CIW90" s="38"/>
      <c r="CIX90" s="36"/>
      <c r="CIY90" s="65"/>
      <c r="CIZ90" s="65"/>
      <c r="CJA90" s="65"/>
      <c r="CJB90" s="37"/>
      <c r="CJC90" s="133"/>
      <c r="CJD90" s="37"/>
      <c r="CJE90" s="37"/>
      <c r="CJF90" s="37"/>
      <c r="CJG90" s="37"/>
      <c r="CJH90" s="37"/>
      <c r="CJI90" s="138"/>
      <c r="CJJ90" s="37"/>
      <c r="CJK90" s="37"/>
      <c r="CJL90" s="37"/>
      <c r="CJM90" s="37"/>
      <c r="CJN90" s="37"/>
      <c r="CJO90" s="75"/>
      <c r="CJP90" s="37"/>
      <c r="CJQ90" s="37"/>
      <c r="CJR90" s="37"/>
      <c r="CJS90" s="37"/>
      <c r="CJT90" s="37"/>
      <c r="CJU90" s="138"/>
      <c r="CJV90" s="37"/>
      <c r="CJW90" s="37"/>
      <c r="CJX90" s="37"/>
      <c r="CJY90" s="37"/>
      <c r="CJZ90" s="37"/>
      <c r="CKA90" s="75"/>
      <c r="CKB90" s="65"/>
      <c r="CKC90" s="65"/>
      <c r="CKD90" s="65"/>
      <c r="CKE90" s="65"/>
      <c r="CKF90" s="37"/>
      <c r="CKG90" s="138"/>
      <c r="CKH90" s="37"/>
      <c r="CKI90" s="37"/>
      <c r="CKJ90" s="37"/>
      <c r="CKK90" s="37"/>
      <c r="CKL90" s="37"/>
      <c r="CKM90" s="75"/>
      <c r="CKN90" s="37"/>
      <c r="CKO90" s="37"/>
      <c r="CKP90" s="37"/>
      <c r="CKQ90" s="37"/>
      <c r="CKR90" s="37"/>
      <c r="CKS90" s="138"/>
      <c r="CKT90" s="37"/>
      <c r="CKU90" s="37"/>
      <c r="CKV90" s="37"/>
      <c r="CKW90" s="37"/>
      <c r="CKX90" s="37"/>
      <c r="CKY90" s="75"/>
      <c r="CKZ90" s="37"/>
      <c r="CLA90" s="37"/>
      <c r="CLB90" s="37"/>
      <c r="CLC90" s="37"/>
      <c r="CLD90" s="37"/>
      <c r="CLE90" s="38"/>
      <c r="CLF90" s="36"/>
      <c r="CLG90" s="65"/>
      <c r="CLH90" s="65"/>
      <c r="CLI90" s="65"/>
      <c r="CLJ90" s="37"/>
      <c r="CLK90" s="133"/>
      <c r="CLL90" s="37"/>
      <c r="CLM90" s="37"/>
      <c r="CLN90" s="37"/>
      <c r="CLO90" s="37"/>
      <c r="CLP90" s="37"/>
      <c r="CLQ90" s="138"/>
      <c r="CLR90" s="37"/>
      <c r="CLS90" s="37"/>
      <c r="CLT90" s="37"/>
      <c r="CLU90" s="37"/>
      <c r="CLV90" s="37"/>
      <c r="CLW90" s="75"/>
      <c r="CLX90" s="37"/>
      <c r="CLY90" s="37"/>
      <c r="CLZ90" s="37"/>
      <c r="CMA90" s="37"/>
      <c r="CMB90" s="37"/>
      <c r="CMC90" s="138"/>
      <c r="CMD90" s="37"/>
      <c r="CME90" s="37"/>
      <c r="CMF90" s="37"/>
      <c r="CMG90" s="37"/>
      <c r="CMH90" s="37"/>
      <c r="CMI90" s="75"/>
      <c r="CMJ90" s="65"/>
      <c r="CMK90" s="65"/>
      <c r="CML90" s="65"/>
      <c r="CMM90" s="65"/>
      <c r="CMN90" s="37"/>
      <c r="CMO90" s="138"/>
      <c r="CMP90" s="37"/>
      <c r="CMQ90" s="37"/>
      <c r="CMR90" s="37"/>
      <c r="CMS90" s="37"/>
      <c r="CMT90" s="37"/>
      <c r="CMU90" s="75"/>
      <c r="CMV90" s="37"/>
      <c r="CMW90" s="37"/>
      <c r="CMX90" s="37"/>
      <c r="CMY90" s="37"/>
      <c r="CMZ90" s="37"/>
      <c r="CNA90" s="138"/>
      <c r="CNB90" s="37"/>
      <c r="CNC90" s="37"/>
      <c r="CND90" s="37"/>
      <c r="CNE90" s="37"/>
      <c r="CNF90" s="37"/>
      <c r="CNG90" s="75"/>
      <c r="CNH90" s="37"/>
      <c r="CNI90" s="37"/>
      <c r="CNJ90" s="37"/>
      <c r="CNK90" s="37"/>
      <c r="CNL90" s="37"/>
      <c r="CNM90" s="38"/>
      <c r="CNN90" s="36"/>
      <c r="CNO90" s="65"/>
      <c r="CNP90" s="65"/>
      <c r="CNQ90" s="65"/>
      <c r="CNR90" s="37"/>
      <c r="CNS90" s="133"/>
      <c r="CNT90" s="37"/>
      <c r="CNU90" s="37"/>
      <c r="CNV90" s="37"/>
      <c r="CNW90" s="37"/>
      <c r="CNX90" s="37"/>
      <c r="CNY90" s="138"/>
      <c r="CNZ90" s="37"/>
      <c r="COA90" s="37"/>
      <c r="COB90" s="37"/>
      <c r="COC90" s="37"/>
      <c r="COD90" s="37"/>
      <c r="COE90" s="75"/>
      <c r="COF90" s="37"/>
      <c r="COG90" s="37"/>
      <c r="COH90" s="37"/>
      <c r="COI90" s="37"/>
      <c r="COJ90" s="37"/>
      <c r="COK90" s="138"/>
      <c r="COL90" s="37"/>
      <c r="COM90" s="37"/>
      <c r="CON90" s="37"/>
      <c r="COO90" s="37"/>
      <c r="COP90" s="37"/>
      <c r="COQ90" s="75"/>
      <c r="COR90" s="65"/>
      <c r="COS90" s="65"/>
      <c r="COT90" s="65"/>
      <c r="COU90" s="65"/>
      <c r="COV90" s="37"/>
      <c r="COW90" s="138"/>
      <c r="COX90" s="37"/>
      <c r="COY90" s="37"/>
      <c r="COZ90" s="37"/>
      <c r="CPA90" s="37"/>
      <c r="CPB90" s="37"/>
      <c r="CPC90" s="75"/>
      <c r="CPD90" s="37"/>
      <c r="CPE90" s="37"/>
      <c r="CPF90" s="37"/>
      <c r="CPG90" s="37"/>
      <c r="CPH90" s="37"/>
      <c r="CPI90" s="138"/>
      <c r="CPJ90" s="37"/>
      <c r="CPK90" s="37"/>
      <c r="CPL90" s="37"/>
      <c r="CPM90" s="37"/>
      <c r="CPN90" s="37"/>
      <c r="CPO90" s="75"/>
      <c r="CPP90" s="37"/>
      <c r="CPQ90" s="37"/>
      <c r="CPR90" s="37"/>
      <c r="CPS90" s="37"/>
      <c r="CPT90" s="37"/>
      <c r="CPU90" s="38"/>
      <c r="CPV90" s="36"/>
      <c r="CPW90" s="65"/>
      <c r="CPX90" s="65"/>
      <c r="CPY90" s="65"/>
      <c r="CPZ90" s="37"/>
      <c r="CQA90" s="133"/>
      <c r="CQB90" s="37"/>
      <c r="CQC90" s="37"/>
      <c r="CQD90" s="37"/>
      <c r="CQE90" s="37"/>
      <c r="CQF90" s="37"/>
      <c r="CQG90" s="138"/>
      <c r="CQH90" s="37"/>
      <c r="CQI90" s="37"/>
      <c r="CQJ90" s="37"/>
      <c r="CQK90" s="37"/>
      <c r="CQL90" s="37"/>
      <c r="CQM90" s="75"/>
      <c r="CQN90" s="37"/>
      <c r="CQO90" s="37"/>
      <c r="CQP90" s="37"/>
      <c r="CQQ90" s="37"/>
      <c r="CQR90" s="37"/>
      <c r="CQS90" s="138"/>
      <c r="CQT90" s="37"/>
      <c r="CQU90" s="37"/>
      <c r="CQV90" s="37"/>
      <c r="CQW90" s="37"/>
      <c r="CQX90" s="37"/>
      <c r="CQY90" s="75"/>
      <c r="CQZ90" s="65"/>
      <c r="CRA90" s="65"/>
      <c r="CRB90" s="65"/>
      <c r="CRC90" s="65"/>
      <c r="CRD90" s="37"/>
      <c r="CRE90" s="138"/>
      <c r="CRF90" s="37"/>
      <c r="CRG90" s="37"/>
      <c r="CRH90" s="37"/>
      <c r="CRI90" s="37"/>
      <c r="CRJ90" s="37"/>
      <c r="CRK90" s="75"/>
      <c r="CRL90" s="37"/>
      <c r="CRM90" s="37"/>
      <c r="CRN90" s="37"/>
      <c r="CRO90" s="37"/>
      <c r="CRP90" s="37"/>
      <c r="CRQ90" s="138"/>
      <c r="CRR90" s="37"/>
      <c r="CRS90" s="37"/>
      <c r="CRT90" s="37"/>
      <c r="CRU90" s="37"/>
      <c r="CRV90" s="37"/>
      <c r="CRW90" s="75"/>
      <c r="CRX90" s="37"/>
      <c r="CRY90" s="37"/>
      <c r="CRZ90" s="37"/>
      <c r="CSA90" s="37"/>
      <c r="CSB90" s="37"/>
      <c r="CSC90" s="38"/>
      <c r="CSD90" s="90"/>
    </row>
    <row r="91" spans="1:2526" ht="20.100000000000001" customHeight="1" x14ac:dyDescent="0.25">
      <c r="A91" s="100" t="s">
        <v>18</v>
      </c>
      <c r="B91" s="63"/>
      <c r="C91" s="211"/>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40"/>
      <c r="BLW91" s="66"/>
      <c r="BLX91" s="66"/>
      <c r="BLY91" s="66"/>
      <c r="BLZ91" s="41"/>
      <c r="BMA91" s="134"/>
      <c r="BMB91" s="41"/>
      <c r="BMC91" s="41"/>
      <c r="BMD91" s="41"/>
      <c r="BME91" s="41"/>
      <c r="BMF91" s="41"/>
      <c r="BMG91" s="139"/>
      <c r="BMH91" s="41"/>
      <c r="BMI91" s="41"/>
      <c r="BMJ91" s="41"/>
      <c r="BMK91" s="41"/>
      <c r="BML91" s="41"/>
      <c r="BMM91" s="76"/>
      <c r="BMN91" s="41"/>
      <c r="BMO91" s="41"/>
      <c r="BMP91" s="41"/>
      <c r="BMQ91" s="41"/>
      <c r="BMR91" s="41"/>
      <c r="BMS91" s="139"/>
      <c r="BMT91" s="41"/>
      <c r="BMU91" s="41"/>
      <c r="BMV91" s="41"/>
      <c r="BMW91" s="41"/>
      <c r="BMX91" s="41"/>
      <c r="BMY91" s="76"/>
      <c r="BMZ91" s="66"/>
      <c r="BNA91" s="66"/>
      <c r="BNB91" s="66"/>
      <c r="BNC91" s="66"/>
      <c r="BND91" s="41"/>
      <c r="BNE91" s="139"/>
      <c r="BNF91" s="41"/>
      <c r="BNG91" s="41"/>
      <c r="BNH91" s="41"/>
      <c r="BNI91" s="41"/>
      <c r="BNJ91" s="41"/>
      <c r="BNK91" s="76"/>
      <c r="BNL91" s="41"/>
      <c r="BNM91" s="41"/>
      <c r="BNN91" s="41"/>
      <c r="BNO91" s="41"/>
      <c r="BNP91" s="41"/>
      <c r="BNQ91" s="139"/>
      <c r="BNR91" s="41"/>
      <c r="BNS91" s="41"/>
      <c r="BNT91" s="41"/>
      <c r="BNU91" s="41"/>
      <c r="BNV91" s="41"/>
      <c r="BNW91" s="76"/>
      <c r="BNX91" s="41"/>
      <c r="BNY91" s="41"/>
      <c r="BNZ91" s="41"/>
      <c r="BOA91" s="41"/>
      <c r="BOB91" s="41"/>
      <c r="BOC91" s="42"/>
      <c r="BOD91" s="40"/>
      <c r="BOE91" s="66"/>
      <c r="BOF91" s="66"/>
      <c r="BOG91" s="66"/>
      <c r="BOH91" s="41"/>
      <c r="BOI91" s="134"/>
      <c r="BOJ91" s="41"/>
      <c r="BOK91" s="41"/>
      <c r="BOL91" s="41"/>
      <c r="BOM91" s="41"/>
      <c r="BON91" s="41"/>
      <c r="BOO91" s="139"/>
      <c r="BOP91" s="41"/>
      <c r="BOQ91" s="41"/>
      <c r="BOR91" s="41"/>
      <c r="BOS91" s="41"/>
      <c r="BOT91" s="41"/>
      <c r="BOU91" s="76"/>
      <c r="BOV91" s="41"/>
      <c r="BOW91" s="41"/>
      <c r="BOX91" s="41"/>
      <c r="BOY91" s="41"/>
      <c r="BOZ91" s="41"/>
      <c r="BPA91" s="139"/>
      <c r="BPB91" s="41"/>
      <c r="BPC91" s="41"/>
      <c r="BPD91" s="41"/>
      <c r="BPE91" s="41"/>
      <c r="BPF91" s="41"/>
      <c r="BPG91" s="76"/>
      <c r="BPH91" s="66"/>
      <c r="BPI91" s="66"/>
      <c r="BPJ91" s="66"/>
      <c r="BPK91" s="66"/>
      <c r="BPL91" s="41"/>
      <c r="BPM91" s="139"/>
      <c r="BPN91" s="41"/>
      <c r="BPO91" s="41"/>
      <c r="BPP91" s="41"/>
      <c r="BPQ91" s="41"/>
      <c r="BPR91" s="41"/>
      <c r="BPS91" s="76"/>
      <c r="BPT91" s="41"/>
      <c r="BPU91" s="41"/>
      <c r="BPV91" s="41"/>
      <c r="BPW91" s="41"/>
      <c r="BPX91" s="41"/>
      <c r="BPY91" s="139"/>
      <c r="BPZ91" s="41"/>
      <c r="BQA91" s="41"/>
      <c r="BQB91" s="41"/>
      <c r="BQC91" s="41"/>
      <c r="BQD91" s="41"/>
      <c r="BQE91" s="76"/>
      <c r="BQF91" s="41"/>
      <c r="BQG91" s="41"/>
      <c r="BQH91" s="41"/>
      <c r="BQI91" s="41"/>
      <c r="BQJ91" s="41"/>
      <c r="BQK91" s="42"/>
      <c r="BQL91" s="40"/>
      <c r="BQM91" s="66"/>
      <c r="BQN91" s="66"/>
      <c r="BQO91" s="66"/>
      <c r="BQP91" s="41"/>
      <c r="BQQ91" s="134"/>
      <c r="BQR91" s="41"/>
      <c r="BQS91" s="41"/>
      <c r="BQT91" s="41"/>
      <c r="BQU91" s="41"/>
      <c r="BQV91" s="41"/>
      <c r="BQW91" s="139"/>
      <c r="BQX91" s="41"/>
      <c r="BQY91" s="41"/>
      <c r="BQZ91" s="41"/>
      <c r="BRA91" s="41"/>
      <c r="BRB91" s="41"/>
      <c r="BRC91" s="76"/>
      <c r="BRD91" s="41"/>
      <c r="BRE91" s="41"/>
      <c r="BRF91" s="41"/>
      <c r="BRG91" s="41"/>
      <c r="BRH91" s="41"/>
      <c r="BRI91" s="139"/>
      <c r="BRJ91" s="41"/>
      <c r="BRK91" s="41"/>
      <c r="BRL91" s="41"/>
      <c r="BRM91" s="41"/>
      <c r="BRN91" s="41"/>
      <c r="BRO91" s="76"/>
      <c r="BRP91" s="66"/>
      <c r="BRQ91" s="66"/>
      <c r="BRR91" s="66"/>
      <c r="BRS91" s="66"/>
      <c r="BRT91" s="41"/>
      <c r="BRU91" s="139"/>
      <c r="BRV91" s="41"/>
      <c r="BRW91" s="41"/>
      <c r="BRX91" s="41"/>
      <c r="BRY91" s="41"/>
      <c r="BRZ91" s="41"/>
      <c r="BSA91" s="76"/>
      <c r="BSB91" s="41"/>
      <c r="BSC91" s="41"/>
      <c r="BSD91" s="41"/>
      <c r="BSE91" s="41"/>
      <c r="BSF91" s="41"/>
      <c r="BSG91" s="139"/>
      <c r="BSH91" s="41"/>
      <c r="BSI91" s="41"/>
      <c r="BSJ91" s="41"/>
      <c r="BSK91" s="41"/>
      <c r="BSL91" s="41"/>
      <c r="BSM91" s="76"/>
      <c r="BSN91" s="41"/>
      <c r="BSO91" s="41"/>
      <c r="BSP91" s="41"/>
      <c r="BSQ91" s="41"/>
      <c r="BSR91" s="41"/>
      <c r="BSS91" s="42"/>
      <c r="BST91" s="40"/>
      <c r="BSU91" s="66"/>
      <c r="BSV91" s="66"/>
      <c r="BSW91" s="66"/>
      <c r="BSX91" s="41"/>
      <c r="BSY91" s="134"/>
      <c r="BSZ91" s="41"/>
      <c r="BTA91" s="41"/>
      <c r="BTB91" s="41"/>
      <c r="BTC91" s="41"/>
      <c r="BTD91" s="41"/>
      <c r="BTE91" s="139"/>
      <c r="BTF91" s="41"/>
      <c r="BTG91" s="41"/>
      <c r="BTH91" s="41"/>
      <c r="BTI91" s="41"/>
      <c r="BTJ91" s="41"/>
      <c r="BTK91" s="76"/>
      <c r="BTL91" s="41"/>
      <c r="BTM91" s="41"/>
      <c r="BTN91" s="41"/>
      <c r="BTO91" s="41"/>
      <c r="BTP91" s="41"/>
      <c r="BTQ91" s="139"/>
      <c r="BTR91" s="41"/>
      <c r="BTS91" s="41"/>
      <c r="BTT91" s="41"/>
      <c r="BTU91" s="41"/>
      <c r="BTV91" s="41"/>
      <c r="BTW91" s="76"/>
      <c r="BTX91" s="66"/>
      <c r="BTY91" s="66"/>
      <c r="BTZ91" s="66"/>
      <c r="BUA91" s="66"/>
      <c r="BUB91" s="41"/>
      <c r="BUC91" s="139"/>
      <c r="BUD91" s="41"/>
      <c r="BUE91" s="41"/>
      <c r="BUF91" s="41"/>
      <c r="BUG91" s="41"/>
      <c r="BUH91" s="41"/>
      <c r="BUI91" s="76"/>
      <c r="BUJ91" s="41"/>
      <c r="BUK91" s="41"/>
      <c r="BUL91" s="41"/>
      <c r="BUM91" s="41"/>
      <c r="BUN91" s="41"/>
      <c r="BUO91" s="139"/>
      <c r="BUP91" s="41"/>
      <c r="BUQ91" s="41"/>
      <c r="BUR91" s="41"/>
      <c r="BUS91" s="41"/>
      <c r="BUT91" s="41"/>
      <c r="BUU91" s="76"/>
      <c r="BUV91" s="41"/>
      <c r="BUW91" s="41"/>
      <c r="BUX91" s="41"/>
      <c r="BUY91" s="41"/>
      <c r="BUZ91" s="41"/>
      <c r="BVA91" s="42"/>
      <c r="BVB91" s="40"/>
      <c r="BVC91" s="66"/>
      <c r="BVD91" s="66"/>
      <c r="BVE91" s="66"/>
      <c r="BVF91" s="41"/>
      <c r="BVG91" s="134"/>
      <c r="BVH91" s="41"/>
      <c r="BVI91" s="41"/>
      <c r="BVJ91" s="41"/>
      <c r="BVK91" s="41"/>
      <c r="BVL91" s="41"/>
      <c r="BVM91" s="139"/>
      <c r="BVN91" s="41"/>
      <c r="BVO91" s="41"/>
      <c r="BVP91" s="41"/>
      <c r="BVQ91" s="41"/>
      <c r="BVR91" s="41"/>
      <c r="BVS91" s="76"/>
      <c r="BVT91" s="41"/>
      <c r="BVU91" s="41"/>
      <c r="BVV91" s="41"/>
      <c r="BVW91" s="41"/>
      <c r="BVX91" s="41"/>
      <c r="BVY91" s="139"/>
      <c r="BVZ91" s="41"/>
      <c r="BWA91" s="41"/>
      <c r="BWB91" s="41"/>
      <c r="BWC91" s="41"/>
      <c r="BWD91" s="41"/>
      <c r="BWE91" s="76"/>
      <c r="BWF91" s="66"/>
      <c r="BWG91" s="66"/>
      <c r="BWH91" s="66"/>
      <c r="BWI91" s="66"/>
      <c r="BWJ91" s="41"/>
      <c r="BWK91" s="139"/>
      <c r="BWL91" s="41"/>
      <c r="BWM91" s="41"/>
      <c r="BWN91" s="41"/>
      <c r="BWO91" s="41"/>
      <c r="BWP91" s="41"/>
      <c r="BWQ91" s="76"/>
      <c r="BWR91" s="41"/>
      <c r="BWS91" s="41"/>
      <c r="BWT91" s="41"/>
      <c r="BWU91" s="41"/>
      <c r="BWV91" s="41"/>
      <c r="BWW91" s="139"/>
      <c r="BWX91" s="41"/>
      <c r="BWY91" s="41"/>
      <c r="BWZ91" s="41"/>
      <c r="BXA91" s="41"/>
      <c r="BXB91" s="41"/>
      <c r="BXC91" s="76"/>
      <c r="BXD91" s="41"/>
      <c r="BXE91" s="41"/>
      <c r="BXF91" s="41"/>
      <c r="BXG91" s="41"/>
      <c r="BXH91" s="41"/>
      <c r="BXI91" s="42"/>
      <c r="BXJ91" s="40"/>
      <c r="BXK91" s="66"/>
      <c r="BXL91" s="66"/>
      <c r="BXM91" s="66"/>
      <c r="BXN91" s="41"/>
      <c r="BXO91" s="134"/>
      <c r="BXP91" s="41"/>
      <c r="BXQ91" s="41"/>
      <c r="BXR91" s="41"/>
      <c r="BXS91" s="41"/>
      <c r="BXT91" s="41"/>
      <c r="BXU91" s="139"/>
      <c r="BXV91" s="41"/>
      <c r="BXW91" s="41"/>
      <c r="BXX91" s="41"/>
      <c r="BXY91" s="41"/>
      <c r="BXZ91" s="41"/>
      <c r="BYA91" s="76"/>
      <c r="BYB91" s="41"/>
      <c r="BYC91" s="41"/>
      <c r="BYD91" s="41"/>
      <c r="BYE91" s="41"/>
      <c r="BYF91" s="41"/>
      <c r="BYG91" s="139"/>
      <c r="BYH91" s="41"/>
      <c r="BYI91" s="41"/>
      <c r="BYJ91" s="41"/>
      <c r="BYK91" s="41"/>
      <c r="BYL91" s="41"/>
      <c r="BYM91" s="76"/>
      <c r="BYN91" s="66"/>
      <c r="BYO91" s="66"/>
      <c r="BYP91" s="66"/>
      <c r="BYQ91" s="66"/>
      <c r="BYR91" s="41"/>
      <c r="BYS91" s="139"/>
      <c r="BYT91" s="41"/>
      <c r="BYU91" s="41"/>
      <c r="BYV91" s="41"/>
      <c r="BYW91" s="41"/>
      <c r="BYX91" s="41"/>
      <c r="BYY91" s="76"/>
      <c r="BYZ91" s="41"/>
      <c r="BZA91" s="41"/>
      <c r="BZB91" s="41"/>
      <c r="BZC91" s="41"/>
      <c r="BZD91" s="41"/>
      <c r="BZE91" s="139"/>
      <c r="BZF91" s="41"/>
      <c r="BZG91" s="41"/>
      <c r="BZH91" s="41"/>
      <c r="BZI91" s="41"/>
      <c r="BZJ91" s="41"/>
      <c r="BZK91" s="76"/>
      <c r="BZL91" s="41"/>
      <c r="BZM91" s="41"/>
      <c r="BZN91" s="41"/>
      <c r="BZO91" s="41"/>
      <c r="BZP91" s="41"/>
      <c r="BZQ91" s="42"/>
      <c r="BZR91" s="40"/>
      <c r="BZS91" s="66"/>
      <c r="BZT91" s="66"/>
      <c r="BZU91" s="66"/>
      <c r="BZV91" s="41"/>
      <c r="BZW91" s="134"/>
      <c r="BZX91" s="41"/>
      <c r="BZY91" s="41"/>
      <c r="BZZ91" s="41"/>
      <c r="CAA91" s="41"/>
      <c r="CAB91" s="41"/>
      <c r="CAC91" s="139"/>
      <c r="CAD91" s="41"/>
      <c r="CAE91" s="41"/>
      <c r="CAF91" s="41"/>
      <c r="CAG91" s="41"/>
      <c r="CAH91" s="41"/>
      <c r="CAI91" s="76"/>
      <c r="CAJ91" s="41"/>
      <c r="CAK91" s="41"/>
      <c r="CAL91" s="41"/>
      <c r="CAM91" s="41"/>
      <c r="CAN91" s="41"/>
      <c r="CAO91" s="139"/>
      <c r="CAP91" s="41"/>
      <c r="CAQ91" s="41"/>
      <c r="CAR91" s="41"/>
      <c r="CAS91" s="41"/>
      <c r="CAT91" s="41"/>
      <c r="CAU91" s="76"/>
      <c r="CAV91" s="66"/>
      <c r="CAW91" s="66"/>
      <c r="CAX91" s="66"/>
      <c r="CAY91" s="66"/>
      <c r="CAZ91" s="41"/>
      <c r="CBA91" s="139"/>
      <c r="CBB91" s="41"/>
      <c r="CBC91" s="41"/>
      <c r="CBD91" s="41"/>
      <c r="CBE91" s="41"/>
      <c r="CBF91" s="41"/>
      <c r="CBG91" s="76"/>
      <c r="CBH91" s="41"/>
      <c r="CBI91" s="41"/>
      <c r="CBJ91" s="41"/>
      <c r="CBK91" s="41"/>
      <c r="CBL91" s="41"/>
      <c r="CBM91" s="139"/>
      <c r="CBN91" s="41"/>
      <c r="CBO91" s="41"/>
      <c r="CBP91" s="41"/>
      <c r="CBQ91" s="41"/>
      <c r="CBR91" s="41"/>
      <c r="CBS91" s="76"/>
      <c r="CBT91" s="41"/>
      <c r="CBU91" s="41"/>
      <c r="CBV91" s="41"/>
      <c r="CBW91" s="41"/>
      <c r="CBX91" s="41"/>
      <c r="CBY91" s="42"/>
      <c r="CBZ91" s="40"/>
      <c r="CCA91" s="66"/>
      <c r="CCB91" s="66"/>
      <c r="CCC91" s="66"/>
      <c r="CCD91" s="41"/>
      <c r="CCE91" s="134"/>
      <c r="CCF91" s="41"/>
      <c r="CCG91" s="41"/>
      <c r="CCH91" s="41"/>
      <c r="CCI91" s="41"/>
      <c r="CCJ91" s="41"/>
      <c r="CCK91" s="139"/>
      <c r="CCL91" s="41"/>
      <c r="CCM91" s="41"/>
      <c r="CCN91" s="41"/>
      <c r="CCO91" s="41"/>
      <c r="CCP91" s="41"/>
      <c r="CCQ91" s="76"/>
      <c r="CCR91" s="41"/>
      <c r="CCS91" s="41"/>
      <c r="CCT91" s="41"/>
      <c r="CCU91" s="41"/>
      <c r="CCV91" s="41"/>
      <c r="CCW91" s="139"/>
      <c r="CCX91" s="41"/>
      <c r="CCY91" s="41"/>
      <c r="CCZ91" s="41"/>
      <c r="CDA91" s="41"/>
      <c r="CDB91" s="41"/>
      <c r="CDC91" s="76"/>
      <c r="CDD91" s="66"/>
      <c r="CDE91" s="66"/>
      <c r="CDF91" s="66"/>
      <c r="CDG91" s="66"/>
      <c r="CDH91" s="41"/>
      <c r="CDI91" s="139"/>
      <c r="CDJ91" s="41"/>
      <c r="CDK91" s="41"/>
      <c r="CDL91" s="41"/>
      <c r="CDM91" s="41"/>
      <c r="CDN91" s="41"/>
      <c r="CDO91" s="76"/>
      <c r="CDP91" s="41"/>
      <c r="CDQ91" s="41"/>
      <c r="CDR91" s="41"/>
      <c r="CDS91" s="41"/>
      <c r="CDT91" s="41"/>
      <c r="CDU91" s="139"/>
      <c r="CDV91" s="41"/>
      <c r="CDW91" s="41"/>
      <c r="CDX91" s="41"/>
      <c r="CDY91" s="41"/>
      <c r="CDZ91" s="41"/>
      <c r="CEA91" s="76"/>
      <c r="CEB91" s="41"/>
      <c r="CEC91" s="41"/>
      <c r="CED91" s="41"/>
      <c r="CEE91" s="41"/>
      <c r="CEF91" s="41"/>
      <c r="CEG91" s="42"/>
      <c r="CEH91" s="40"/>
      <c r="CEI91" s="66"/>
      <c r="CEJ91" s="66"/>
      <c r="CEK91" s="66"/>
      <c r="CEL91" s="41"/>
      <c r="CEM91" s="134"/>
      <c r="CEN91" s="41"/>
      <c r="CEO91" s="41"/>
      <c r="CEP91" s="41"/>
      <c r="CEQ91" s="41"/>
      <c r="CER91" s="41"/>
      <c r="CES91" s="139"/>
      <c r="CET91" s="41"/>
      <c r="CEU91" s="41"/>
      <c r="CEV91" s="41"/>
      <c r="CEW91" s="41"/>
      <c r="CEX91" s="41"/>
      <c r="CEY91" s="76"/>
      <c r="CEZ91" s="41"/>
      <c r="CFA91" s="41"/>
      <c r="CFB91" s="41"/>
      <c r="CFC91" s="41"/>
      <c r="CFD91" s="41"/>
      <c r="CFE91" s="139"/>
      <c r="CFF91" s="41"/>
      <c r="CFG91" s="41"/>
      <c r="CFH91" s="41"/>
      <c r="CFI91" s="41"/>
      <c r="CFJ91" s="41"/>
      <c r="CFK91" s="76"/>
      <c r="CFL91" s="66"/>
      <c r="CFM91" s="66"/>
      <c r="CFN91" s="66"/>
      <c r="CFO91" s="66"/>
      <c r="CFP91" s="41"/>
      <c r="CFQ91" s="139"/>
      <c r="CFR91" s="41"/>
      <c r="CFS91" s="41"/>
      <c r="CFT91" s="41"/>
      <c r="CFU91" s="41"/>
      <c r="CFV91" s="41"/>
      <c r="CFW91" s="76"/>
      <c r="CFX91" s="41"/>
      <c r="CFY91" s="41"/>
      <c r="CFZ91" s="41"/>
      <c r="CGA91" s="41"/>
      <c r="CGB91" s="41"/>
      <c r="CGC91" s="139"/>
      <c r="CGD91" s="41"/>
      <c r="CGE91" s="41"/>
      <c r="CGF91" s="41"/>
      <c r="CGG91" s="41"/>
      <c r="CGH91" s="41"/>
      <c r="CGI91" s="76"/>
      <c r="CGJ91" s="41"/>
      <c r="CGK91" s="41"/>
      <c r="CGL91" s="41"/>
      <c r="CGM91" s="41"/>
      <c r="CGN91" s="41"/>
      <c r="CGO91" s="42"/>
      <c r="CGP91" s="40"/>
      <c r="CGQ91" s="66"/>
      <c r="CGR91" s="66"/>
      <c r="CGS91" s="66"/>
      <c r="CGT91" s="41"/>
      <c r="CGU91" s="134"/>
      <c r="CGV91" s="41"/>
      <c r="CGW91" s="41"/>
      <c r="CGX91" s="41"/>
      <c r="CGY91" s="41"/>
      <c r="CGZ91" s="41"/>
      <c r="CHA91" s="139"/>
      <c r="CHB91" s="41"/>
      <c r="CHC91" s="41"/>
      <c r="CHD91" s="41"/>
      <c r="CHE91" s="41"/>
      <c r="CHF91" s="41"/>
      <c r="CHG91" s="76"/>
      <c r="CHH91" s="41"/>
      <c r="CHI91" s="41"/>
      <c r="CHJ91" s="41"/>
      <c r="CHK91" s="41"/>
      <c r="CHL91" s="41"/>
      <c r="CHM91" s="139"/>
      <c r="CHN91" s="41"/>
      <c r="CHO91" s="41"/>
      <c r="CHP91" s="41"/>
      <c r="CHQ91" s="41"/>
      <c r="CHR91" s="41"/>
      <c r="CHS91" s="76"/>
      <c r="CHT91" s="66"/>
      <c r="CHU91" s="66"/>
      <c r="CHV91" s="66"/>
      <c r="CHW91" s="66"/>
      <c r="CHX91" s="41"/>
      <c r="CHY91" s="139"/>
      <c r="CHZ91" s="41"/>
      <c r="CIA91" s="41"/>
      <c r="CIB91" s="41"/>
      <c r="CIC91" s="41"/>
      <c r="CID91" s="41"/>
      <c r="CIE91" s="76"/>
      <c r="CIF91" s="41"/>
      <c r="CIG91" s="41"/>
      <c r="CIH91" s="41"/>
      <c r="CII91" s="41"/>
      <c r="CIJ91" s="41"/>
      <c r="CIK91" s="139"/>
      <c r="CIL91" s="41"/>
      <c r="CIM91" s="41"/>
      <c r="CIN91" s="41"/>
      <c r="CIO91" s="41"/>
      <c r="CIP91" s="41"/>
      <c r="CIQ91" s="76"/>
      <c r="CIR91" s="41"/>
      <c r="CIS91" s="41"/>
      <c r="CIT91" s="41"/>
      <c r="CIU91" s="41"/>
      <c r="CIV91" s="41"/>
      <c r="CIW91" s="42"/>
      <c r="CIX91" s="40"/>
      <c r="CIY91" s="66"/>
      <c r="CIZ91" s="66"/>
      <c r="CJA91" s="66"/>
      <c r="CJB91" s="41"/>
      <c r="CJC91" s="134"/>
      <c r="CJD91" s="41"/>
      <c r="CJE91" s="41"/>
      <c r="CJF91" s="41"/>
      <c r="CJG91" s="41"/>
      <c r="CJH91" s="41"/>
      <c r="CJI91" s="139"/>
      <c r="CJJ91" s="41"/>
      <c r="CJK91" s="41"/>
      <c r="CJL91" s="41"/>
      <c r="CJM91" s="41"/>
      <c r="CJN91" s="41"/>
      <c r="CJO91" s="76"/>
      <c r="CJP91" s="41"/>
      <c r="CJQ91" s="41"/>
      <c r="CJR91" s="41"/>
      <c r="CJS91" s="41"/>
      <c r="CJT91" s="41"/>
      <c r="CJU91" s="139"/>
      <c r="CJV91" s="41"/>
      <c r="CJW91" s="41"/>
      <c r="CJX91" s="41"/>
      <c r="CJY91" s="41"/>
      <c r="CJZ91" s="41"/>
      <c r="CKA91" s="76"/>
      <c r="CKB91" s="66"/>
      <c r="CKC91" s="66"/>
      <c r="CKD91" s="66"/>
      <c r="CKE91" s="66"/>
      <c r="CKF91" s="41"/>
      <c r="CKG91" s="139"/>
      <c r="CKH91" s="41"/>
      <c r="CKI91" s="41"/>
      <c r="CKJ91" s="41"/>
      <c r="CKK91" s="41"/>
      <c r="CKL91" s="41"/>
      <c r="CKM91" s="76"/>
      <c r="CKN91" s="41"/>
      <c r="CKO91" s="41"/>
      <c r="CKP91" s="41"/>
      <c r="CKQ91" s="41"/>
      <c r="CKR91" s="41"/>
      <c r="CKS91" s="139"/>
      <c r="CKT91" s="41"/>
      <c r="CKU91" s="41"/>
      <c r="CKV91" s="41"/>
      <c r="CKW91" s="41"/>
      <c r="CKX91" s="41"/>
      <c r="CKY91" s="76"/>
      <c r="CKZ91" s="41"/>
      <c r="CLA91" s="41"/>
      <c r="CLB91" s="41"/>
      <c r="CLC91" s="41"/>
      <c r="CLD91" s="41"/>
      <c r="CLE91" s="42"/>
      <c r="CLF91" s="40"/>
      <c r="CLG91" s="66"/>
      <c r="CLH91" s="66"/>
      <c r="CLI91" s="66"/>
      <c r="CLJ91" s="41"/>
      <c r="CLK91" s="134"/>
      <c r="CLL91" s="41"/>
      <c r="CLM91" s="41"/>
      <c r="CLN91" s="41"/>
      <c r="CLO91" s="41"/>
      <c r="CLP91" s="41"/>
      <c r="CLQ91" s="139"/>
      <c r="CLR91" s="41"/>
      <c r="CLS91" s="41"/>
      <c r="CLT91" s="41"/>
      <c r="CLU91" s="41"/>
      <c r="CLV91" s="41"/>
      <c r="CLW91" s="76"/>
      <c r="CLX91" s="41"/>
      <c r="CLY91" s="41"/>
      <c r="CLZ91" s="41"/>
      <c r="CMA91" s="41"/>
      <c r="CMB91" s="41"/>
      <c r="CMC91" s="139"/>
      <c r="CMD91" s="41"/>
      <c r="CME91" s="41"/>
      <c r="CMF91" s="41"/>
      <c r="CMG91" s="41"/>
      <c r="CMH91" s="41"/>
      <c r="CMI91" s="76"/>
      <c r="CMJ91" s="66"/>
      <c r="CMK91" s="66"/>
      <c r="CML91" s="66"/>
      <c r="CMM91" s="66"/>
      <c r="CMN91" s="41"/>
      <c r="CMO91" s="139"/>
      <c r="CMP91" s="41"/>
      <c r="CMQ91" s="41"/>
      <c r="CMR91" s="41"/>
      <c r="CMS91" s="41"/>
      <c r="CMT91" s="41"/>
      <c r="CMU91" s="76"/>
      <c r="CMV91" s="41"/>
      <c r="CMW91" s="41"/>
      <c r="CMX91" s="41"/>
      <c r="CMY91" s="41"/>
      <c r="CMZ91" s="41"/>
      <c r="CNA91" s="139"/>
      <c r="CNB91" s="41"/>
      <c r="CNC91" s="41"/>
      <c r="CND91" s="41"/>
      <c r="CNE91" s="41"/>
      <c r="CNF91" s="41"/>
      <c r="CNG91" s="76"/>
      <c r="CNH91" s="41"/>
      <c r="CNI91" s="41"/>
      <c r="CNJ91" s="41"/>
      <c r="CNK91" s="41"/>
      <c r="CNL91" s="41"/>
      <c r="CNM91" s="42"/>
      <c r="CNN91" s="40"/>
      <c r="CNO91" s="66"/>
      <c r="CNP91" s="66"/>
      <c r="CNQ91" s="66"/>
      <c r="CNR91" s="41"/>
      <c r="CNS91" s="134"/>
      <c r="CNT91" s="41"/>
      <c r="CNU91" s="41"/>
      <c r="CNV91" s="41"/>
      <c r="CNW91" s="41"/>
      <c r="CNX91" s="41"/>
      <c r="CNY91" s="139"/>
      <c r="CNZ91" s="41"/>
      <c r="COA91" s="41"/>
      <c r="COB91" s="41"/>
      <c r="COC91" s="41"/>
      <c r="COD91" s="41"/>
      <c r="COE91" s="76"/>
      <c r="COF91" s="41"/>
      <c r="COG91" s="41"/>
      <c r="COH91" s="41"/>
      <c r="COI91" s="41"/>
      <c r="COJ91" s="41"/>
      <c r="COK91" s="139"/>
      <c r="COL91" s="41"/>
      <c r="COM91" s="41"/>
      <c r="CON91" s="41"/>
      <c r="COO91" s="41"/>
      <c r="COP91" s="41"/>
      <c r="COQ91" s="76"/>
      <c r="COR91" s="66"/>
      <c r="COS91" s="66"/>
      <c r="COT91" s="66"/>
      <c r="COU91" s="66"/>
      <c r="COV91" s="41"/>
      <c r="COW91" s="139"/>
      <c r="COX91" s="41"/>
      <c r="COY91" s="41"/>
      <c r="COZ91" s="41"/>
      <c r="CPA91" s="41"/>
      <c r="CPB91" s="41"/>
      <c r="CPC91" s="76"/>
      <c r="CPD91" s="41"/>
      <c r="CPE91" s="41"/>
      <c r="CPF91" s="41"/>
      <c r="CPG91" s="41"/>
      <c r="CPH91" s="41"/>
      <c r="CPI91" s="139"/>
      <c r="CPJ91" s="41"/>
      <c r="CPK91" s="41"/>
      <c r="CPL91" s="41"/>
      <c r="CPM91" s="41"/>
      <c r="CPN91" s="41"/>
      <c r="CPO91" s="76"/>
      <c r="CPP91" s="41"/>
      <c r="CPQ91" s="41"/>
      <c r="CPR91" s="41"/>
      <c r="CPS91" s="41"/>
      <c r="CPT91" s="41"/>
      <c r="CPU91" s="42"/>
      <c r="CPV91" s="40"/>
      <c r="CPW91" s="66"/>
      <c r="CPX91" s="66"/>
      <c r="CPY91" s="66"/>
      <c r="CPZ91" s="41"/>
      <c r="CQA91" s="134"/>
      <c r="CQB91" s="41"/>
      <c r="CQC91" s="41"/>
      <c r="CQD91" s="41"/>
      <c r="CQE91" s="41"/>
      <c r="CQF91" s="41"/>
      <c r="CQG91" s="139"/>
      <c r="CQH91" s="41"/>
      <c r="CQI91" s="41"/>
      <c r="CQJ91" s="41"/>
      <c r="CQK91" s="41"/>
      <c r="CQL91" s="41"/>
      <c r="CQM91" s="76"/>
      <c r="CQN91" s="41"/>
      <c r="CQO91" s="41"/>
      <c r="CQP91" s="41"/>
      <c r="CQQ91" s="41"/>
      <c r="CQR91" s="41"/>
      <c r="CQS91" s="139"/>
      <c r="CQT91" s="41"/>
      <c r="CQU91" s="41"/>
      <c r="CQV91" s="41"/>
      <c r="CQW91" s="41"/>
      <c r="CQX91" s="41"/>
      <c r="CQY91" s="76"/>
      <c r="CQZ91" s="66"/>
      <c r="CRA91" s="66"/>
      <c r="CRB91" s="66"/>
      <c r="CRC91" s="66"/>
      <c r="CRD91" s="41"/>
      <c r="CRE91" s="139"/>
      <c r="CRF91" s="41"/>
      <c r="CRG91" s="41"/>
      <c r="CRH91" s="41"/>
      <c r="CRI91" s="41"/>
      <c r="CRJ91" s="41"/>
      <c r="CRK91" s="76"/>
      <c r="CRL91" s="41"/>
      <c r="CRM91" s="41"/>
      <c r="CRN91" s="41"/>
      <c r="CRO91" s="41"/>
      <c r="CRP91" s="41"/>
      <c r="CRQ91" s="139"/>
      <c r="CRR91" s="41"/>
      <c r="CRS91" s="41"/>
      <c r="CRT91" s="41"/>
      <c r="CRU91" s="41"/>
      <c r="CRV91" s="41"/>
      <c r="CRW91" s="76"/>
      <c r="CRX91" s="41"/>
      <c r="CRY91" s="41"/>
      <c r="CRZ91" s="41"/>
      <c r="CSA91" s="41"/>
      <c r="CSB91" s="41"/>
      <c r="CSC91" s="42"/>
      <c r="CSD91" s="90"/>
    </row>
    <row r="92" spans="1:2526" ht="20.100000000000001" customHeight="1" x14ac:dyDescent="0.3">
      <c r="A92" s="100" t="s">
        <v>19</v>
      </c>
      <c r="B92" s="63"/>
      <c r="C92" s="213"/>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28"/>
      <c r="BLW92" s="67"/>
      <c r="BLX92" s="67"/>
      <c r="BLY92" s="67"/>
      <c r="BLZ92" s="29"/>
      <c r="BMA92" s="133"/>
      <c r="BMB92" s="29"/>
      <c r="BMC92" s="29"/>
      <c r="BMD92" s="29"/>
      <c r="BME92" s="29"/>
      <c r="BMF92" s="29"/>
      <c r="BMG92" s="138"/>
      <c r="BMH92" s="29"/>
      <c r="BMI92" s="29"/>
      <c r="BMJ92" s="29"/>
      <c r="BMK92" s="29"/>
      <c r="BML92" s="29"/>
      <c r="BMM92" s="75"/>
      <c r="BMN92" s="29"/>
      <c r="BMO92" s="29"/>
      <c r="BMP92" s="29"/>
      <c r="BMQ92" s="29"/>
      <c r="BMR92" s="29"/>
      <c r="BMS92" s="138"/>
      <c r="BMT92" s="29"/>
      <c r="BMU92" s="29"/>
      <c r="BMV92" s="29"/>
      <c r="BMW92" s="29"/>
      <c r="BMX92" s="29"/>
      <c r="BMY92" s="75"/>
      <c r="BMZ92" s="67"/>
      <c r="BNA92" s="67"/>
      <c r="BNB92" s="67"/>
      <c r="BNC92" s="67"/>
      <c r="BND92" s="29"/>
      <c r="BNE92" s="138"/>
      <c r="BNF92" s="29"/>
      <c r="BNG92" s="29"/>
      <c r="BNH92" s="29"/>
      <c r="BNI92" s="29"/>
      <c r="BNJ92" s="29"/>
      <c r="BNK92" s="75"/>
      <c r="BNL92" s="29"/>
      <c r="BNM92" s="29"/>
      <c r="BNN92" s="29"/>
      <c r="BNO92" s="29"/>
      <c r="BNP92" s="29"/>
      <c r="BNQ92" s="138"/>
      <c r="BNR92" s="29"/>
      <c r="BNS92" s="29"/>
      <c r="BNT92" s="29"/>
      <c r="BNU92" s="29"/>
      <c r="BNV92" s="29"/>
      <c r="BNW92" s="75"/>
      <c r="BNX92" s="29"/>
      <c r="BNY92" s="29"/>
      <c r="BNZ92" s="29"/>
      <c r="BOA92" s="29"/>
      <c r="BOB92" s="29"/>
      <c r="BOC92" s="30"/>
      <c r="BOD92" s="28"/>
      <c r="BOE92" s="67"/>
      <c r="BOF92" s="67"/>
      <c r="BOG92" s="67"/>
      <c r="BOH92" s="29"/>
      <c r="BOI92" s="133"/>
      <c r="BOJ92" s="29"/>
      <c r="BOK92" s="29"/>
      <c r="BOL92" s="29"/>
      <c r="BOM92" s="29"/>
      <c r="BON92" s="29"/>
      <c r="BOO92" s="138"/>
      <c r="BOP92" s="29"/>
      <c r="BOQ92" s="29"/>
      <c r="BOR92" s="29"/>
      <c r="BOS92" s="29"/>
      <c r="BOT92" s="29"/>
      <c r="BOU92" s="75"/>
      <c r="BOV92" s="29"/>
      <c r="BOW92" s="29"/>
      <c r="BOX92" s="29"/>
      <c r="BOY92" s="29"/>
      <c r="BOZ92" s="29"/>
      <c r="BPA92" s="138"/>
      <c r="BPB92" s="29"/>
      <c r="BPC92" s="29"/>
      <c r="BPD92" s="29"/>
      <c r="BPE92" s="29"/>
      <c r="BPF92" s="29"/>
      <c r="BPG92" s="75"/>
      <c r="BPH92" s="67"/>
      <c r="BPI92" s="67"/>
      <c r="BPJ92" s="67"/>
      <c r="BPK92" s="67"/>
      <c r="BPL92" s="29"/>
      <c r="BPM92" s="138"/>
      <c r="BPN92" s="29"/>
      <c r="BPO92" s="29"/>
      <c r="BPP92" s="29"/>
      <c r="BPQ92" s="29"/>
      <c r="BPR92" s="29"/>
      <c r="BPS92" s="75"/>
      <c r="BPT92" s="29"/>
      <c r="BPU92" s="29"/>
      <c r="BPV92" s="29"/>
      <c r="BPW92" s="29"/>
      <c r="BPX92" s="29"/>
      <c r="BPY92" s="138"/>
      <c r="BPZ92" s="29"/>
      <c r="BQA92" s="29"/>
      <c r="BQB92" s="29"/>
      <c r="BQC92" s="29"/>
      <c r="BQD92" s="29"/>
      <c r="BQE92" s="75"/>
      <c r="BQF92" s="29"/>
      <c r="BQG92" s="29"/>
      <c r="BQH92" s="29"/>
      <c r="BQI92" s="29"/>
      <c r="BQJ92" s="29"/>
      <c r="BQK92" s="30"/>
      <c r="BQL92" s="28"/>
      <c r="BQM92" s="67"/>
      <c r="BQN92" s="67"/>
      <c r="BQO92" s="67"/>
      <c r="BQP92" s="29"/>
      <c r="BQQ92" s="133"/>
      <c r="BQR92" s="29"/>
      <c r="BQS92" s="29"/>
      <c r="BQT92" s="29"/>
      <c r="BQU92" s="29"/>
      <c r="BQV92" s="29"/>
      <c r="BQW92" s="138"/>
      <c r="BQX92" s="29"/>
      <c r="BQY92" s="29"/>
      <c r="BQZ92" s="29"/>
      <c r="BRA92" s="29"/>
      <c r="BRB92" s="29"/>
      <c r="BRC92" s="75"/>
      <c r="BRD92" s="29"/>
      <c r="BRE92" s="29"/>
      <c r="BRF92" s="29"/>
      <c r="BRG92" s="29"/>
      <c r="BRH92" s="29"/>
      <c r="BRI92" s="138"/>
      <c r="BRJ92" s="29"/>
      <c r="BRK92" s="29"/>
      <c r="BRL92" s="29"/>
      <c r="BRM92" s="29"/>
      <c r="BRN92" s="29"/>
      <c r="BRO92" s="75"/>
      <c r="BRP92" s="67"/>
      <c r="BRQ92" s="67"/>
      <c r="BRR92" s="67"/>
      <c r="BRS92" s="67"/>
      <c r="BRT92" s="29"/>
      <c r="BRU92" s="138"/>
      <c r="BRV92" s="29"/>
      <c r="BRW92" s="29"/>
      <c r="BRX92" s="29"/>
      <c r="BRY92" s="29"/>
      <c r="BRZ92" s="29"/>
      <c r="BSA92" s="75"/>
      <c r="BSB92" s="29"/>
      <c r="BSC92" s="29"/>
      <c r="BSD92" s="29"/>
      <c r="BSE92" s="29"/>
      <c r="BSF92" s="29"/>
      <c r="BSG92" s="138"/>
      <c r="BSH92" s="29"/>
      <c r="BSI92" s="29"/>
      <c r="BSJ92" s="29"/>
      <c r="BSK92" s="29"/>
      <c r="BSL92" s="29"/>
      <c r="BSM92" s="75"/>
      <c r="BSN92" s="29"/>
      <c r="BSO92" s="29"/>
      <c r="BSP92" s="29"/>
      <c r="BSQ92" s="29"/>
      <c r="BSR92" s="29"/>
      <c r="BSS92" s="30"/>
      <c r="BST92" s="28"/>
      <c r="BSU92" s="67"/>
      <c r="BSV92" s="67"/>
      <c r="BSW92" s="67"/>
      <c r="BSX92" s="29"/>
      <c r="BSY92" s="133"/>
      <c r="BSZ92" s="29"/>
      <c r="BTA92" s="29"/>
      <c r="BTB92" s="29"/>
      <c r="BTC92" s="29"/>
      <c r="BTD92" s="29"/>
      <c r="BTE92" s="138"/>
      <c r="BTF92" s="29"/>
      <c r="BTG92" s="29"/>
      <c r="BTH92" s="29"/>
      <c r="BTI92" s="29"/>
      <c r="BTJ92" s="29"/>
      <c r="BTK92" s="75"/>
      <c r="BTL92" s="29"/>
      <c r="BTM92" s="29"/>
      <c r="BTN92" s="29"/>
      <c r="BTO92" s="29"/>
      <c r="BTP92" s="29"/>
      <c r="BTQ92" s="138"/>
      <c r="BTR92" s="29"/>
      <c r="BTS92" s="29"/>
      <c r="BTT92" s="29"/>
      <c r="BTU92" s="29"/>
      <c r="BTV92" s="29"/>
      <c r="BTW92" s="75"/>
      <c r="BTX92" s="67"/>
      <c r="BTY92" s="67"/>
      <c r="BTZ92" s="67"/>
      <c r="BUA92" s="67"/>
      <c r="BUB92" s="29"/>
      <c r="BUC92" s="138"/>
      <c r="BUD92" s="29"/>
      <c r="BUE92" s="29"/>
      <c r="BUF92" s="29"/>
      <c r="BUG92" s="29"/>
      <c r="BUH92" s="29"/>
      <c r="BUI92" s="75"/>
      <c r="BUJ92" s="29"/>
      <c r="BUK92" s="29"/>
      <c r="BUL92" s="29"/>
      <c r="BUM92" s="29"/>
      <c r="BUN92" s="29"/>
      <c r="BUO92" s="138"/>
      <c r="BUP92" s="29"/>
      <c r="BUQ92" s="29"/>
      <c r="BUR92" s="29"/>
      <c r="BUS92" s="29"/>
      <c r="BUT92" s="29"/>
      <c r="BUU92" s="75"/>
      <c r="BUV92" s="29"/>
      <c r="BUW92" s="29"/>
      <c r="BUX92" s="29"/>
      <c r="BUY92" s="29"/>
      <c r="BUZ92" s="29"/>
      <c r="BVA92" s="30"/>
      <c r="BVB92" s="28"/>
      <c r="BVC92" s="67"/>
      <c r="BVD92" s="67"/>
      <c r="BVE92" s="67"/>
      <c r="BVF92" s="29"/>
      <c r="BVG92" s="133"/>
      <c r="BVH92" s="29"/>
      <c r="BVI92" s="29"/>
      <c r="BVJ92" s="29"/>
      <c r="BVK92" s="29"/>
      <c r="BVL92" s="29"/>
      <c r="BVM92" s="138"/>
      <c r="BVN92" s="29"/>
      <c r="BVO92" s="29"/>
      <c r="BVP92" s="29"/>
      <c r="BVQ92" s="29"/>
      <c r="BVR92" s="29"/>
      <c r="BVS92" s="75"/>
      <c r="BVT92" s="29"/>
      <c r="BVU92" s="29"/>
      <c r="BVV92" s="29"/>
      <c r="BVW92" s="29"/>
      <c r="BVX92" s="29"/>
      <c r="BVY92" s="138"/>
      <c r="BVZ92" s="29"/>
      <c r="BWA92" s="29"/>
      <c r="BWB92" s="29"/>
      <c r="BWC92" s="29"/>
      <c r="BWD92" s="29"/>
      <c r="BWE92" s="75"/>
      <c r="BWF92" s="67"/>
      <c r="BWG92" s="67"/>
      <c r="BWH92" s="67"/>
      <c r="BWI92" s="67"/>
      <c r="BWJ92" s="29"/>
      <c r="BWK92" s="138"/>
      <c r="BWL92" s="29"/>
      <c r="BWM92" s="29"/>
      <c r="BWN92" s="29"/>
      <c r="BWO92" s="29"/>
      <c r="BWP92" s="29"/>
      <c r="BWQ92" s="75"/>
      <c r="BWR92" s="29"/>
      <c r="BWS92" s="29"/>
      <c r="BWT92" s="29"/>
      <c r="BWU92" s="29"/>
      <c r="BWV92" s="29"/>
      <c r="BWW92" s="138"/>
      <c r="BWX92" s="29"/>
      <c r="BWY92" s="29"/>
      <c r="BWZ92" s="29"/>
      <c r="BXA92" s="29"/>
      <c r="BXB92" s="29"/>
      <c r="BXC92" s="75"/>
      <c r="BXD92" s="29"/>
      <c r="BXE92" s="29"/>
      <c r="BXF92" s="29"/>
      <c r="BXG92" s="29"/>
      <c r="BXH92" s="29"/>
      <c r="BXI92" s="30"/>
      <c r="BXJ92" s="28"/>
      <c r="BXK92" s="67"/>
      <c r="BXL92" s="67"/>
      <c r="BXM92" s="67"/>
      <c r="BXN92" s="29"/>
      <c r="BXO92" s="133"/>
      <c r="BXP92" s="29"/>
      <c r="BXQ92" s="29"/>
      <c r="BXR92" s="29"/>
      <c r="BXS92" s="29"/>
      <c r="BXT92" s="29"/>
      <c r="BXU92" s="138"/>
      <c r="BXV92" s="29"/>
      <c r="BXW92" s="29"/>
      <c r="BXX92" s="29"/>
      <c r="BXY92" s="29"/>
      <c r="BXZ92" s="29"/>
      <c r="BYA92" s="75"/>
      <c r="BYB92" s="29"/>
      <c r="BYC92" s="29"/>
      <c r="BYD92" s="29"/>
      <c r="BYE92" s="29"/>
      <c r="BYF92" s="29"/>
      <c r="BYG92" s="138"/>
      <c r="BYH92" s="29"/>
      <c r="BYI92" s="29"/>
      <c r="BYJ92" s="29"/>
      <c r="BYK92" s="29"/>
      <c r="BYL92" s="29"/>
      <c r="BYM92" s="75"/>
      <c r="BYN92" s="67"/>
      <c r="BYO92" s="67"/>
      <c r="BYP92" s="67"/>
      <c r="BYQ92" s="67"/>
      <c r="BYR92" s="29"/>
      <c r="BYS92" s="138"/>
      <c r="BYT92" s="29"/>
      <c r="BYU92" s="29"/>
      <c r="BYV92" s="29"/>
      <c r="BYW92" s="29"/>
      <c r="BYX92" s="29"/>
      <c r="BYY92" s="75"/>
      <c r="BYZ92" s="29"/>
      <c r="BZA92" s="29"/>
      <c r="BZB92" s="29"/>
      <c r="BZC92" s="29"/>
      <c r="BZD92" s="29"/>
      <c r="BZE92" s="138"/>
      <c r="BZF92" s="29"/>
      <c r="BZG92" s="29"/>
      <c r="BZH92" s="29"/>
      <c r="BZI92" s="29"/>
      <c r="BZJ92" s="29"/>
      <c r="BZK92" s="75"/>
      <c r="BZL92" s="29"/>
      <c r="BZM92" s="29"/>
      <c r="BZN92" s="29"/>
      <c r="BZO92" s="29"/>
      <c r="BZP92" s="29"/>
      <c r="BZQ92" s="30"/>
      <c r="BZR92" s="28"/>
      <c r="BZS92" s="67"/>
      <c r="BZT92" s="67"/>
      <c r="BZU92" s="67"/>
      <c r="BZV92" s="29"/>
      <c r="BZW92" s="133"/>
      <c r="BZX92" s="29"/>
      <c r="BZY92" s="29"/>
      <c r="BZZ92" s="29"/>
      <c r="CAA92" s="29"/>
      <c r="CAB92" s="29"/>
      <c r="CAC92" s="138"/>
      <c r="CAD92" s="29"/>
      <c r="CAE92" s="29"/>
      <c r="CAF92" s="29"/>
      <c r="CAG92" s="29"/>
      <c r="CAH92" s="29"/>
      <c r="CAI92" s="75"/>
      <c r="CAJ92" s="29"/>
      <c r="CAK92" s="29"/>
      <c r="CAL92" s="29"/>
      <c r="CAM92" s="29"/>
      <c r="CAN92" s="29"/>
      <c r="CAO92" s="138"/>
      <c r="CAP92" s="29"/>
      <c r="CAQ92" s="29"/>
      <c r="CAR92" s="29"/>
      <c r="CAS92" s="29"/>
      <c r="CAT92" s="29"/>
      <c r="CAU92" s="75"/>
      <c r="CAV92" s="67"/>
      <c r="CAW92" s="67"/>
      <c r="CAX92" s="67"/>
      <c r="CAY92" s="67"/>
      <c r="CAZ92" s="29"/>
      <c r="CBA92" s="138"/>
      <c r="CBB92" s="29"/>
      <c r="CBC92" s="29"/>
      <c r="CBD92" s="29"/>
      <c r="CBE92" s="29"/>
      <c r="CBF92" s="29"/>
      <c r="CBG92" s="75"/>
      <c r="CBH92" s="29"/>
      <c r="CBI92" s="29"/>
      <c r="CBJ92" s="29"/>
      <c r="CBK92" s="29"/>
      <c r="CBL92" s="29"/>
      <c r="CBM92" s="138"/>
      <c r="CBN92" s="29"/>
      <c r="CBO92" s="29"/>
      <c r="CBP92" s="29"/>
      <c r="CBQ92" s="29"/>
      <c r="CBR92" s="29"/>
      <c r="CBS92" s="75"/>
      <c r="CBT92" s="29"/>
      <c r="CBU92" s="29"/>
      <c r="CBV92" s="29"/>
      <c r="CBW92" s="29"/>
      <c r="CBX92" s="29"/>
      <c r="CBY92" s="30"/>
      <c r="CBZ92" s="28"/>
      <c r="CCA92" s="67"/>
      <c r="CCB92" s="67"/>
      <c r="CCC92" s="67"/>
      <c r="CCD92" s="29"/>
      <c r="CCE92" s="133"/>
      <c r="CCF92" s="29"/>
      <c r="CCG92" s="29"/>
      <c r="CCH92" s="29"/>
      <c r="CCI92" s="29"/>
      <c r="CCJ92" s="29"/>
      <c r="CCK92" s="138"/>
      <c r="CCL92" s="29"/>
      <c r="CCM92" s="29"/>
      <c r="CCN92" s="29"/>
      <c r="CCO92" s="29"/>
      <c r="CCP92" s="29"/>
      <c r="CCQ92" s="75"/>
      <c r="CCR92" s="29"/>
      <c r="CCS92" s="29"/>
      <c r="CCT92" s="29"/>
      <c r="CCU92" s="29"/>
      <c r="CCV92" s="29"/>
      <c r="CCW92" s="138"/>
      <c r="CCX92" s="29"/>
      <c r="CCY92" s="29"/>
      <c r="CCZ92" s="29"/>
      <c r="CDA92" s="29"/>
      <c r="CDB92" s="29"/>
      <c r="CDC92" s="75"/>
      <c r="CDD92" s="67"/>
      <c r="CDE92" s="67"/>
      <c r="CDF92" s="67"/>
      <c r="CDG92" s="67"/>
      <c r="CDH92" s="29"/>
      <c r="CDI92" s="138"/>
      <c r="CDJ92" s="29"/>
      <c r="CDK92" s="29"/>
      <c r="CDL92" s="29"/>
      <c r="CDM92" s="29"/>
      <c r="CDN92" s="29"/>
      <c r="CDO92" s="75"/>
      <c r="CDP92" s="29"/>
      <c r="CDQ92" s="29"/>
      <c r="CDR92" s="29"/>
      <c r="CDS92" s="29"/>
      <c r="CDT92" s="29"/>
      <c r="CDU92" s="138"/>
      <c r="CDV92" s="29"/>
      <c r="CDW92" s="29"/>
      <c r="CDX92" s="29"/>
      <c r="CDY92" s="29"/>
      <c r="CDZ92" s="29"/>
      <c r="CEA92" s="75"/>
      <c r="CEB92" s="29"/>
      <c r="CEC92" s="29"/>
      <c r="CED92" s="29"/>
      <c r="CEE92" s="29"/>
      <c r="CEF92" s="29"/>
      <c r="CEG92" s="30"/>
      <c r="CEH92" s="28"/>
      <c r="CEI92" s="67"/>
      <c r="CEJ92" s="67"/>
      <c r="CEK92" s="67"/>
      <c r="CEL92" s="29"/>
      <c r="CEM92" s="133"/>
      <c r="CEN92" s="29"/>
      <c r="CEO92" s="29"/>
      <c r="CEP92" s="29"/>
      <c r="CEQ92" s="29"/>
      <c r="CER92" s="29"/>
      <c r="CES92" s="138"/>
      <c r="CET92" s="29"/>
      <c r="CEU92" s="29"/>
      <c r="CEV92" s="29"/>
      <c r="CEW92" s="29"/>
      <c r="CEX92" s="29"/>
      <c r="CEY92" s="75"/>
      <c r="CEZ92" s="29"/>
      <c r="CFA92" s="29"/>
      <c r="CFB92" s="29"/>
      <c r="CFC92" s="29"/>
      <c r="CFD92" s="29"/>
      <c r="CFE92" s="138"/>
      <c r="CFF92" s="29"/>
      <c r="CFG92" s="29"/>
      <c r="CFH92" s="29"/>
      <c r="CFI92" s="29"/>
      <c r="CFJ92" s="29"/>
      <c r="CFK92" s="75"/>
      <c r="CFL92" s="67"/>
      <c r="CFM92" s="67"/>
      <c r="CFN92" s="67"/>
      <c r="CFO92" s="67"/>
      <c r="CFP92" s="29"/>
      <c r="CFQ92" s="138"/>
      <c r="CFR92" s="29"/>
      <c r="CFS92" s="29"/>
      <c r="CFT92" s="29"/>
      <c r="CFU92" s="29"/>
      <c r="CFV92" s="29"/>
      <c r="CFW92" s="75"/>
      <c r="CFX92" s="29"/>
      <c r="CFY92" s="29"/>
      <c r="CFZ92" s="29"/>
      <c r="CGA92" s="29"/>
      <c r="CGB92" s="29"/>
      <c r="CGC92" s="138"/>
      <c r="CGD92" s="29"/>
      <c r="CGE92" s="29"/>
      <c r="CGF92" s="29"/>
      <c r="CGG92" s="29"/>
      <c r="CGH92" s="29"/>
      <c r="CGI92" s="75"/>
      <c r="CGJ92" s="29"/>
      <c r="CGK92" s="29"/>
      <c r="CGL92" s="29"/>
      <c r="CGM92" s="29"/>
      <c r="CGN92" s="29"/>
      <c r="CGO92" s="30"/>
      <c r="CGP92" s="28"/>
      <c r="CGQ92" s="67"/>
      <c r="CGR92" s="67"/>
      <c r="CGS92" s="67"/>
      <c r="CGT92" s="29"/>
      <c r="CGU92" s="133"/>
      <c r="CGV92" s="29"/>
      <c r="CGW92" s="29"/>
      <c r="CGX92" s="29"/>
      <c r="CGY92" s="29"/>
      <c r="CGZ92" s="29"/>
      <c r="CHA92" s="138"/>
      <c r="CHB92" s="29"/>
      <c r="CHC92" s="29"/>
      <c r="CHD92" s="29"/>
      <c r="CHE92" s="29"/>
      <c r="CHF92" s="29"/>
      <c r="CHG92" s="75"/>
      <c r="CHH92" s="29"/>
      <c r="CHI92" s="29"/>
      <c r="CHJ92" s="29"/>
      <c r="CHK92" s="29"/>
      <c r="CHL92" s="29"/>
      <c r="CHM92" s="138"/>
      <c r="CHN92" s="29"/>
      <c r="CHO92" s="29"/>
      <c r="CHP92" s="29"/>
      <c r="CHQ92" s="29"/>
      <c r="CHR92" s="29"/>
      <c r="CHS92" s="75"/>
      <c r="CHT92" s="67"/>
      <c r="CHU92" s="67"/>
      <c r="CHV92" s="67"/>
      <c r="CHW92" s="67"/>
      <c r="CHX92" s="29"/>
      <c r="CHY92" s="138"/>
      <c r="CHZ92" s="29"/>
      <c r="CIA92" s="29"/>
      <c r="CIB92" s="29"/>
      <c r="CIC92" s="29"/>
      <c r="CID92" s="29"/>
      <c r="CIE92" s="75"/>
      <c r="CIF92" s="29"/>
      <c r="CIG92" s="29"/>
      <c r="CIH92" s="29"/>
      <c r="CII92" s="29"/>
      <c r="CIJ92" s="29"/>
      <c r="CIK92" s="138"/>
      <c r="CIL92" s="29"/>
      <c r="CIM92" s="29"/>
      <c r="CIN92" s="29"/>
      <c r="CIO92" s="29"/>
      <c r="CIP92" s="29"/>
      <c r="CIQ92" s="75"/>
      <c r="CIR92" s="29"/>
      <c r="CIS92" s="29"/>
      <c r="CIT92" s="29"/>
      <c r="CIU92" s="29"/>
      <c r="CIV92" s="29"/>
      <c r="CIW92" s="30"/>
      <c r="CIX92" s="28"/>
      <c r="CIY92" s="67"/>
      <c r="CIZ92" s="67"/>
      <c r="CJA92" s="67"/>
      <c r="CJB92" s="29"/>
      <c r="CJC92" s="133"/>
      <c r="CJD92" s="29"/>
      <c r="CJE92" s="29"/>
      <c r="CJF92" s="29"/>
      <c r="CJG92" s="29"/>
      <c r="CJH92" s="29"/>
      <c r="CJI92" s="138"/>
      <c r="CJJ92" s="29"/>
      <c r="CJK92" s="29"/>
      <c r="CJL92" s="29"/>
      <c r="CJM92" s="29"/>
      <c r="CJN92" s="29"/>
      <c r="CJO92" s="75"/>
      <c r="CJP92" s="29"/>
      <c r="CJQ92" s="29"/>
      <c r="CJR92" s="29"/>
      <c r="CJS92" s="29"/>
      <c r="CJT92" s="29"/>
      <c r="CJU92" s="138"/>
      <c r="CJV92" s="29"/>
      <c r="CJW92" s="29"/>
      <c r="CJX92" s="29"/>
      <c r="CJY92" s="29"/>
      <c r="CJZ92" s="29"/>
      <c r="CKA92" s="75"/>
      <c r="CKB92" s="67"/>
      <c r="CKC92" s="67"/>
      <c r="CKD92" s="67"/>
      <c r="CKE92" s="67"/>
      <c r="CKF92" s="29"/>
      <c r="CKG92" s="138"/>
      <c r="CKH92" s="29"/>
      <c r="CKI92" s="29"/>
      <c r="CKJ92" s="29"/>
      <c r="CKK92" s="29"/>
      <c r="CKL92" s="29"/>
      <c r="CKM92" s="75"/>
      <c r="CKN92" s="29"/>
      <c r="CKO92" s="29"/>
      <c r="CKP92" s="29"/>
      <c r="CKQ92" s="29"/>
      <c r="CKR92" s="29"/>
      <c r="CKS92" s="138"/>
      <c r="CKT92" s="29"/>
      <c r="CKU92" s="29"/>
      <c r="CKV92" s="29"/>
      <c r="CKW92" s="29"/>
      <c r="CKX92" s="29"/>
      <c r="CKY92" s="75"/>
      <c r="CKZ92" s="29"/>
      <c r="CLA92" s="29"/>
      <c r="CLB92" s="29"/>
      <c r="CLC92" s="29"/>
      <c r="CLD92" s="29"/>
      <c r="CLE92" s="30"/>
      <c r="CLF92" s="28"/>
      <c r="CLG92" s="67"/>
      <c r="CLH92" s="67"/>
      <c r="CLI92" s="67"/>
      <c r="CLJ92" s="29"/>
      <c r="CLK92" s="133"/>
      <c r="CLL92" s="29"/>
      <c r="CLM92" s="29"/>
      <c r="CLN92" s="29"/>
      <c r="CLO92" s="29"/>
      <c r="CLP92" s="29"/>
      <c r="CLQ92" s="138"/>
      <c r="CLR92" s="29"/>
      <c r="CLS92" s="29"/>
      <c r="CLT92" s="29"/>
      <c r="CLU92" s="29"/>
      <c r="CLV92" s="29"/>
      <c r="CLW92" s="75"/>
      <c r="CLX92" s="29"/>
      <c r="CLY92" s="29"/>
      <c r="CLZ92" s="29"/>
      <c r="CMA92" s="29"/>
      <c r="CMB92" s="29"/>
      <c r="CMC92" s="138"/>
      <c r="CMD92" s="29"/>
      <c r="CME92" s="29"/>
      <c r="CMF92" s="29"/>
      <c r="CMG92" s="29"/>
      <c r="CMH92" s="29"/>
      <c r="CMI92" s="75"/>
      <c r="CMJ92" s="67"/>
      <c r="CMK92" s="67"/>
      <c r="CML92" s="67"/>
      <c r="CMM92" s="67"/>
      <c r="CMN92" s="29"/>
      <c r="CMO92" s="138"/>
      <c r="CMP92" s="29"/>
      <c r="CMQ92" s="29"/>
      <c r="CMR92" s="29"/>
      <c r="CMS92" s="29"/>
      <c r="CMT92" s="29"/>
      <c r="CMU92" s="75"/>
      <c r="CMV92" s="29"/>
      <c r="CMW92" s="29"/>
      <c r="CMX92" s="29"/>
      <c r="CMY92" s="29"/>
      <c r="CMZ92" s="29"/>
      <c r="CNA92" s="138"/>
      <c r="CNB92" s="29"/>
      <c r="CNC92" s="29"/>
      <c r="CND92" s="29"/>
      <c r="CNE92" s="29"/>
      <c r="CNF92" s="29"/>
      <c r="CNG92" s="75"/>
      <c r="CNH92" s="29"/>
      <c r="CNI92" s="29"/>
      <c r="CNJ92" s="29"/>
      <c r="CNK92" s="29"/>
      <c r="CNL92" s="29"/>
      <c r="CNM92" s="30"/>
      <c r="CNN92" s="28"/>
      <c r="CNO92" s="67"/>
      <c r="CNP92" s="67"/>
      <c r="CNQ92" s="67"/>
      <c r="CNR92" s="29"/>
      <c r="CNS92" s="133"/>
      <c r="CNT92" s="29"/>
      <c r="CNU92" s="29"/>
      <c r="CNV92" s="29"/>
      <c r="CNW92" s="29"/>
      <c r="CNX92" s="29"/>
      <c r="CNY92" s="138"/>
      <c r="CNZ92" s="29"/>
      <c r="COA92" s="29"/>
      <c r="COB92" s="29"/>
      <c r="COC92" s="29"/>
      <c r="COD92" s="29"/>
      <c r="COE92" s="75"/>
      <c r="COF92" s="29"/>
      <c r="COG92" s="29"/>
      <c r="COH92" s="29"/>
      <c r="COI92" s="29"/>
      <c r="COJ92" s="29"/>
      <c r="COK92" s="138"/>
      <c r="COL92" s="29"/>
      <c r="COM92" s="29"/>
      <c r="CON92" s="29"/>
      <c r="COO92" s="29"/>
      <c r="COP92" s="29"/>
      <c r="COQ92" s="75"/>
      <c r="COR92" s="67"/>
      <c r="COS92" s="67"/>
      <c r="COT92" s="67"/>
      <c r="COU92" s="67"/>
      <c r="COV92" s="29"/>
      <c r="COW92" s="138"/>
      <c r="COX92" s="29"/>
      <c r="COY92" s="29"/>
      <c r="COZ92" s="29"/>
      <c r="CPA92" s="29"/>
      <c r="CPB92" s="29"/>
      <c r="CPC92" s="75"/>
      <c r="CPD92" s="29"/>
      <c r="CPE92" s="29"/>
      <c r="CPF92" s="29"/>
      <c r="CPG92" s="29"/>
      <c r="CPH92" s="29"/>
      <c r="CPI92" s="138"/>
      <c r="CPJ92" s="29"/>
      <c r="CPK92" s="29"/>
      <c r="CPL92" s="29"/>
      <c r="CPM92" s="29"/>
      <c r="CPN92" s="29"/>
      <c r="CPO92" s="75"/>
      <c r="CPP92" s="29"/>
      <c r="CPQ92" s="29"/>
      <c r="CPR92" s="29"/>
      <c r="CPS92" s="29"/>
      <c r="CPT92" s="29"/>
      <c r="CPU92" s="30"/>
      <c r="CPV92" s="28"/>
      <c r="CPW92" s="67"/>
      <c r="CPX92" s="67"/>
      <c r="CPY92" s="67"/>
      <c r="CPZ92" s="29"/>
      <c r="CQA92" s="133"/>
      <c r="CQB92" s="29"/>
      <c r="CQC92" s="29"/>
      <c r="CQD92" s="29"/>
      <c r="CQE92" s="29"/>
      <c r="CQF92" s="29"/>
      <c r="CQG92" s="138"/>
      <c r="CQH92" s="29"/>
      <c r="CQI92" s="29"/>
      <c r="CQJ92" s="29"/>
      <c r="CQK92" s="29"/>
      <c r="CQL92" s="29"/>
      <c r="CQM92" s="75"/>
      <c r="CQN92" s="29"/>
      <c r="CQO92" s="29"/>
      <c r="CQP92" s="29"/>
      <c r="CQQ92" s="29"/>
      <c r="CQR92" s="29"/>
      <c r="CQS92" s="138"/>
      <c r="CQT92" s="29"/>
      <c r="CQU92" s="29"/>
      <c r="CQV92" s="29"/>
      <c r="CQW92" s="29"/>
      <c r="CQX92" s="29"/>
      <c r="CQY92" s="75"/>
      <c r="CQZ92" s="67"/>
      <c r="CRA92" s="67"/>
      <c r="CRB92" s="67"/>
      <c r="CRC92" s="67"/>
      <c r="CRD92" s="29"/>
      <c r="CRE92" s="138"/>
      <c r="CRF92" s="29"/>
      <c r="CRG92" s="29"/>
      <c r="CRH92" s="29"/>
      <c r="CRI92" s="29"/>
      <c r="CRJ92" s="29"/>
      <c r="CRK92" s="75"/>
      <c r="CRL92" s="29"/>
      <c r="CRM92" s="29"/>
      <c r="CRN92" s="29"/>
      <c r="CRO92" s="29"/>
      <c r="CRP92" s="29"/>
      <c r="CRQ92" s="138"/>
      <c r="CRR92" s="29"/>
      <c r="CRS92" s="29"/>
      <c r="CRT92" s="29"/>
      <c r="CRU92" s="29"/>
      <c r="CRV92" s="29"/>
      <c r="CRW92" s="75"/>
      <c r="CRX92" s="29"/>
      <c r="CRY92" s="29"/>
      <c r="CRZ92" s="29"/>
      <c r="CSA92" s="29"/>
      <c r="CSB92" s="29"/>
      <c r="CSC92" s="30"/>
      <c r="CSD92" s="90"/>
    </row>
    <row r="93" spans="1:2526" ht="20.100000000000001" customHeight="1" x14ac:dyDescent="0.25">
      <c r="A93" s="100" t="s">
        <v>18</v>
      </c>
      <c r="B93" s="63"/>
      <c r="C93" s="211"/>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32"/>
      <c r="BLW93" s="64"/>
      <c r="BLX93" s="64"/>
      <c r="BLY93" s="64"/>
      <c r="BLZ93" s="33"/>
      <c r="BMA93" s="132"/>
      <c r="BMB93" s="33"/>
      <c r="BMC93" s="33"/>
      <c r="BMD93" s="33"/>
      <c r="BME93" s="33"/>
      <c r="BMF93" s="33"/>
      <c r="BMG93" s="137"/>
      <c r="BMH93" s="33"/>
      <c r="BMI93" s="33"/>
      <c r="BMJ93" s="33"/>
      <c r="BMK93" s="33"/>
      <c r="BML93" s="33"/>
      <c r="BMM93" s="74"/>
      <c r="BMN93" s="33"/>
      <c r="BMO93" s="33"/>
      <c r="BMP93" s="33"/>
      <c r="BMQ93" s="33"/>
      <c r="BMR93" s="33"/>
      <c r="BMS93" s="137"/>
      <c r="BMT93" s="33"/>
      <c r="BMU93" s="33"/>
      <c r="BMV93" s="33"/>
      <c r="BMW93" s="33"/>
      <c r="BMX93" s="33"/>
      <c r="BMY93" s="74"/>
      <c r="BMZ93" s="64"/>
      <c r="BNA93" s="64"/>
      <c r="BNB93" s="64"/>
      <c r="BNC93" s="64"/>
      <c r="BND93" s="33"/>
      <c r="BNE93" s="137"/>
      <c r="BNF93" s="33"/>
      <c r="BNG93" s="33"/>
      <c r="BNH93" s="33"/>
      <c r="BNI93" s="33"/>
      <c r="BNJ93" s="33"/>
      <c r="BNK93" s="74"/>
      <c r="BNL93" s="33"/>
      <c r="BNM93" s="33"/>
      <c r="BNN93" s="33"/>
      <c r="BNO93" s="33"/>
      <c r="BNP93" s="33"/>
      <c r="BNQ93" s="137"/>
      <c r="BNR93" s="33"/>
      <c r="BNS93" s="33"/>
      <c r="BNT93" s="33"/>
      <c r="BNU93" s="33"/>
      <c r="BNV93" s="33"/>
      <c r="BNW93" s="74"/>
      <c r="BNX93" s="33"/>
      <c r="BNY93" s="33"/>
      <c r="BNZ93" s="33"/>
      <c r="BOA93" s="33"/>
      <c r="BOB93" s="33"/>
      <c r="BOC93" s="34"/>
      <c r="BOD93" s="32"/>
      <c r="BOE93" s="64"/>
      <c r="BOF93" s="64"/>
      <c r="BOG93" s="64"/>
      <c r="BOH93" s="33"/>
      <c r="BOI93" s="132"/>
      <c r="BOJ93" s="33"/>
      <c r="BOK93" s="33"/>
      <c r="BOL93" s="33"/>
      <c r="BOM93" s="33"/>
      <c r="BON93" s="33"/>
      <c r="BOO93" s="137"/>
      <c r="BOP93" s="33"/>
      <c r="BOQ93" s="33"/>
      <c r="BOR93" s="33"/>
      <c r="BOS93" s="33"/>
      <c r="BOT93" s="33"/>
      <c r="BOU93" s="74"/>
      <c r="BOV93" s="33"/>
      <c r="BOW93" s="33"/>
      <c r="BOX93" s="33"/>
      <c r="BOY93" s="33"/>
      <c r="BOZ93" s="33"/>
      <c r="BPA93" s="137"/>
      <c r="BPB93" s="33"/>
      <c r="BPC93" s="33"/>
      <c r="BPD93" s="33"/>
      <c r="BPE93" s="33"/>
      <c r="BPF93" s="33"/>
      <c r="BPG93" s="74"/>
      <c r="BPH93" s="64"/>
      <c r="BPI93" s="64"/>
      <c r="BPJ93" s="64"/>
      <c r="BPK93" s="64"/>
      <c r="BPL93" s="33"/>
      <c r="BPM93" s="137"/>
      <c r="BPN93" s="33"/>
      <c r="BPO93" s="33"/>
      <c r="BPP93" s="33"/>
      <c r="BPQ93" s="33"/>
      <c r="BPR93" s="33"/>
      <c r="BPS93" s="74"/>
      <c r="BPT93" s="33"/>
      <c r="BPU93" s="33"/>
      <c r="BPV93" s="33"/>
      <c r="BPW93" s="33"/>
      <c r="BPX93" s="33"/>
      <c r="BPY93" s="137"/>
      <c r="BPZ93" s="33"/>
      <c r="BQA93" s="33"/>
      <c r="BQB93" s="33"/>
      <c r="BQC93" s="33"/>
      <c r="BQD93" s="33"/>
      <c r="BQE93" s="74"/>
      <c r="BQF93" s="33"/>
      <c r="BQG93" s="33"/>
      <c r="BQH93" s="33"/>
      <c r="BQI93" s="33"/>
      <c r="BQJ93" s="33"/>
      <c r="BQK93" s="34"/>
      <c r="BQL93" s="32"/>
      <c r="BQM93" s="64"/>
      <c r="BQN93" s="64"/>
      <c r="BQO93" s="64"/>
      <c r="BQP93" s="33"/>
      <c r="BQQ93" s="132"/>
      <c r="BQR93" s="33"/>
      <c r="BQS93" s="33"/>
      <c r="BQT93" s="33"/>
      <c r="BQU93" s="33"/>
      <c r="BQV93" s="33"/>
      <c r="BQW93" s="137"/>
      <c r="BQX93" s="33"/>
      <c r="BQY93" s="33"/>
      <c r="BQZ93" s="33"/>
      <c r="BRA93" s="33"/>
      <c r="BRB93" s="33"/>
      <c r="BRC93" s="74"/>
      <c r="BRD93" s="33"/>
      <c r="BRE93" s="33"/>
      <c r="BRF93" s="33"/>
      <c r="BRG93" s="33"/>
      <c r="BRH93" s="33"/>
      <c r="BRI93" s="137"/>
      <c r="BRJ93" s="33"/>
      <c r="BRK93" s="33"/>
      <c r="BRL93" s="33"/>
      <c r="BRM93" s="33"/>
      <c r="BRN93" s="33"/>
      <c r="BRO93" s="74"/>
      <c r="BRP93" s="64"/>
      <c r="BRQ93" s="64"/>
      <c r="BRR93" s="64"/>
      <c r="BRS93" s="64"/>
      <c r="BRT93" s="33"/>
      <c r="BRU93" s="137"/>
      <c r="BRV93" s="33"/>
      <c r="BRW93" s="33"/>
      <c r="BRX93" s="33"/>
      <c r="BRY93" s="33"/>
      <c r="BRZ93" s="33"/>
      <c r="BSA93" s="74"/>
      <c r="BSB93" s="33"/>
      <c r="BSC93" s="33"/>
      <c r="BSD93" s="33"/>
      <c r="BSE93" s="33"/>
      <c r="BSF93" s="33"/>
      <c r="BSG93" s="137"/>
      <c r="BSH93" s="33"/>
      <c r="BSI93" s="33"/>
      <c r="BSJ93" s="33"/>
      <c r="BSK93" s="33"/>
      <c r="BSL93" s="33"/>
      <c r="BSM93" s="74"/>
      <c r="BSN93" s="33"/>
      <c r="BSO93" s="33"/>
      <c r="BSP93" s="33"/>
      <c r="BSQ93" s="33"/>
      <c r="BSR93" s="33"/>
      <c r="BSS93" s="34"/>
      <c r="BST93" s="32"/>
      <c r="BSU93" s="64"/>
      <c r="BSV93" s="64"/>
      <c r="BSW93" s="64"/>
      <c r="BSX93" s="33"/>
      <c r="BSY93" s="132"/>
      <c r="BSZ93" s="33"/>
      <c r="BTA93" s="33"/>
      <c r="BTB93" s="33"/>
      <c r="BTC93" s="33"/>
      <c r="BTD93" s="33"/>
      <c r="BTE93" s="137"/>
      <c r="BTF93" s="33"/>
      <c r="BTG93" s="33"/>
      <c r="BTH93" s="33"/>
      <c r="BTI93" s="33"/>
      <c r="BTJ93" s="33"/>
      <c r="BTK93" s="74"/>
      <c r="BTL93" s="33"/>
      <c r="BTM93" s="33"/>
      <c r="BTN93" s="33"/>
      <c r="BTO93" s="33"/>
      <c r="BTP93" s="33"/>
      <c r="BTQ93" s="137"/>
      <c r="BTR93" s="33"/>
      <c r="BTS93" s="33"/>
      <c r="BTT93" s="33"/>
      <c r="BTU93" s="33"/>
      <c r="BTV93" s="33"/>
      <c r="BTW93" s="74"/>
      <c r="BTX93" s="64"/>
      <c r="BTY93" s="64"/>
      <c r="BTZ93" s="64"/>
      <c r="BUA93" s="64"/>
      <c r="BUB93" s="33"/>
      <c r="BUC93" s="137"/>
      <c r="BUD93" s="33"/>
      <c r="BUE93" s="33"/>
      <c r="BUF93" s="33"/>
      <c r="BUG93" s="33"/>
      <c r="BUH93" s="33"/>
      <c r="BUI93" s="74"/>
      <c r="BUJ93" s="33"/>
      <c r="BUK93" s="33"/>
      <c r="BUL93" s="33"/>
      <c r="BUM93" s="33"/>
      <c r="BUN93" s="33"/>
      <c r="BUO93" s="137"/>
      <c r="BUP93" s="33"/>
      <c r="BUQ93" s="33"/>
      <c r="BUR93" s="33"/>
      <c r="BUS93" s="33"/>
      <c r="BUT93" s="33"/>
      <c r="BUU93" s="74"/>
      <c r="BUV93" s="33"/>
      <c r="BUW93" s="33"/>
      <c r="BUX93" s="33"/>
      <c r="BUY93" s="33"/>
      <c r="BUZ93" s="33"/>
      <c r="BVA93" s="34"/>
      <c r="BVB93" s="32"/>
      <c r="BVC93" s="64"/>
      <c r="BVD93" s="64"/>
      <c r="BVE93" s="64"/>
      <c r="BVF93" s="33"/>
      <c r="BVG93" s="132"/>
      <c r="BVH93" s="33"/>
      <c r="BVI93" s="33"/>
      <c r="BVJ93" s="33"/>
      <c r="BVK93" s="33"/>
      <c r="BVL93" s="33"/>
      <c r="BVM93" s="137"/>
      <c r="BVN93" s="33"/>
      <c r="BVO93" s="33"/>
      <c r="BVP93" s="33"/>
      <c r="BVQ93" s="33"/>
      <c r="BVR93" s="33"/>
      <c r="BVS93" s="74"/>
      <c r="BVT93" s="33"/>
      <c r="BVU93" s="33"/>
      <c r="BVV93" s="33"/>
      <c r="BVW93" s="33"/>
      <c r="BVX93" s="33"/>
      <c r="BVY93" s="137"/>
      <c r="BVZ93" s="33"/>
      <c r="BWA93" s="33"/>
      <c r="BWB93" s="33"/>
      <c r="BWC93" s="33"/>
      <c r="BWD93" s="33"/>
      <c r="BWE93" s="74"/>
      <c r="BWF93" s="64"/>
      <c r="BWG93" s="64"/>
      <c r="BWH93" s="64"/>
      <c r="BWI93" s="64"/>
      <c r="BWJ93" s="33"/>
      <c r="BWK93" s="137"/>
      <c r="BWL93" s="33"/>
      <c r="BWM93" s="33"/>
      <c r="BWN93" s="33"/>
      <c r="BWO93" s="33"/>
      <c r="BWP93" s="33"/>
      <c r="BWQ93" s="74"/>
      <c r="BWR93" s="33"/>
      <c r="BWS93" s="33"/>
      <c r="BWT93" s="33"/>
      <c r="BWU93" s="33"/>
      <c r="BWV93" s="33"/>
      <c r="BWW93" s="137"/>
      <c r="BWX93" s="33"/>
      <c r="BWY93" s="33"/>
      <c r="BWZ93" s="33"/>
      <c r="BXA93" s="33"/>
      <c r="BXB93" s="33"/>
      <c r="BXC93" s="74"/>
      <c r="BXD93" s="33"/>
      <c r="BXE93" s="33"/>
      <c r="BXF93" s="33"/>
      <c r="BXG93" s="33"/>
      <c r="BXH93" s="33"/>
      <c r="BXI93" s="34"/>
      <c r="BXJ93" s="32"/>
      <c r="BXK93" s="64"/>
      <c r="BXL93" s="64"/>
      <c r="BXM93" s="64"/>
      <c r="BXN93" s="33"/>
      <c r="BXO93" s="132"/>
      <c r="BXP93" s="33"/>
      <c r="BXQ93" s="33"/>
      <c r="BXR93" s="33"/>
      <c r="BXS93" s="33"/>
      <c r="BXT93" s="33"/>
      <c r="BXU93" s="137"/>
      <c r="BXV93" s="33"/>
      <c r="BXW93" s="33"/>
      <c r="BXX93" s="33"/>
      <c r="BXY93" s="33"/>
      <c r="BXZ93" s="33"/>
      <c r="BYA93" s="74"/>
      <c r="BYB93" s="33"/>
      <c r="BYC93" s="33"/>
      <c r="BYD93" s="33"/>
      <c r="BYE93" s="33"/>
      <c r="BYF93" s="33"/>
      <c r="BYG93" s="137"/>
      <c r="BYH93" s="33"/>
      <c r="BYI93" s="33"/>
      <c r="BYJ93" s="33"/>
      <c r="BYK93" s="33"/>
      <c r="BYL93" s="33"/>
      <c r="BYM93" s="74"/>
      <c r="BYN93" s="64"/>
      <c r="BYO93" s="64"/>
      <c r="BYP93" s="64"/>
      <c r="BYQ93" s="64"/>
      <c r="BYR93" s="33"/>
      <c r="BYS93" s="137"/>
      <c r="BYT93" s="33"/>
      <c r="BYU93" s="33"/>
      <c r="BYV93" s="33"/>
      <c r="BYW93" s="33"/>
      <c r="BYX93" s="33"/>
      <c r="BYY93" s="74"/>
      <c r="BYZ93" s="33"/>
      <c r="BZA93" s="33"/>
      <c r="BZB93" s="33"/>
      <c r="BZC93" s="33"/>
      <c r="BZD93" s="33"/>
      <c r="BZE93" s="137"/>
      <c r="BZF93" s="33"/>
      <c r="BZG93" s="33"/>
      <c r="BZH93" s="33"/>
      <c r="BZI93" s="33"/>
      <c r="BZJ93" s="33"/>
      <c r="BZK93" s="74"/>
      <c r="BZL93" s="33"/>
      <c r="BZM93" s="33"/>
      <c r="BZN93" s="33"/>
      <c r="BZO93" s="33"/>
      <c r="BZP93" s="33"/>
      <c r="BZQ93" s="34"/>
      <c r="BZR93" s="32"/>
      <c r="BZS93" s="64"/>
      <c r="BZT93" s="64"/>
      <c r="BZU93" s="64"/>
      <c r="BZV93" s="33"/>
      <c r="BZW93" s="132"/>
      <c r="BZX93" s="33"/>
      <c r="BZY93" s="33"/>
      <c r="BZZ93" s="33"/>
      <c r="CAA93" s="33"/>
      <c r="CAB93" s="33"/>
      <c r="CAC93" s="137"/>
      <c r="CAD93" s="33"/>
      <c r="CAE93" s="33"/>
      <c r="CAF93" s="33"/>
      <c r="CAG93" s="33"/>
      <c r="CAH93" s="33"/>
      <c r="CAI93" s="74"/>
      <c r="CAJ93" s="33"/>
      <c r="CAK93" s="33"/>
      <c r="CAL93" s="33"/>
      <c r="CAM93" s="33"/>
      <c r="CAN93" s="33"/>
      <c r="CAO93" s="137"/>
      <c r="CAP93" s="33"/>
      <c r="CAQ93" s="33"/>
      <c r="CAR93" s="33"/>
      <c r="CAS93" s="33"/>
      <c r="CAT93" s="33"/>
      <c r="CAU93" s="74"/>
      <c r="CAV93" s="64"/>
      <c r="CAW93" s="64"/>
      <c r="CAX93" s="64"/>
      <c r="CAY93" s="64"/>
      <c r="CAZ93" s="33"/>
      <c r="CBA93" s="137"/>
      <c r="CBB93" s="33"/>
      <c r="CBC93" s="33"/>
      <c r="CBD93" s="33"/>
      <c r="CBE93" s="33"/>
      <c r="CBF93" s="33"/>
      <c r="CBG93" s="74"/>
      <c r="CBH93" s="33"/>
      <c r="CBI93" s="33"/>
      <c r="CBJ93" s="33"/>
      <c r="CBK93" s="33"/>
      <c r="CBL93" s="33"/>
      <c r="CBM93" s="137"/>
      <c r="CBN93" s="33"/>
      <c r="CBO93" s="33"/>
      <c r="CBP93" s="33"/>
      <c r="CBQ93" s="33"/>
      <c r="CBR93" s="33"/>
      <c r="CBS93" s="74"/>
      <c r="CBT93" s="33"/>
      <c r="CBU93" s="33"/>
      <c r="CBV93" s="33"/>
      <c r="CBW93" s="33"/>
      <c r="CBX93" s="33"/>
      <c r="CBY93" s="34"/>
      <c r="CBZ93" s="32"/>
      <c r="CCA93" s="64"/>
      <c r="CCB93" s="64"/>
      <c r="CCC93" s="64"/>
      <c r="CCD93" s="33"/>
      <c r="CCE93" s="132"/>
      <c r="CCF93" s="33"/>
      <c r="CCG93" s="33"/>
      <c r="CCH93" s="33"/>
      <c r="CCI93" s="33"/>
      <c r="CCJ93" s="33"/>
      <c r="CCK93" s="137"/>
      <c r="CCL93" s="33"/>
      <c r="CCM93" s="33"/>
      <c r="CCN93" s="33"/>
      <c r="CCO93" s="33"/>
      <c r="CCP93" s="33"/>
      <c r="CCQ93" s="74"/>
      <c r="CCR93" s="33"/>
      <c r="CCS93" s="33"/>
      <c r="CCT93" s="33"/>
      <c r="CCU93" s="33"/>
      <c r="CCV93" s="33"/>
      <c r="CCW93" s="137"/>
      <c r="CCX93" s="33"/>
      <c r="CCY93" s="33"/>
      <c r="CCZ93" s="33"/>
      <c r="CDA93" s="33"/>
      <c r="CDB93" s="33"/>
      <c r="CDC93" s="74"/>
      <c r="CDD93" s="64"/>
      <c r="CDE93" s="64"/>
      <c r="CDF93" s="64"/>
      <c r="CDG93" s="64"/>
      <c r="CDH93" s="33"/>
      <c r="CDI93" s="137"/>
      <c r="CDJ93" s="33"/>
      <c r="CDK93" s="33"/>
      <c r="CDL93" s="33"/>
      <c r="CDM93" s="33"/>
      <c r="CDN93" s="33"/>
      <c r="CDO93" s="74"/>
      <c r="CDP93" s="33"/>
      <c r="CDQ93" s="33"/>
      <c r="CDR93" s="33"/>
      <c r="CDS93" s="33"/>
      <c r="CDT93" s="33"/>
      <c r="CDU93" s="137"/>
      <c r="CDV93" s="33"/>
      <c r="CDW93" s="33"/>
      <c r="CDX93" s="33"/>
      <c r="CDY93" s="33"/>
      <c r="CDZ93" s="33"/>
      <c r="CEA93" s="74"/>
      <c r="CEB93" s="33"/>
      <c r="CEC93" s="33"/>
      <c r="CED93" s="33"/>
      <c r="CEE93" s="33"/>
      <c r="CEF93" s="33"/>
      <c r="CEG93" s="34"/>
      <c r="CEH93" s="32"/>
      <c r="CEI93" s="64"/>
      <c r="CEJ93" s="64"/>
      <c r="CEK93" s="64"/>
      <c r="CEL93" s="33"/>
      <c r="CEM93" s="132"/>
      <c r="CEN93" s="33"/>
      <c r="CEO93" s="33"/>
      <c r="CEP93" s="33"/>
      <c r="CEQ93" s="33"/>
      <c r="CER93" s="33"/>
      <c r="CES93" s="137"/>
      <c r="CET93" s="33"/>
      <c r="CEU93" s="33"/>
      <c r="CEV93" s="33"/>
      <c r="CEW93" s="33"/>
      <c r="CEX93" s="33"/>
      <c r="CEY93" s="74"/>
      <c r="CEZ93" s="33"/>
      <c r="CFA93" s="33"/>
      <c r="CFB93" s="33"/>
      <c r="CFC93" s="33"/>
      <c r="CFD93" s="33"/>
      <c r="CFE93" s="137"/>
      <c r="CFF93" s="33"/>
      <c r="CFG93" s="33"/>
      <c r="CFH93" s="33"/>
      <c r="CFI93" s="33"/>
      <c r="CFJ93" s="33"/>
      <c r="CFK93" s="74"/>
      <c r="CFL93" s="64"/>
      <c r="CFM93" s="64"/>
      <c r="CFN93" s="64"/>
      <c r="CFO93" s="64"/>
      <c r="CFP93" s="33"/>
      <c r="CFQ93" s="137"/>
      <c r="CFR93" s="33"/>
      <c r="CFS93" s="33"/>
      <c r="CFT93" s="33"/>
      <c r="CFU93" s="33"/>
      <c r="CFV93" s="33"/>
      <c r="CFW93" s="74"/>
      <c r="CFX93" s="33"/>
      <c r="CFY93" s="33"/>
      <c r="CFZ93" s="33"/>
      <c r="CGA93" s="33"/>
      <c r="CGB93" s="33"/>
      <c r="CGC93" s="137"/>
      <c r="CGD93" s="33"/>
      <c r="CGE93" s="33"/>
      <c r="CGF93" s="33"/>
      <c r="CGG93" s="33"/>
      <c r="CGH93" s="33"/>
      <c r="CGI93" s="74"/>
      <c r="CGJ93" s="33"/>
      <c r="CGK93" s="33"/>
      <c r="CGL93" s="33"/>
      <c r="CGM93" s="33"/>
      <c r="CGN93" s="33"/>
      <c r="CGO93" s="34"/>
      <c r="CGP93" s="32"/>
      <c r="CGQ93" s="64"/>
      <c r="CGR93" s="64"/>
      <c r="CGS93" s="64"/>
      <c r="CGT93" s="33"/>
      <c r="CGU93" s="132"/>
      <c r="CGV93" s="33"/>
      <c r="CGW93" s="33"/>
      <c r="CGX93" s="33"/>
      <c r="CGY93" s="33"/>
      <c r="CGZ93" s="33"/>
      <c r="CHA93" s="137"/>
      <c r="CHB93" s="33"/>
      <c r="CHC93" s="33"/>
      <c r="CHD93" s="33"/>
      <c r="CHE93" s="33"/>
      <c r="CHF93" s="33"/>
      <c r="CHG93" s="74"/>
      <c r="CHH93" s="33"/>
      <c r="CHI93" s="33"/>
      <c r="CHJ93" s="33"/>
      <c r="CHK93" s="33"/>
      <c r="CHL93" s="33"/>
      <c r="CHM93" s="137"/>
      <c r="CHN93" s="33"/>
      <c r="CHO93" s="33"/>
      <c r="CHP93" s="33"/>
      <c r="CHQ93" s="33"/>
      <c r="CHR93" s="33"/>
      <c r="CHS93" s="74"/>
      <c r="CHT93" s="64"/>
      <c r="CHU93" s="64"/>
      <c r="CHV93" s="64"/>
      <c r="CHW93" s="64"/>
      <c r="CHX93" s="33"/>
      <c r="CHY93" s="137"/>
      <c r="CHZ93" s="33"/>
      <c r="CIA93" s="33"/>
      <c r="CIB93" s="33"/>
      <c r="CIC93" s="33"/>
      <c r="CID93" s="33"/>
      <c r="CIE93" s="74"/>
      <c r="CIF93" s="33"/>
      <c r="CIG93" s="33"/>
      <c r="CIH93" s="33"/>
      <c r="CII93" s="33"/>
      <c r="CIJ93" s="33"/>
      <c r="CIK93" s="137"/>
      <c r="CIL93" s="33"/>
      <c r="CIM93" s="33"/>
      <c r="CIN93" s="33"/>
      <c r="CIO93" s="33"/>
      <c r="CIP93" s="33"/>
      <c r="CIQ93" s="74"/>
      <c r="CIR93" s="33"/>
      <c r="CIS93" s="33"/>
      <c r="CIT93" s="33"/>
      <c r="CIU93" s="33"/>
      <c r="CIV93" s="33"/>
      <c r="CIW93" s="34"/>
      <c r="CIX93" s="32"/>
      <c r="CIY93" s="64"/>
      <c r="CIZ93" s="64"/>
      <c r="CJA93" s="64"/>
      <c r="CJB93" s="33"/>
      <c r="CJC93" s="132"/>
      <c r="CJD93" s="33"/>
      <c r="CJE93" s="33"/>
      <c r="CJF93" s="33"/>
      <c r="CJG93" s="33"/>
      <c r="CJH93" s="33"/>
      <c r="CJI93" s="137"/>
      <c r="CJJ93" s="33"/>
      <c r="CJK93" s="33"/>
      <c r="CJL93" s="33"/>
      <c r="CJM93" s="33"/>
      <c r="CJN93" s="33"/>
      <c r="CJO93" s="74"/>
      <c r="CJP93" s="33"/>
      <c r="CJQ93" s="33"/>
      <c r="CJR93" s="33"/>
      <c r="CJS93" s="33"/>
      <c r="CJT93" s="33"/>
      <c r="CJU93" s="137"/>
      <c r="CJV93" s="33"/>
      <c r="CJW93" s="33"/>
      <c r="CJX93" s="33"/>
      <c r="CJY93" s="33"/>
      <c r="CJZ93" s="33"/>
      <c r="CKA93" s="74"/>
      <c r="CKB93" s="64"/>
      <c r="CKC93" s="64"/>
      <c r="CKD93" s="64"/>
      <c r="CKE93" s="64"/>
      <c r="CKF93" s="33"/>
      <c r="CKG93" s="137"/>
      <c r="CKH93" s="33"/>
      <c r="CKI93" s="33"/>
      <c r="CKJ93" s="33"/>
      <c r="CKK93" s="33"/>
      <c r="CKL93" s="33"/>
      <c r="CKM93" s="74"/>
      <c r="CKN93" s="33"/>
      <c r="CKO93" s="33"/>
      <c r="CKP93" s="33"/>
      <c r="CKQ93" s="33"/>
      <c r="CKR93" s="33"/>
      <c r="CKS93" s="137"/>
      <c r="CKT93" s="33"/>
      <c r="CKU93" s="33"/>
      <c r="CKV93" s="33"/>
      <c r="CKW93" s="33"/>
      <c r="CKX93" s="33"/>
      <c r="CKY93" s="74"/>
      <c r="CKZ93" s="33"/>
      <c r="CLA93" s="33"/>
      <c r="CLB93" s="33"/>
      <c r="CLC93" s="33"/>
      <c r="CLD93" s="33"/>
      <c r="CLE93" s="34"/>
      <c r="CLF93" s="32"/>
      <c r="CLG93" s="64"/>
      <c r="CLH93" s="64"/>
      <c r="CLI93" s="64"/>
      <c r="CLJ93" s="33"/>
      <c r="CLK93" s="132"/>
      <c r="CLL93" s="33"/>
      <c r="CLM93" s="33"/>
      <c r="CLN93" s="33"/>
      <c r="CLO93" s="33"/>
      <c r="CLP93" s="33"/>
      <c r="CLQ93" s="137"/>
      <c r="CLR93" s="33"/>
      <c r="CLS93" s="33"/>
      <c r="CLT93" s="33"/>
      <c r="CLU93" s="33"/>
      <c r="CLV93" s="33"/>
      <c r="CLW93" s="74"/>
      <c r="CLX93" s="33"/>
      <c r="CLY93" s="33"/>
      <c r="CLZ93" s="33"/>
      <c r="CMA93" s="33"/>
      <c r="CMB93" s="33"/>
      <c r="CMC93" s="137"/>
      <c r="CMD93" s="33"/>
      <c r="CME93" s="33"/>
      <c r="CMF93" s="33"/>
      <c r="CMG93" s="33"/>
      <c r="CMH93" s="33"/>
      <c r="CMI93" s="74"/>
      <c r="CMJ93" s="64"/>
      <c r="CMK93" s="64"/>
      <c r="CML93" s="64"/>
      <c r="CMM93" s="64"/>
      <c r="CMN93" s="33"/>
      <c r="CMO93" s="137"/>
      <c r="CMP93" s="33"/>
      <c r="CMQ93" s="33"/>
      <c r="CMR93" s="33"/>
      <c r="CMS93" s="33"/>
      <c r="CMT93" s="33"/>
      <c r="CMU93" s="74"/>
      <c r="CMV93" s="33"/>
      <c r="CMW93" s="33"/>
      <c r="CMX93" s="33"/>
      <c r="CMY93" s="33"/>
      <c r="CMZ93" s="33"/>
      <c r="CNA93" s="137"/>
      <c r="CNB93" s="33"/>
      <c r="CNC93" s="33"/>
      <c r="CND93" s="33"/>
      <c r="CNE93" s="33"/>
      <c r="CNF93" s="33"/>
      <c r="CNG93" s="74"/>
      <c r="CNH93" s="33"/>
      <c r="CNI93" s="33"/>
      <c r="CNJ93" s="33"/>
      <c r="CNK93" s="33"/>
      <c r="CNL93" s="33"/>
      <c r="CNM93" s="34"/>
      <c r="CNN93" s="32"/>
      <c r="CNO93" s="64"/>
      <c r="CNP93" s="64"/>
      <c r="CNQ93" s="64"/>
      <c r="CNR93" s="33"/>
      <c r="CNS93" s="132"/>
      <c r="CNT93" s="33"/>
      <c r="CNU93" s="33"/>
      <c r="CNV93" s="33"/>
      <c r="CNW93" s="33"/>
      <c r="CNX93" s="33"/>
      <c r="CNY93" s="137"/>
      <c r="CNZ93" s="33"/>
      <c r="COA93" s="33"/>
      <c r="COB93" s="33"/>
      <c r="COC93" s="33"/>
      <c r="COD93" s="33"/>
      <c r="COE93" s="74"/>
      <c r="COF93" s="33"/>
      <c r="COG93" s="33"/>
      <c r="COH93" s="33"/>
      <c r="COI93" s="33"/>
      <c r="COJ93" s="33"/>
      <c r="COK93" s="137"/>
      <c r="COL93" s="33"/>
      <c r="COM93" s="33"/>
      <c r="CON93" s="33"/>
      <c r="COO93" s="33"/>
      <c r="COP93" s="33"/>
      <c r="COQ93" s="74"/>
      <c r="COR93" s="64"/>
      <c r="COS93" s="64"/>
      <c r="COT93" s="64"/>
      <c r="COU93" s="64"/>
      <c r="COV93" s="33"/>
      <c r="COW93" s="137"/>
      <c r="COX93" s="33"/>
      <c r="COY93" s="33"/>
      <c r="COZ93" s="33"/>
      <c r="CPA93" s="33"/>
      <c r="CPB93" s="33"/>
      <c r="CPC93" s="74"/>
      <c r="CPD93" s="33"/>
      <c r="CPE93" s="33"/>
      <c r="CPF93" s="33"/>
      <c r="CPG93" s="33"/>
      <c r="CPH93" s="33"/>
      <c r="CPI93" s="137"/>
      <c r="CPJ93" s="33"/>
      <c r="CPK93" s="33"/>
      <c r="CPL93" s="33"/>
      <c r="CPM93" s="33"/>
      <c r="CPN93" s="33"/>
      <c r="CPO93" s="74"/>
      <c r="CPP93" s="33"/>
      <c r="CPQ93" s="33"/>
      <c r="CPR93" s="33"/>
      <c r="CPS93" s="33"/>
      <c r="CPT93" s="33"/>
      <c r="CPU93" s="34"/>
      <c r="CPV93" s="32"/>
      <c r="CPW93" s="64"/>
      <c r="CPX93" s="64"/>
      <c r="CPY93" s="64"/>
      <c r="CPZ93" s="33"/>
      <c r="CQA93" s="132"/>
      <c r="CQB93" s="33"/>
      <c r="CQC93" s="33"/>
      <c r="CQD93" s="33"/>
      <c r="CQE93" s="33"/>
      <c r="CQF93" s="33"/>
      <c r="CQG93" s="137"/>
      <c r="CQH93" s="33"/>
      <c r="CQI93" s="33"/>
      <c r="CQJ93" s="33"/>
      <c r="CQK93" s="33"/>
      <c r="CQL93" s="33"/>
      <c r="CQM93" s="74"/>
      <c r="CQN93" s="33"/>
      <c r="CQO93" s="33"/>
      <c r="CQP93" s="33"/>
      <c r="CQQ93" s="33"/>
      <c r="CQR93" s="33"/>
      <c r="CQS93" s="137"/>
      <c r="CQT93" s="33"/>
      <c r="CQU93" s="33"/>
      <c r="CQV93" s="33"/>
      <c r="CQW93" s="33"/>
      <c r="CQX93" s="33"/>
      <c r="CQY93" s="74"/>
      <c r="CQZ93" s="64"/>
      <c r="CRA93" s="64"/>
      <c r="CRB93" s="64"/>
      <c r="CRC93" s="64"/>
      <c r="CRD93" s="33"/>
      <c r="CRE93" s="137"/>
      <c r="CRF93" s="33"/>
      <c r="CRG93" s="33"/>
      <c r="CRH93" s="33"/>
      <c r="CRI93" s="33"/>
      <c r="CRJ93" s="33"/>
      <c r="CRK93" s="74"/>
      <c r="CRL93" s="33"/>
      <c r="CRM93" s="33"/>
      <c r="CRN93" s="33"/>
      <c r="CRO93" s="33"/>
      <c r="CRP93" s="33"/>
      <c r="CRQ93" s="137"/>
      <c r="CRR93" s="33"/>
      <c r="CRS93" s="33"/>
      <c r="CRT93" s="33"/>
      <c r="CRU93" s="33"/>
      <c r="CRV93" s="33"/>
      <c r="CRW93" s="74"/>
      <c r="CRX93" s="33"/>
      <c r="CRY93" s="33"/>
      <c r="CRZ93" s="33"/>
      <c r="CSA93" s="33"/>
      <c r="CSB93" s="33"/>
      <c r="CSC93" s="34"/>
      <c r="CSD93" s="90"/>
    </row>
    <row r="94" spans="1:2526" ht="20.100000000000001" customHeight="1" x14ac:dyDescent="0.25">
      <c r="A94" s="100" t="s">
        <v>19</v>
      </c>
      <c r="B94" s="63"/>
      <c r="C94" s="212"/>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36"/>
      <c r="BLW94" s="65"/>
      <c r="BLX94" s="65"/>
      <c r="BLY94" s="65"/>
      <c r="BLZ94" s="37"/>
      <c r="BMA94" s="133"/>
      <c r="BMB94" s="37"/>
      <c r="BMC94" s="37"/>
      <c r="BMD94" s="37"/>
      <c r="BME94" s="37"/>
      <c r="BMF94" s="37"/>
      <c r="BMG94" s="138"/>
      <c r="BMH94" s="37"/>
      <c r="BMI94" s="37"/>
      <c r="BMJ94" s="37"/>
      <c r="BMK94" s="37"/>
      <c r="BML94" s="37"/>
      <c r="BMM94" s="75"/>
      <c r="BMN94" s="37"/>
      <c r="BMO94" s="37"/>
      <c r="BMP94" s="37"/>
      <c r="BMQ94" s="37"/>
      <c r="BMR94" s="37"/>
      <c r="BMS94" s="138"/>
      <c r="BMT94" s="37"/>
      <c r="BMU94" s="37"/>
      <c r="BMV94" s="37"/>
      <c r="BMW94" s="37"/>
      <c r="BMX94" s="37"/>
      <c r="BMY94" s="75"/>
      <c r="BMZ94" s="65"/>
      <c r="BNA94" s="65"/>
      <c r="BNB94" s="65"/>
      <c r="BNC94" s="65"/>
      <c r="BND94" s="37"/>
      <c r="BNE94" s="138"/>
      <c r="BNF94" s="37"/>
      <c r="BNG94" s="37"/>
      <c r="BNH94" s="37"/>
      <c r="BNI94" s="37"/>
      <c r="BNJ94" s="37"/>
      <c r="BNK94" s="75"/>
      <c r="BNL94" s="37"/>
      <c r="BNM94" s="37"/>
      <c r="BNN94" s="37"/>
      <c r="BNO94" s="37"/>
      <c r="BNP94" s="37"/>
      <c r="BNQ94" s="138"/>
      <c r="BNR94" s="37"/>
      <c r="BNS94" s="37"/>
      <c r="BNT94" s="37"/>
      <c r="BNU94" s="37"/>
      <c r="BNV94" s="37"/>
      <c r="BNW94" s="75"/>
      <c r="BNX94" s="37"/>
      <c r="BNY94" s="37"/>
      <c r="BNZ94" s="37"/>
      <c r="BOA94" s="37"/>
      <c r="BOB94" s="37"/>
      <c r="BOC94" s="38"/>
      <c r="BOD94" s="36"/>
      <c r="BOE94" s="65"/>
      <c r="BOF94" s="65"/>
      <c r="BOG94" s="65"/>
      <c r="BOH94" s="37"/>
      <c r="BOI94" s="133"/>
      <c r="BOJ94" s="37"/>
      <c r="BOK94" s="37"/>
      <c r="BOL94" s="37"/>
      <c r="BOM94" s="37"/>
      <c r="BON94" s="37"/>
      <c r="BOO94" s="138"/>
      <c r="BOP94" s="37"/>
      <c r="BOQ94" s="37"/>
      <c r="BOR94" s="37"/>
      <c r="BOS94" s="37"/>
      <c r="BOT94" s="37"/>
      <c r="BOU94" s="75"/>
      <c r="BOV94" s="37"/>
      <c r="BOW94" s="37"/>
      <c r="BOX94" s="37"/>
      <c r="BOY94" s="37"/>
      <c r="BOZ94" s="37"/>
      <c r="BPA94" s="138"/>
      <c r="BPB94" s="37"/>
      <c r="BPC94" s="37"/>
      <c r="BPD94" s="37"/>
      <c r="BPE94" s="37"/>
      <c r="BPF94" s="37"/>
      <c r="BPG94" s="75"/>
      <c r="BPH94" s="65"/>
      <c r="BPI94" s="65"/>
      <c r="BPJ94" s="65"/>
      <c r="BPK94" s="65"/>
      <c r="BPL94" s="37"/>
      <c r="BPM94" s="138"/>
      <c r="BPN94" s="37"/>
      <c r="BPO94" s="37"/>
      <c r="BPP94" s="37"/>
      <c r="BPQ94" s="37"/>
      <c r="BPR94" s="37"/>
      <c r="BPS94" s="75"/>
      <c r="BPT94" s="37"/>
      <c r="BPU94" s="37"/>
      <c r="BPV94" s="37"/>
      <c r="BPW94" s="37"/>
      <c r="BPX94" s="37"/>
      <c r="BPY94" s="138"/>
      <c r="BPZ94" s="37"/>
      <c r="BQA94" s="37"/>
      <c r="BQB94" s="37"/>
      <c r="BQC94" s="37"/>
      <c r="BQD94" s="37"/>
      <c r="BQE94" s="75"/>
      <c r="BQF94" s="37"/>
      <c r="BQG94" s="37"/>
      <c r="BQH94" s="37"/>
      <c r="BQI94" s="37"/>
      <c r="BQJ94" s="37"/>
      <c r="BQK94" s="38"/>
      <c r="BQL94" s="36"/>
      <c r="BQM94" s="65"/>
      <c r="BQN94" s="65"/>
      <c r="BQO94" s="65"/>
      <c r="BQP94" s="37"/>
      <c r="BQQ94" s="133"/>
      <c r="BQR94" s="37"/>
      <c r="BQS94" s="37"/>
      <c r="BQT94" s="37"/>
      <c r="BQU94" s="37"/>
      <c r="BQV94" s="37"/>
      <c r="BQW94" s="138"/>
      <c r="BQX94" s="37"/>
      <c r="BQY94" s="37"/>
      <c r="BQZ94" s="37"/>
      <c r="BRA94" s="37"/>
      <c r="BRB94" s="37"/>
      <c r="BRC94" s="75"/>
      <c r="BRD94" s="37"/>
      <c r="BRE94" s="37"/>
      <c r="BRF94" s="37"/>
      <c r="BRG94" s="37"/>
      <c r="BRH94" s="37"/>
      <c r="BRI94" s="138"/>
      <c r="BRJ94" s="37"/>
      <c r="BRK94" s="37"/>
      <c r="BRL94" s="37"/>
      <c r="BRM94" s="37"/>
      <c r="BRN94" s="37"/>
      <c r="BRO94" s="75"/>
      <c r="BRP94" s="65"/>
      <c r="BRQ94" s="65"/>
      <c r="BRR94" s="65"/>
      <c r="BRS94" s="65"/>
      <c r="BRT94" s="37"/>
      <c r="BRU94" s="138"/>
      <c r="BRV94" s="37"/>
      <c r="BRW94" s="37"/>
      <c r="BRX94" s="37"/>
      <c r="BRY94" s="37"/>
      <c r="BRZ94" s="37"/>
      <c r="BSA94" s="75"/>
      <c r="BSB94" s="37"/>
      <c r="BSC94" s="37"/>
      <c r="BSD94" s="37"/>
      <c r="BSE94" s="37"/>
      <c r="BSF94" s="37"/>
      <c r="BSG94" s="138"/>
      <c r="BSH94" s="37"/>
      <c r="BSI94" s="37"/>
      <c r="BSJ94" s="37"/>
      <c r="BSK94" s="37"/>
      <c r="BSL94" s="37"/>
      <c r="BSM94" s="75"/>
      <c r="BSN94" s="37"/>
      <c r="BSO94" s="37"/>
      <c r="BSP94" s="37"/>
      <c r="BSQ94" s="37"/>
      <c r="BSR94" s="37"/>
      <c r="BSS94" s="38"/>
      <c r="BST94" s="36"/>
      <c r="BSU94" s="65"/>
      <c r="BSV94" s="65"/>
      <c r="BSW94" s="65"/>
      <c r="BSX94" s="37"/>
      <c r="BSY94" s="133"/>
      <c r="BSZ94" s="37"/>
      <c r="BTA94" s="37"/>
      <c r="BTB94" s="37"/>
      <c r="BTC94" s="37"/>
      <c r="BTD94" s="37"/>
      <c r="BTE94" s="138"/>
      <c r="BTF94" s="37"/>
      <c r="BTG94" s="37"/>
      <c r="BTH94" s="37"/>
      <c r="BTI94" s="37"/>
      <c r="BTJ94" s="37"/>
      <c r="BTK94" s="75"/>
      <c r="BTL94" s="37"/>
      <c r="BTM94" s="37"/>
      <c r="BTN94" s="37"/>
      <c r="BTO94" s="37"/>
      <c r="BTP94" s="37"/>
      <c r="BTQ94" s="138"/>
      <c r="BTR94" s="37"/>
      <c r="BTS94" s="37"/>
      <c r="BTT94" s="37"/>
      <c r="BTU94" s="37"/>
      <c r="BTV94" s="37"/>
      <c r="BTW94" s="75"/>
      <c r="BTX94" s="65"/>
      <c r="BTY94" s="65"/>
      <c r="BTZ94" s="65"/>
      <c r="BUA94" s="65"/>
      <c r="BUB94" s="37"/>
      <c r="BUC94" s="138"/>
      <c r="BUD94" s="37"/>
      <c r="BUE94" s="37"/>
      <c r="BUF94" s="37"/>
      <c r="BUG94" s="37"/>
      <c r="BUH94" s="37"/>
      <c r="BUI94" s="75"/>
      <c r="BUJ94" s="37"/>
      <c r="BUK94" s="37"/>
      <c r="BUL94" s="37"/>
      <c r="BUM94" s="37"/>
      <c r="BUN94" s="37"/>
      <c r="BUO94" s="138"/>
      <c r="BUP94" s="37"/>
      <c r="BUQ94" s="37"/>
      <c r="BUR94" s="37"/>
      <c r="BUS94" s="37"/>
      <c r="BUT94" s="37"/>
      <c r="BUU94" s="75"/>
      <c r="BUV94" s="37"/>
      <c r="BUW94" s="37"/>
      <c r="BUX94" s="37"/>
      <c r="BUY94" s="37"/>
      <c r="BUZ94" s="37"/>
      <c r="BVA94" s="38"/>
      <c r="BVB94" s="36"/>
      <c r="BVC94" s="65"/>
      <c r="BVD94" s="65"/>
      <c r="BVE94" s="65"/>
      <c r="BVF94" s="37"/>
      <c r="BVG94" s="133"/>
      <c r="BVH94" s="37"/>
      <c r="BVI94" s="37"/>
      <c r="BVJ94" s="37"/>
      <c r="BVK94" s="37"/>
      <c r="BVL94" s="37"/>
      <c r="BVM94" s="138"/>
      <c r="BVN94" s="37"/>
      <c r="BVO94" s="37"/>
      <c r="BVP94" s="37"/>
      <c r="BVQ94" s="37"/>
      <c r="BVR94" s="37"/>
      <c r="BVS94" s="75"/>
      <c r="BVT94" s="37"/>
      <c r="BVU94" s="37"/>
      <c r="BVV94" s="37"/>
      <c r="BVW94" s="37"/>
      <c r="BVX94" s="37"/>
      <c r="BVY94" s="138"/>
      <c r="BVZ94" s="37"/>
      <c r="BWA94" s="37"/>
      <c r="BWB94" s="37"/>
      <c r="BWC94" s="37"/>
      <c r="BWD94" s="37"/>
      <c r="BWE94" s="75"/>
      <c r="BWF94" s="65"/>
      <c r="BWG94" s="65"/>
      <c r="BWH94" s="65"/>
      <c r="BWI94" s="65"/>
      <c r="BWJ94" s="37"/>
      <c r="BWK94" s="138"/>
      <c r="BWL94" s="37"/>
      <c r="BWM94" s="37"/>
      <c r="BWN94" s="37"/>
      <c r="BWO94" s="37"/>
      <c r="BWP94" s="37"/>
      <c r="BWQ94" s="75"/>
      <c r="BWR94" s="37"/>
      <c r="BWS94" s="37"/>
      <c r="BWT94" s="37"/>
      <c r="BWU94" s="37"/>
      <c r="BWV94" s="37"/>
      <c r="BWW94" s="138"/>
      <c r="BWX94" s="37"/>
      <c r="BWY94" s="37"/>
      <c r="BWZ94" s="37"/>
      <c r="BXA94" s="37"/>
      <c r="BXB94" s="37"/>
      <c r="BXC94" s="75"/>
      <c r="BXD94" s="37"/>
      <c r="BXE94" s="37"/>
      <c r="BXF94" s="37"/>
      <c r="BXG94" s="37"/>
      <c r="BXH94" s="37"/>
      <c r="BXI94" s="38"/>
      <c r="BXJ94" s="36"/>
      <c r="BXK94" s="65"/>
      <c r="BXL94" s="65"/>
      <c r="BXM94" s="65"/>
      <c r="BXN94" s="37"/>
      <c r="BXO94" s="133"/>
      <c r="BXP94" s="37"/>
      <c r="BXQ94" s="37"/>
      <c r="BXR94" s="37"/>
      <c r="BXS94" s="37"/>
      <c r="BXT94" s="37"/>
      <c r="BXU94" s="138"/>
      <c r="BXV94" s="37"/>
      <c r="BXW94" s="37"/>
      <c r="BXX94" s="37"/>
      <c r="BXY94" s="37"/>
      <c r="BXZ94" s="37"/>
      <c r="BYA94" s="75"/>
      <c r="BYB94" s="37"/>
      <c r="BYC94" s="37"/>
      <c r="BYD94" s="37"/>
      <c r="BYE94" s="37"/>
      <c r="BYF94" s="37"/>
      <c r="BYG94" s="138"/>
      <c r="BYH94" s="37"/>
      <c r="BYI94" s="37"/>
      <c r="BYJ94" s="37"/>
      <c r="BYK94" s="37"/>
      <c r="BYL94" s="37"/>
      <c r="BYM94" s="75"/>
      <c r="BYN94" s="65"/>
      <c r="BYO94" s="65"/>
      <c r="BYP94" s="65"/>
      <c r="BYQ94" s="65"/>
      <c r="BYR94" s="37"/>
      <c r="BYS94" s="138"/>
      <c r="BYT94" s="37"/>
      <c r="BYU94" s="37"/>
      <c r="BYV94" s="37"/>
      <c r="BYW94" s="37"/>
      <c r="BYX94" s="37"/>
      <c r="BYY94" s="75"/>
      <c r="BYZ94" s="37"/>
      <c r="BZA94" s="37"/>
      <c r="BZB94" s="37"/>
      <c r="BZC94" s="37"/>
      <c r="BZD94" s="37"/>
      <c r="BZE94" s="138"/>
      <c r="BZF94" s="37"/>
      <c r="BZG94" s="37"/>
      <c r="BZH94" s="37"/>
      <c r="BZI94" s="37"/>
      <c r="BZJ94" s="37"/>
      <c r="BZK94" s="75"/>
      <c r="BZL94" s="37"/>
      <c r="BZM94" s="37"/>
      <c r="BZN94" s="37"/>
      <c r="BZO94" s="37"/>
      <c r="BZP94" s="37"/>
      <c r="BZQ94" s="38"/>
      <c r="BZR94" s="36"/>
      <c r="BZS94" s="65"/>
      <c r="BZT94" s="65"/>
      <c r="BZU94" s="65"/>
      <c r="BZV94" s="37"/>
      <c r="BZW94" s="133"/>
      <c r="BZX94" s="37"/>
      <c r="BZY94" s="37"/>
      <c r="BZZ94" s="37"/>
      <c r="CAA94" s="37"/>
      <c r="CAB94" s="37"/>
      <c r="CAC94" s="138"/>
      <c r="CAD94" s="37"/>
      <c r="CAE94" s="37"/>
      <c r="CAF94" s="37"/>
      <c r="CAG94" s="37"/>
      <c r="CAH94" s="37"/>
      <c r="CAI94" s="75"/>
      <c r="CAJ94" s="37"/>
      <c r="CAK94" s="37"/>
      <c r="CAL94" s="37"/>
      <c r="CAM94" s="37"/>
      <c r="CAN94" s="37"/>
      <c r="CAO94" s="138"/>
      <c r="CAP94" s="37"/>
      <c r="CAQ94" s="37"/>
      <c r="CAR94" s="37"/>
      <c r="CAS94" s="37"/>
      <c r="CAT94" s="37"/>
      <c r="CAU94" s="75"/>
      <c r="CAV94" s="65"/>
      <c r="CAW94" s="65"/>
      <c r="CAX94" s="65"/>
      <c r="CAY94" s="65"/>
      <c r="CAZ94" s="37"/>
      <c r="CBA94" s="138"/>
      <c r="CBB94" s="37"/>
      <c r="CBC94" s="37"/>
      <c r="CBD94" s="37"/>
      <c r="CBE94" s="37"/>
      <c r="CBF94" s="37"/>
      <c r="CBG94" s="75"/>
      <c r="CBH94" s="37"/>
      <c r="CBI94" s="37"/>
      <c r="CBJ94" s="37"/>
      <c r="CBK94" s="37"/>
      <c r="CBL94" s="37"/>
      <c r="CBM94" s="138"/>
      <c r="CBN94" s="37"/>
      <c r="CBO94" s="37"/>
      <c r="CBP94" s="37"/>
      <c r="CBQ94" s="37"/>
      <c r="CBR94" s="37"/>
      <c r="CBS94" s="75"/>
      <c r="CBT94" s="37"/>
      <c r="CBU94" s="37"/>
      <c r="CBV94" s="37"/>
      <c r="CBW94" s="37"/>
      <c r="CBX94" s="37"/>
      <c r="CBY94" s="38"/>
      <c r="CBZ94" s="36"/>
      <c r="CCA94" s="65"/>
      <c r="CCB94" s="65"/>
      <c r="CCC94" s="65"/>
      <c r="CCD94" s="37"/>
      <c r="CCE94" s="133"/>
      <c r="CCF94" s="37"/>
      <c r="CCG94" s="37"/>
      <c r="CCH94" s="37"/>
      <c r="CCI94" s="37"/>
      <c r="CCJ94" s="37"/>
      <c r="CCK94" s="138"/>
      <c r="CCL94" s="37"/>
      <c r="CCM94" s="37"/>
      <c r="CCN94" s="37"/>
      <c r="CCO94" s="37"/>
      <c r="CCP94" s="37"/>
      <c r="CCQ94" s="75"/>
      <c r="CCR94" s="37"/>
      <c r="CCS94" s="37"/>
      <c r="CCT94" s="37"/>
      <c r="CCU94" s="37"/>
      <c r="CCV94" s="37"/>
      <c r="CCW94" s="138"/>
      <c r="CCX94" s="37"/>
      <c r="CCY94" s="37"/>
      <c r="CCZ94" s="37"/>
      <c r="CDA94" s="37"/>
      <c r="CDB94" s="37"/>
      <c r="CDC94" s="75"/>
      <c r="CDD94" s="65"/>
      <c r="CDE94" s="65"/>
      <c r="CDF94" s="65"/>
      <c r="CDG94" s="65"/>
      <c r="CDH94" s="37"/>
      <c r="CDI94" s="138"/>
      <c r="CDJ94" s="37"/>
      <c r="CDK94" s="37"/>
      <c r="CDL94" s="37"/>
      <c r="CDM94" s="37"/>
      <c r="CDN94" s="37"/>
      <c r="CDO94" s="75"/>
      <c r="CDP94" s="37"/>
      <c r="CDQ94" s="37"/>
      <c r="CDR94" s="37"/>
      <c r="CDS94" s="37"/>
      <c r="CDT94" s="37"/>
      <c r="CDU94" s="138"/>
      <c r="CDV94" s="37"/>
      <c r="CDW94" s="37"/>
      <c r="CDX94" s="37"/>
      <c r="CDY94" s="37"/>
      <c r="CDZ94" s="37"/>
      <c r="CEA94" s="75"/>
      <c r="CEB94" s="37"/>
      <c r="CEC94" s="37"/>
      <c r="CED94" s="37"/>
      <c r="CEE94" s="37"/>
      <c r="CEF94" s="37"/>
      <c r="CEG94" s="38"/>
      <c r="CEH94" s="36"/>
      <c r="CEI94" s="65"/>
      <c r="CEJ94" s="65"/>
      <c r="CEK94" s="65"/>
      <c r="CEL94" s="37"/>
      <c r="CEM94" s="133"/>
      <c r="CEN94" s="37"/>
      <c r="CEO94" s="37"/>
      <c r="CEP94" s="37"/>
      <c r="CEQ94" s="37"/>
      <c r="CER94" s="37"/>
      <c r="CES94" s="138"/>
      <c r="CET94" s="37"/>
      <c r="CEU94" s="37"/>
      <c r="CEV94" s="37"/>
      <c r="CEW94" s="37"/>
      <c r="CEX94" s="37"/>
      <c r="CEY94" s="75"/>
      <c r="CEZ94" s="37"/>
      <c r="CFA94" s="37"/>
      <c r="CFB94" s="37"/>
      <c r="CFC94" s="37"/>
      <c r="CFD94" s="37"/>
      <c r="CFE94" s="138"/>
      <c r="CFF94" s="37"/>
      <c r="CFG94" s="37"/>
      <c r="CFH94" s="37"/>
      <c r="CFI94" s="37"/>
      <c r="CFJ94" s="37"/>
      <c r="CFK94" s="75"/>
      <c r="CFL94" s="65"/>
      <c r="CFM94" s="65"/>
      <c r="CFN94" s="65"/>
      <c r="CFO94" s="65"/>
      <c r="CFP94" s="37"/>
      <c r="CFQ94" s="138"/>
      <c r="CFR94" s="37"/>
      <c r="CFS94" s="37"/>
      <c r="CFT94" s="37"/>
      <c r="CFU94" s="37"/>
      <c r="CFV94" s="37"/>
      <c r="CFW94" s="75"/>
      <c r="CFX94" s="37"/>
      <c r="CFY94" s="37"/>
      <c r="CFZ94" s="37"/>
      <c r="CGA94" s="37"/>
      <c r="CGB94" s="37"/>
      <c r="CGC94" s="138"/>
      <c r="CGD94" s="37"/>
      <c r="CGE94" s="37"/>
      <c r="CGF94" s="37"/>
      <c r="CGG94" s="37"/>
      <c r="CGH94" s="37"/>
      <c r="CGI94" s="75"/>
      <c r="CGJ94" s="37"/>
      <c r="CGK94" s="37"/>
      <c r="CGL94" s="37"/>
      <c r="CGM94" s="37"/>
      <c r="CGN94" s="37"/>
      <c r="CGO94" s="38"/>
      <c r="CGP94" s="36"/>
      <c r="CGQ94" s="65"/>
      <c r="CGR94" s="65"/>
      <c r="CGS94" s="65"/>
      <c r="CGT94" s="37"/>
      <c r="CGU94" s="133"/>
      <c r="CGV94" s="37"/>
      <c r="CGW94" s="37"/>
      <c r="CGX94" s="37"/>
      <c r="CGY94" s="37"/>
      <c r="CGZ94" s="37"/>
      <c r="CHA94" s="138"/>
      <c r="CHB94" s="37"/>
      <c r="CHC94" s="37"/>
      <c r="CHD94" s="37"/>
      <c r="CHE94" s="37"/>
      <c r="CHF94" s="37"/>
      <c r="CHG94" s="75"/>
      <c r="CHH94" s="37"/>
      <c r="CHI94" s="37"/>
      <c r="CHJ94" s="37"/>
      <c r="CHK94" s="37"/>
      <c r="CHL94" s="37"/>
      <c r="CHM94" s="138"/>
      <c r="CHN94" s="37"/>
      <c r="CHO94" s="37"/>
      <c r="CHP94" s="37"/>
      <c r="CHQ94" s="37"/>
      <c r="CHR94" s="37"/>
      <c r="CHS94" s="75"/>
      <c r="CHT94" s="65"/>
      <c r="CHU94" s="65"/>
      <c r="CHV94" s="65"/>
      <c r="CHW94" s="65"/>
      <c r="CHX94" s="37"/>
      <c r="CHY94" s="138"/>
      <c r="CHZ94" s="37"/>
      <c r="CIA94" s="37"/>
      <c r="CIB94" s="37"/>
      <c r="CIC94" s="37"/>
      <c r="CID94" s="37"/>
      <c r="CIE94" s="75"/>
      <c r="CIF94" s="37"/>
      <c r="CIG94" s="37"/>
      <c r="CIH94" s="37"/>
      <c r="CII94" s="37"/>
      <c r="CIJ94" s="37"/>
      <c r="CIK94" s="138"/>
      <c r="CIL94" s="37"/>
      <c r="CIM94" s="37"/>
      <c r="CIN94" s="37"/>
      <c r="CIO94" s="37"/>
      <c r="CIP94" s="37"/>
      <c r="CIQ94" s="75"/>
      <c r="CIR94" s="37"/>
      <c r="CIS94" s="37"/>
      <c r="CIT94" s="37"/>
      <c r="CIU94" s="37"/>
      <c r="CIV94" s="37"/>
      <c r="CIW94" s="38"/>
      <c r="CIX94" s="36"/>
      <c r="CIY94" s="65"/>
      <c r="CIZ94" s="65"/>
      <c r="CJA94" s="65"/>
      <c r="CJB94" s="37"/>
      <c r="CJC94" s="133"/>
      <c r="CJD94" s="37"/>
      <c r="CJE94" s="37"/>
      <c r="CJF94" s="37"/>
      <c r="CJG94" s="37"/>
      <c r="CJH94" s="37"/>
      <c r="CJI94" s="138"/>
      <c r="CJJ94" s="37"/>
      <c r="CJK94" s="37"/>
      <c r="CJL94" s="37"/>
      <c r="CJM94" s="37"/>
      <c r="CJN94" s="37"/>
      <c r="CJO94" s="75"/>
      <c r="CJP94" s="37"/>
      <c r="CJQ94" s="37"/>
      <c r="CJR94" s="37"/>
      <c r="CJS94" s="37"/>
      <c r="CJT94" s="37"/>
      <c r="CJU94" s="138"/>
      <c r="CJV94" s="37"/>
      <c r="CJW94" s="37"/>
      <c r="CJX94" s="37"/>
      <c r="CJY94" s="37"/>
      <c r="CJZ94" s="37"/>
      <c r="CKA94" s="75"/>
      <c r="CKB94" s="65"/>
      <c r="CKC94" s="65"/>
      <c r="CKD94" s="65"/>
      <c r="CKE94" s="65"/>
      <c r="CKF94" s="37"/>
      <c r="CKG94" s="138"/>
      <c r="CKH94" s="37"/>
      <c r="CKI94" s="37"/>
      <c r="CKJ94" s="37"/>
      <c r="CKK94" s="37"/>
      <c r="CKL94" s="37"/>
      <c r="CKM94" s="75"/>
      <c r="CKN94" s="37"/>
      <c r="CKO94" s="37"/>
      <c r="CKP94" s="37"/>
      <c r="CKQ94" s="37"/>
      <c r="CKR94" s="37"/>
      <c r="CKS94" s="138"/>
      <c r="CKT94" s="37"/>
      <c r="CKU94" s="37"/>
      <c r="CKV94" s="37"/>
      <c r="CKW94" s="37"/>
      <c r="CKX94" s="37"/>
      <c r="CKY94" s="75"/>
      <c r="CKZ94" s="37"/>
      <c r="CLA94" s="37"/>
      <c r="CLB94" s="37"/>
      <c r="CLC94" s="37"/>
      <c r="CLD94" s="37"/>
      <c r="CLE94" s="38"/>
      <c r="CLF94" s="36"/>
      <c r="CLG94" s="65"/>
      <c r="CLH94" s="65"/>
      <c r="CLI94" s="65"/>
      <c r="CLJ94" s="37"/>
      <c r="CLK94" s="133"/>
      <c r="CLL94" s="37"/>
      <c r="CLM94" s="37"/>
      <c r="CLN94" s="37"/>
      <c r="CLO94" s="37"/>
      <c r="CLP94" s="37"/>
      <c r="CLQ94" s="138"/>
      <c r="CLR94" s="37"/>
      <c r="CLS94" s="37"/>
      <c r="CLT94" s="37"/>
      <c r="CLU94" s="37"/>
      <c r="CLV94" s="37"/>
      <c r="CLW94" s="75"/>
      <c r="CLX94" s="37"/>
      <c r="CLY94" s="37"/>
      <c r="CLZ94" s="37"/>
      <c r="CMA94" s="37"/>
      <c r="CMB94" s="37"/>
      <c r="CMC94" s="138"/>
      <c r="CMD94" s="37"/>
      <c r="CME94" s="37"/>
      <c r="CMF94" s="37"/>
      <c r="CMG94" s="37"/>
      <c r="CMH94" s="37"/>
      <c r="CMI94" s="75"/>
      <c r="CMJ94" s="65"/>
      <c r="CMK94" s="65"/>
      <c r="CML94" s="65"/>
      <c r="CMM94" s="65"/>
      <c r="CMN94" s="37"/>
      <c r="CMO94" s="138"/>
      <c r="CMP94" s="37"/>
      <c r="CMQ94" s="37"/>
      <c r="CMR94" s="37"/>
      <c r="CMS94" s="37"/>
      <c r="CMT94" s="37"/>
      <c r="CMU94" s="75"/>
      <c r="CMV94" s="37"/>
      <c r="CMW94" s="37"/>
      <c r="CMX94" s="37"/>
      <c r="CMY94" s="37"/>
      <c r="CMZ94" s="37"/>
      <c r="CNA94" s="138"/>
      <c r="CNB94" s="37"/>
      <c r="CNC94" s="37"/>
      <c r="CND94" s="37"/>
      <c r="CNE94" s="37"/>
      <c r="CNF94" s="37"/>
      <c r="CNG94" s="75"/>
      <c r="CNH94" s="37"/>
      <c r="CNI94" s="37"/>
      <c r="CNJ94" s="37"/>
      <c r="CNK94" s="37"/>
      <c r="CNL94" s="37"/>
      <c r="CNM94" s="38"/>
      <c r="CNN94" s="36"/>
      <c r="CNO94" s="65"/>
      <c r="CNP94" s="65"/>
      <c r="CNQ94" s="65"/>
      <c r="CNR94" s="37"/>
      <c r="CNS94" s="133"/>
      <c r="CNT94" s="37"/>
      <c r="CNU94" s="37"/>
      <c r="CNV94" s="37"/>
      <c r="CNW94" s="37"/>
      <c r="CNX94" s="37"/>
      <c r="CNY94" s="138"/>
      <c r="CNZ94" s="37"/>
      <c r="COA94" s="37"/>
      <c r="COB94" s="37"/>
      <c r="COC94" s="37"/>
      <c r="COD94" s="37"/>
      <c r="COE94" s="75"/>
      <c r="COF94" s="37"/>
      <c r="COG94" s="37"/>
      <c r="COH94" s="37"/>
      <c r="COI94" s="37"/>
      <c r="COJ94" s="37"/>
      <c r="COK94" s="138"/>
      <c r="COL94" s="37"/>
      <c r="COM94" s="37"/>
      <c r="CON94" s="37"/>
      <c r="COO94" s="37"/>
      <c r="COP94" s="37"/>
      <c r="COQ94" s="75"/>
      <c r="COR94" s="65"/>
      <c r="COS94" s="65"/>
      <c r="COT94" s="65"/>
      <c r="COU94" s="65"/>
      <c r="COV94" s="37"/>
      <c r="COW94" s="138"/>
      <c r="COX94" s="37"/>
      <c r="COY94" s="37"/>
      <c r="COZ94" s="37"/>
      <c r="CPA94" s="37"/>
      <c r="CPB94" s="37"/>
      <c r="CPC94" s="75"/>
      <c r="CPD94" s="37"/>
      <c r="CPE94" s="37"/>
      <c r="CPF94" s="37"/>
      <c r="CPG94" s="37"/>
      <c r="CPH94" s="37"/>
      <c r="CPI94" s="138"/>
      <c r="CPJ94" s="37"/>
      <c r="CPK94" s="37"/>
      <c r="CPL94" s="37"/>
      <c r="CPM94" s="37"/>
      <c r="CPN94" s="37"/>
      <c r="CPO94" s="75"/>
      <c r="CPP94" s="37"/>
      <c r="CPQ94" s="37"/>
      <c r="CPR94" s="37"/>
      <c r="CPS94" s="37"/>
      <c r="CPT94" s="37"/>
      <c r="CPU94" s="38"/>
      <c r="CPV94" s="36"/>
      <c r="CPW94" s="65"/>
      <c r="CPX94" s="65"/>
      <c r="CPY94" s="65"/>
      <c r="CPZ94" s="37"/>
      <c r="CQA94" s="133"/>
      <c r="CQB94" s="37"/>
      <c r="CQC94" s="37"/>
      <c r="CQD94" s="37"/>
      <c r="CQE94" s="37"/>
      <c r="CQF94" s="37"/>
      <c r="CQG94" s="138"/>
      <c r="CQH94" s="37"/>
      <c r="CQI94" s="37"/>
      <c r="CQJ94" s="37"/>
      <c r="CQK94" s="37"/>
      <c r="CQL94" s="37"/>
      <c r="CQM94" s="75"/>
      <c r="CQN94" s="37"/>
      <c r="CQO94" s="37"/>
      <c r="CQP94" s="37"/>
      <c r="CQQ94" s="37"/>
      <c r="CQR94" s="37"/>
      <c r="CQS94" s="138"/>
      <c r="CQT94" s="37"/>
      <c r="CQU94" s="37"/>
      <c r="CQV94" s="37"/>
      <c r="CQW94" s="37"/>
      <c r="CQX94" s="37"/>
      <c r="CQY94" s="75"/>
      <c r="CQZ94" s="65"/>
      <c r="CRA94" s="65"/>
      <c r="CRB94" s="65"/>
      <c r="CRC94" s="65"/>
      <c r="CRD94" s="37"/>
      <c r="CRE94" s="138"/>
      <c r="CRF94" s="37"/>
      <c r="CRG94" s="37"/>
      <c r="CRH94" s="37"/>
      <c r="CRI94" s="37"/>
      <c r="CRJ94" s="37"/>
      <c r="CRK94" s="75"/>
      <c r="CRL94" s="37"/>
      <c r="CRM94" s="37"/>
      <c r="CRN94" s="37"/>
      <c r="CRO94" s="37"/>
      <c r="CRP94" s="37"/>
      <c r="CRQ94" s="138"/>
      <c r="CRR94" s="37"/>
      <c r="CRS94" s="37"/>
      <c r="CRT94" s="37"/>
      <c r="CRU94" s="37"/>
      <c r="CRV94" s="37"/>
      <c r="CRW94" s="75"/>
      <c r="CRX94" s="37"/>
      <c r="CRY94" s="37"/>
      <c r="CRZ94" s="37"/>
      <c r="CSA94" s="37"/>
      <c r="CSB94" s="37"/>
      <c r="CSC94" s="38"/>
      <c r="CSD94" s="90"/>
    </row>
    <row r="95" spans="1:2526" ht="20.100000000000001" customHeight="1" x14ac:dyDescent="0.25">
      <c r="B95" s="96"/>
      <c r="C95" s="224" t="s">
        <v>9</v>
      </c>
      <c r="D95" s="225"/>
      <c r="E95" s="117">
        <f>SUM(E15,E17,E19,E21,E23,E25,E27,E29,E31,E33,E35,E37,E39,E41,E43,E45,E47,E49,E51,E53,E55,E57,E59,E61,E63,E65,E67,E69,E71,E73,E75,E77,E79,E81,E83,E85,E87,E89,E91,E93)</f>
        <v>1557</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70"/>
      <c r="BLW95" s="69"/>
      <c r="BLX95" s="69"/>
      <c r="BLY95" s="69"/>
      <c r="BLZ95" s="69"/>
      <c r="BMA95" s="69"/>
      <c r="BMB95" s="69"/>
      <c r="BMC95" s="69"/>
      <c r="BMD95" s="69"/>
      <c r="BME95" s="69"/>
      <c r="BMF95" s="69"/>
      <c r="BMG95" s="69"/>
      <c r="BMH95" s="69"/>
      <c r="BMI95" s="69"/>
      <c r="BMJ95" s="69"/>
      <c r="BMK95" s="69"/>
      <c r="BML95" s="69"/>
      <c r="BMM95" s="69"/>
      <c r="BMN95" s="69"/>
      <c r="BMO95" s="69"/>
      <c r="BMP95" s="69"/>
      <c r="BMQ95" s="69"/>
      <c r="BMR95" s="69"/>
      <c r="BMS95" s="69"/>
      <c r="BMT95" s="69"/>
      <c r="BMU95" s="69"/>
      <c r="BMV95" s="69"/>
      <c r="BMW95" s="69"/>
      <c r="BMX95" s="69"/>
      <c r="BMY95" s="69"/>
      <c r="BMZ95" s="69"/>
      <c r="BNA95" s="69"/>
      <c r="BNB95" s="69"/>
      <c r="BNC95" s="69"/>
      <c r="BND95" s="69"/>
      <c r="BNE95" s="69"/>
      <c r="BNF95" s="69"/>
      <c r="BNG95" s="69"/>
      <c r="BNH95" s="69"/>
      <c r="BNI95" s="69"/>
      <c r="BNJ95" s="69"/>
      <c r="BNK95" s="69"/>
      <c r="BNL95" s="69"/>
      <c r="BNM95" s="69"/>
      <c r="BNN95" s="69"/>
      <c r="BNO95" s="69"/>
      <c r="BNP95" s="69"/>
      <c r="BNQ95" s="69"/>
      <c r="BNR95" s="69"/>
      <c r="BNS95" s="69"/>
      <c r="BNT95" s="69"/>
      <c r="BNU95" s="69"/>
      <c r="BNV95" s="69"/>
      <c r="BNW95" s="69"/>
      <c r="BNX95" s="69"/>
      <c r="BNY95" s="69"/>
      <c r="BNZ95" s="69"/>
      <c r="BOA95" s="69"/>
      <c r="BOB95" s="69"/>
      <c r="BOC95" s="85"/>
      <c r="BOD95" s="70"/>
      <c r="BOE95" s="69"/>
      <c r="BOF95" s="69"/>
      <c r="BOG95" s="69"/>
      <c r="BOH95" s="69"/>
      <c r="BOI95" s="69"/>
      <c r="BOJ95" s="69"/>
      <c r="BOK95" s="69"/>
      <c r="BOL95" s="69"/>
      <c r="BOM95" s="69"/>
      <c r="BON95" s="69"/>
      <c r="BOO95" s="69"/>
      <c r="BOP95" s="69"/>
      <c r="BOQ95" s="69"/>
      <c r="BOR95" s="69"/>
      <c r="BOS95" s="69"/>
      <c r="BOT95" s="69"/>
      <c r="BOU95" s="69"/>
      <c r="BOV95" s="69"/>
      <c r="BOW95" s="69"/>
      <c r="BOX95" s="69"/>
      <c r="BOY95" s="69"/>
      <c r="BOZ95" s="69"/>
      <c r="BPA95" s="69"/>
      <c r="BPB95" s="69"/>
      <c r="BPC95" s="69"/>
      <c r="BPD95" s="69"/>
      <c r="BPE95" s="69"/>
      <c r="BPF95" s="69"/>
      <c r="BPG95" s="69"/>
      <c r="BPH95" s="69"/>
      <c r="BPI95" s="69"/>
      <c r="BPJ95" s="69"/>
      <c r="BPK95" s="69"/>
      <c r="BPL95" s="69"/>
      <c r="BPM95" s="69"/>
      <c r="BPN95" s="69"/>
      <c r="BPO95" s="69"/>
      <c r="BPP95" s="69"/>
      <c r="BPQ95" s="69"/>
      <c r="BPR95" s="69"/>
      <c r="BPS95" s="69"/>
      <c r="BPT95" s="69"/>
      <c r="BPU95" s="69"/>
      <c r="BPV95" s="69"/>
      <c r="BPW95" s="69"/>
      <c r="BPX95" s="69"/>
      <c r="BPY95" s="69"/>
      <c r="BPZ95" s="69"/>
      <c r="BQA95" s="69"/>
      <c r="BQB95" s="69"/>
      <c r="BQC95" s="69"/>
      <c r="BQD95" s="69"/>
      <c r="BQE95" s="69"/>
      <c r="BQF95" s="69"/>
      <c r="BQG95" s="69"/>
      <c r="BQH95" s="69"/>
      <c r="BQI95" s="69"/>
      <c r="BQJ95" s="69"/>
      <c r="BQK95" s="85"/>
      <c r="BQL95" s="70"/>
      <c r="BQM95" s="69"/>
      <c r="BQN95" s="69"/>
      <c r="BQO95" s="69"/>
      <c r="BQP95" s="69"/>
      <c r="BQQ95" s="69"/>
      <c r="BQR95" s="69"/>
      <c r="BQS95" s="69"/>
      <c r="BQT95" s="69"/>
      <c r="BQU95" s="69"/>
      <c r="BQV95" s="69"/>
      <c r="BQW95" s="69"/>
      <c r="BQX95" s="69"/>
      <c r="BQY95" s="69"/>
      <c r="BQZ95" s="69"/>
      <c r="BRA95" s="69"/>
      <c r="BRB95" s="69"/>
      <c r="BRC95" s="69"/>
      <c r="BRD95" s="69"/>
      <c r="BRE95" s="69"/>
      <c r="BRF95" s="69"/>
      <c r="BRG95" s="69"/>
      <c r="BRH95" s="69"/>
      <c r="BRI95" s="69"/>
      <c r="BRJ95" s="69"/>
      <c r="BRK95" s="69"/>
      <c r="BRL95" s="69"/>
      <c r="BRM95" s="69"/>
      <c r="BRN95" s="69"/>
      <c r="BRO95" s="69"/>
      <c r="BRP95" s="69"/>
      <c r="BRQ95" s="69"/>
      <c r="BRR95" s="69"/>
      <c r="BRS95" s="69"/>
      <c r="BRT95" s="69"/>
      <c r="BRU95" s="69"/>
      <c r="BRV95" s="69"/>
      <c r="BRW95" s="69"/>
      <c r="BRX95" s="69"/>
      <c r="BRY95" s="69"/>
      <c r="BRZ95" s="69"/>
      <c r="BSA95" s="69"/>
      <c r="BSB95" s="69"/>
      <c r="BSC95" s="69"/>
      <c r="BSD95" s="69"/>
      <c r="BSE95" s="69"/>
      <c r="BSF95" s="69"/>
      <c r="BSG95" s="69"/>
      <c r="BSH95" s="69"/>
      <c r="BSI95" s="69"/>
      <c r="BSJ95" s="69"/>
      <c r="BSK95" s="69"/>
      <c r="BSL95" s="69"/>
      <c r="BSM95" s="69"/>
      <c r="BSN95" s="69"/>
      <c r="BSO95" s="69"/>
      <c r="BSP95" s="69"/>
      <c r="BSQ95" s="69"/>
      <c r="BSR95" s="69"/>
      <c r="BSS95" s="85"/>
      <c r="BST95" s="70"/>
      <c r="BSU95" s="69"/>
      <c r="BSV95" s="69"/>
      <c r="BSW95" s="69"/>
      <c r="BSX95" s="69"/>
      <c r="BSY95" s="69"/>
      <c r="BSZ95" s="69"/>
      <c r="BTA95" s="69"/>
      <c r="BTB95" s="69"/>
      <c r="BTC95" s="69"/>
      <c r="BTD95" s="69"/>
      <c r="BTE95" s="69"/>
      <c r="BTF95" s="69"/>
      <c r="BTG95" s="69"/>
      <c r="BTH95" s="69"/>
      <c r="BTI95" s="69"/>
      <c r="BTJ95" s="69"/>
      <c r="BTK95" s="69"/>
      <c r="BTL95" s="69"/>
      <c r="BTM95" s="69"/>
      <c r="BTN95" s="69"/>
      <c r="BTO95" s="69"/>
      <c r="BTP95" s="69"/>
      <c r="BTQ95" s="69"/>
      <c r="BTR95" s="69"/>
      <c r="BTS95" s="69"/>
      <c r="BTT95" s="69"/>
      <c r="BTU95" s="69"/>
      <c r="BTV95" s="69"/>
      <c r="BTW95" s="69"/>
      <c r="BTX95" s="69"/>
      <c r="BTY95" s="69"/>
      <c r="BTZ95" s="69"/>
      <c r="BUA95" s="69"/>
      <c r="BUB95" s="69"/>
      <c r="BUC95" s="69"/>
      <c r="BUD95" s="69"/>
      <c r="BUE95" s="69"/>
      <c r="BUF95" s="69"/>
      <c r="BUG95" s="69"/>
      <c r="BUH95" s="69"/>
      <c r="BUI95" s="69"/>
      <c r="BUJ95" s="69"/>
      <c r="BUK95" s="69"/>
      <c r="BUL95" s="69"/>
      <c r="BUM95" s="69"/>
      <c r="BUN95" s="69"/>
      <c r="BUO95" s="69"/>
      <c r="BUP95" s="69"/>
      <c r="BUQ95" s="69"/>
      <c r="BUR95" s="69"/>
      <c r="BUS95" s="69"/>
      <c r="BUT95" s="69"/>
      <c r="BUU95" s="69"/>
      <c r="BUV95" s="69"/>
      <c r="BUW95" s="69"/>
      <c r="BUX95" s="69"/>
      <c r="BUY95" s="69"/>
      <c r="BUZ95" s="69"/>
      <c r="BVA95" s="85"/>
      <c r="BVB95" s="70"/>
      <c r="BVC95" s="69"/>
      <c r="BVD95" s="69"/>
      <c r="BVE95" s="69"/>
      <c r="BVF95" s="69"/>
      <c r="BVG95" s="69"/>
      <c r="BVH95" s="69"/>
      <c r="BVI95" s="69"/>
      <c r="BVJ95" s="69"/>
      <c r="BVK95" s="69"/>
      <c r="BVL95" s="69"/>
      <c r="BVM95" s="69"/>
      <c r="BVN95" s="69"/>
      <c r="BVO95" s="69"/>
      <c r="BVP95" s="69"/>
      <c r="BVQ95" s="69"/>
      <c r="BVR95" s="69"/>
      <c r="BVS95" s="69"/>
      <c r="BVT95" s="69"/>
      <c r="BVU95" s="69"/>
      <c r="BVV95" s="69"/>
      <c r="BVW95" s="69"/>
      <c r="BVX95" s="69"/>
      <c r="BVY95" s="69"/>
      <c r="BVZ95" s="69"/>
      <c r="BWA95" s="69"/>
      <c r="BWB95" s="69"/>
      <c r="BWC95" s="69"/>
      <c r="BWD95" s="69"/>
      <c r="BWE95" s="69"/>
      <c r="BWF95" s="69"/>
      <c r="BWG95" s="69"/>
      <c r="BWH95" s="69"/>
      <c r="BWI95" s="69"/>
      <c r="BWJ95" s="69"/>
      <c r="BWK95" s="69"/>
      <c r="BWL95" s="69"/>
      <c r="BWM95" s="69"/>
      <c r="BWN95" s="69"/>
      <c r="BWO95" s="69"/>
      <c r="BWP95" s="69"/>
      <c r="BWQ95" s="69"/>
      <c r="BWR95" s="69"/>
      <c r="BWS95" s="69"/>
      <c r="BWT95" s="69"/>
      <c r="BWU95" s="69"/>
      <c r="BWV95" s="69"/>
      <c r="BWW95" s="69"/>
      <c r="BWX95" s="69"/>
      <c r="BWY95" s="69"/>
      <c r="BWZ95" s="69"/>
      <c r="BXA95" s="69"/>
      <c r="BXB95" s="69"/>
      <c r="BXC95" s="69"/>
      <c r="BXD95" s="69"/>
      <c r="BXE95" s="69"/>
      <c r="BXF95" s="69"/>
      <c r="BXG95" s="69"/>
      <c r="BXH95" s="69"/>
      <c r="BXI95" s="85"/>
      <c r="BXJ95" s="70"/>
      <c r="BXK95" s="69"/>
      <c r="BXL95" s="69"/>
      <c r="BXM95" s="69"/>
      <c r="BXN95" s="69"/>
      <c r="BXO95" s="69"/>
      <c r="BXP95" s="69"/>
      <c r="BXQ95" s="69"/>
      <c r="BXR95" s="69"/>
      <c r="BXS95" s="69"/>
      <c r="BXT95" s="69"/>
      <c r="BXU95" s="69"/>
      <c r="BXV95" s="69"/>
      <c r="BXW95" s="69"/>
      <c r="BXX95" s="69"/>
      <c r="BXY95" s="69"/>
      <c r="BXZ95" s="69"/>
      <c r="BYA95" s="69"/>
      <c r="BYB95" s="69"/>
      <c r="BYC95" s="69"/>
      <c r="BYD95" s="69"/>
      <c r="BYE95" s="69"/>
      <c r="BYF95" s="69"/>
      <c r="BYG95" s="69"/>
      <c r="BYH95" s="69"/>
      <c r="BYI95" s="69"/>
      <c r="BYJ95" s="69"/>
      <c r="BYK95" s="69"/>
      <c r="BYL95" s="69"/>
      <c r="BYM95" s="69"/>
      <c r="BYN95" s="69"/>
      <c r="BYO95" s="69"/>
      <c r="BYP95" s="69"/>
      <c r="BYQ95" s="69"/>
      <c r="BYR95" s="69"/>
      <c r="BYS95" s="69"/>
      <c r="BYT95" s="69"/>
      <c r="BYU95" s="69"/>
      <c r="BYV95" s="69"/>
      <c r="BYW95" s="69"/>
      <c r="BYX95" s="69"/>
      <c r="BYY95" s="69"/>
      <c r="BYZ95" s="69"/>
      <c r="BZA95" s="69"/>
      <c r="BZB95" s="69"/>
      <c r="BZC95" s="69"/>
      <c r="BZD95" s="69"/>
      <c r="BZE95" s="69"/>
      <c r="BZF95" s="69"/>
      <c r="BZG95" s="69"/>
      <c r="BZH95" s="69"/>
      <c r="BZI95" s="69"/>
      <c r="BZJ95" s="69"/>
      <c r="BZK95" s="69"/>
      <c r="BZL95" s="69"/>
      <c r="BZM95" s="69"/>
      <c r="BZN95" s="69"/>
      <c r="BZO95" s="69"/>
      <c r="BZP95" s="69"/>
      <c r="BZQ95" s="85"/>
      <c r="BZR95" s="70"/>
      <c r="BZS95" s="69"/>
      <c r="BZT95" s="69"/>
      <c r="BZU95" s="69"/>
      <c r="BZV95" s="69"/>
      <c r="BZW95" s="69"/>
      <c r="BZX95" s="69"/>
      <c r="BZY95" s="69"/>
      <c r="BZZ95" s="69"/>
      <c r="CAA95" s="69"/>
      <c r="CAB95" s="69"/>
      <c r="CAC95" s="69"/>
      <c r="CAD95" s="69"/>
      <c r="CAE95" s="69"/>
      <c r="CAF95" s="69"/>
      <c r="CAG95" s="69"/>
      <c r="CAH95" s="69"/>
      <c r="CAI95" s="69"/>
      <c r="CAJ95" s="69"/>
      <c r="CAK95" s="69"/>
      <c r="CAL95" s="69"/>
      <c r="CAM95" s="69"/>
      <c r="CAN95" s="69"/>
      <c r="CAO95" s="69"/>
      <c r="CAP95" s="69"/>
      <c r="CAQ95" s="69"/>
      <c r="CAR95" s="69"/>
      <c r="CAS95" s="69"/>
      <c r="CAT95" s="69"/>
      <c r="CAU95" s="69"/>
      <c r="CAV95" s="69"/>
      <c r="CAW95" s="69"/>
      <c r="CAX95" s="69"/>
      <c r="CAY95" s="69"/>
      <c r="CAZ95" s="69"/>
      <c r="CBA95" s="69"/>
      <c r="CBB95" s="69"/>
      <c r="CBC95" s="69"/>
      <c r="CBD95" s="69"/>
      <c r="CBE95" s="69"/>
      <c r="CBF95" s="69"/>
      <c r="CBG95" s="69"/>
      <c r="CBH95" s="69"/>
      <c r="CBI95" s="69"/>
      <c r="CBJ95" s="69"/>
      <c r="CBK95" s="69"/>
      <c r="CBL95" s="69"/>
      <c r="CBM95" s="69"/>
      <c r="CBN95" s="69"/>
      <c r="CBO95" s="69"/>
      <c r="CBP95" s="69"/>
      <c r="CBQ95" s="69"/>
      <c r="CBR95" s="69"/>
      <c r="CBS95" s="69"/>
      <c r="CBT95" s="69"/>
      <c r="CBU95" s="69"/>
      <c r="CBV95" s="69"/>
      <c r="CBW95" s="69"/>
      <c r="CBX95" s="69"/>
      <c r="CBY95" s="85"/>
      <c r="CBZ95" s="70"/>
      <c r="CCA95" s="69"/>
      <c r="CCB95" s="69"/>
      <c r="CCC95" s="69"/>
      <c r="CCD95" s="69"/>
      <c r="CCE95" s="69"/>
      <c r="CCF95" s="69"/>
      <c r="CCG95" s="69"/>
      <c r="CCH95" s="69"/>
      <c r="CCI95" s="69"/>
      <c r="CCJ95" s="69"/>
      <c r="CCK95" s="69"/>
      <c r="CCL95" s="69"/>
      <c r="CCM95" s="69"/>
      <c r="CCN95" s="69"/>
      <c r="CCO95" s="69"/>
      <c r="CCP95" s="69"/>
      <c r="CCQ95" s="69"/>
      <c r="CCR95" s="69"/>
      <c r="CCS95" s="69"/>
      <c r="CCT95" s="69"/>
      <c r="CCU95" s="69"/>
      <c r="CCV95" s="69"/>
      <c r="CCW95" s="69"/>
      <c r="CCX95" s="69"/>
      <c r="CCY95" s="69"/>
      <c r="CCZ95" s="69"/>
      <c r="CDA95" s="69"/>
      <c r="CDB95" s="69"/>
      <c r="CDC95" s="69"/>
      <c r="CDD95" s="69"/>
      <c r="CDE95" s="69"/>
      <c r="CDF95" s="69"/>
      <c r="CDG95" s="69"/>
      <c r="CDH95" s="69"/>
      <c r="CDI95" s="69"/>
      <c r="CDJ95" s="69"/>
      <c r="CDK95" s="69"/>
      <c r="CDL95" s="69"/>
      <c r="CDM95" s="69"/>
      <c r="CDN95" s="69"/>
      <c r="CDO95" s="69"/>
      <c r="CDP95" s="69"/>
      <c r="CDQ95" s="69"/>
      <c r="CDR95" s="69"/>
      <c r="CDS95" s="69"/>
      <c r="CDT95" s="69"/>
      <c r="CDU95" s="69"/>
      <c r="CDV95" s="69"/>
      <c r="CDW95" s="69"/>
      <c r="CDX95" s="69"/>
      <c r="CDY95" s="69"/>
      <c r="CDZ95" s="69"/>
      <c r="CEA95" s="69"/>
      <c r="CEB95" s="69"/>
      <c r="CEC95" s="69"/>
      <c r="CED95" s="69"/>
      <c r="CEE95" s="69"/>
      <c r="CEF95" s="69"/>
      <c r="CEG95" s="85"/>
      <c r="CEH95" s="70"/>
      <c r="CEI95" s="69"/>
      <c r="CEJ95" s="69"/>
      <c r="CEK95" s="69"/>
      <c r="CEL95" s="69"/>
      <c r="CEM95" s="69"/>
      <c r="CEN95" s="69"/>
      <c r="CEO95" s="69"/>
      <c r="CEP95" s="69"/>
      <c r="CEQ95" s="69"/>
      <c r="CER95" s="69"/>
      <c r="CES95" s="69"/>
      <c r="CET95" s="69"/>
      <c r="CEU95" s="69"/>
      <c r="CEV95" s="69"/>
      <c r="CEW95" s="69"/>
      <c r="CEX95" s="69"/>
      <c r="CEY95" s="69"/>
      <c r="CEZ95" s="69"/>
      <c r="CFA95" s="69"/>
      <c r="CFB95" s="69"/>
      <c r="CFC95" s="69"/>
      <c r="CFD95" s="69"/>
      <c r="CFE95" s="69"/>
      <c r="CFF95" s="69"/>
      <c r="CFG95" s="69"/>
      <c r="CFH95" s="69"/>
      <c r="CFI95" s="69"/>
      <c r="CFJ95" s="69"/>
      <c r="CFK95" s="69"/>
      <c r="CFL95" s="69"/>
      <c r="CFM95" s="69"/>
      <c r="CFN95" s="69"/>
      <c r="CFO95" s="69"/>
      <c r="CFP95" s="69"/>
      <c r="CFQ95" s="69"/>
      <c r="CFR95" s="69"/>
      <c r="CFS95" s="69"/>
      <c r="CFT95" s="69"/>
      <c r="CFU95" s="69"/>
      <c r="CFV95" s="69"/>
      <c r="CFW95" s="69"/>
      <c r="CFX95" s="69"/>
      <c r="CFY95" s="69"/>
      <c r="CFZ95" s="69"/>
      <c r="CGA95" s="69"/>
      <c r="CGB95" s="69"/>
      <c r="CGC95" s="69"/>
      <c r="CGD95" s="69"/>
      <c r="CGE95" s="69"/>
      <c r="CGF95" s="69"/>
      <c r="CGG95" s="69"/>
      <c r="CGH95" s="69"/>
      <c r="CGI95" s="69"/>
      <c r="CGJ95" s="69"/>
      <c r="CGK95" s="69"/>
      <c r="CGL95" s="69"/>
      <c r="CGM95" s="69"/>
      <c r="CGN95" s="69"/>
      <c r="CGO95" s="85"/>
      <c r="CGP95" s="70"/>
      <c r="CGQ95" s="69"/>
      <c r="CGR95" s="69"/>
      <c r="CGS95" s="69"/>
      <c r="CGT95" s="69"/>
      <c r="CGU95" s="69"/>
      <c r="CGV95" s="69"/>
      <c r="CGW95" s="69"/>
      <c r="CGX95" s="69"/>
      <c r="CGY95" s="69"/>
      <c r="CGZ95" s="69"/>
      <c r="CHA95" s="69"/>
      <c r="CHB95" s="69"/>
      <c r="CHC95" s="69"/>
      <c r="CHD95" s="69"/>
      <c r="CHE95" s="69"/>
      <c r="CHF95" s="69"/>
      <c r="CHG95" s="69"/>
      <c r="CHH95" s="69"/>
      <c r="CHI95" s="69"/>
      <c r="CHJ95" s="69"/>
      <c r="CHK95" s="69"/>
      <c r="CHL95" s="69"/>
      <c r="CHM95" s="69"/>
      <c r="CHN95" s="69"/>
      <c r="CHO95" s="69"/>
      <c r="CHP95" s="69"/>
      <c r="CHQ95" s="69"/>
      <c r="CHR95" s="69"/>
      <c r="CHS95" s="69"/>
      <c r="CHT95" s="69"/>
      <c r="CHU95" s="69"/>
      <c r="CHV95" s="69"/>
      <c r="CHW95" s="69"/>
      <c r="CHX95" s="69"/>
      <c r="CHY95" s="69"/>
      <c r="CHZ95" s="69"/>
      <c r="CIA95" s="69"/>
      <c r="CIB95" s="69"/>
      <c r="CIC95" s="69"/>
      <c r="CID95" s="69"/>
      <c r="CIE95" s="69"/>
      <c r="CIF95" s="69"/>
      <c r="CIG95" s="69"/>
      <c r="CIH95" s="69"/>
      <c r="CII95" s="69"/>
      <c r="CIJ95" s="69"/>
      <c r="CIK95" s="69"/>
      <c r="CIL95" s="69"/>
      <c r="CIM95" s="69"/>
      <c r="CIN95" s="69"/>
      <c r="CIO95" s="69"/>
      <c r="CIP95" s="69"/>
      <c r="CIQ95" s="69"/>
      <c r="CIR95" s="69"/>
      <c r="CIS95" s="69"/>
      <c r="CIT95" s="69"/>
      <c r="CIU95" s="69"/>
      <c r="CIV95" s="69"/>
      <c r="CIW95" s="85"/>
      <c r="CIX95" s="70"/>
      <c r="CIY95" s="69"/>
      <c r="CIZ95" s="69"/>
      <c r="CJA95" s="69"/>
      <c r="CJB95" s="69"/>
      <c r="CJC95" s="69"/>
      <c r="CJD95" s="69"/>
      <c r="CJE95" s="69"/>
      <c r="CJF95" s="69"/>
      <c r="CJG95" s="69"/>
      <c r="CJH95" s="69"/>
      <c r="CJI95" s="69"/>
      <c r="CJJ95" s="69"/>
      <c r="CJK95" s="69"/>
      <c r="CJL95" s="69"/>
      <c r="CJM95" s="69"/>
      <c r="CJN95" s="69"/>
      <c r="CJO95" s="69"/>
      <c r="CJP95" s="69"/>
      <c r="CJQ95" s="69"/>
      <c r="CJR95" s="69"/>
      <c r="CJS95" s="69"/>
      <c r="CJT95" s="69"/>
      <c r="CJU95" s="69"/>
      <c r="CJV95" s="69"/>
      <c r="CJW95" s="69"/>
      <c r="CJX95" s="69"/>
      <c r="CJY95" s="69"/>
      <c r="CJZ95" s="69"/>
      <c r="CKA95" s="69"/>
      <c r="CKB95" s="69"/>
      <c r="CKC95" s="69"/>
      <c r="CKD95" s="69"/>
      <c r="CKE95" s="69"/>
      <c r="CKF95" s="69"/>
      <c r="CKG95" s="69"/>
      <c r="CKH95" s="69"/>
      <c r="CKI95" s="69"/>
      <c r="CKJ95" s="69"/>
      <c r="CKK95" s="69"/>
      <c r="CKL95" s="69"/>
      <c r="CKM95" s="69"/>
      <c r="CKN95" s="69"/>
      <c r="CKO95" s="69"/>
      <c r="CKP95" s="69"/>
      <c r="CKQ95" s="69"/>
      <c r="CKR95" s="69"/>
      <c r="CKS95" s="69"/>
      <c r="CKT95" s="69"/>
      <c r="CKU95" s="69"/>
      <c r="CKV95" s="69"/>
      <c r="CKW95" s="69"/>
      <c r="CKX95" s="69"/>
      <c r="CKY95" s="69"/>
      <c r="CKZ95" s="69"/>
      <c r="CLA95" s="69"/>
      <c r="CLB95" s="69"/>
      <c r="CLC95" s="69"/>
      <c r="CLD95" s="69"/>
      <c r="CLE95" s="85"/>
      <c r="CLF95" s="70"/>
      <c r="CLG95" s="69"/>
      <c r="CLH95" s="69"/>
      <c r="CLI95" s="69"/>
      <c r="CLJ95" s="69"/>
      <c r="CLK95" s="69"/>
      <c r="CLL95" s="69"/>
      <c r="CLM95" s="69"/>
      <c r="CLN95" s="69"/>
      <c r="CLO95" s="69"/>
      <c r="CLP95" s="69"/>
      <c r="CLQ95" s="69"/>
      <c r="CLR95" s="69"/>
      <c r="CLS95" s="69"/>
      <c r="CLT95" s="69"/>
      <c r="CLU95" s="69"/>
      <c r="CLV95" s="69"/>
      <c r="CLW95" s="69"/>
      <c r="CLX95" s="69"/>
      <c r="CLY95" s="69"/>
      <c r="CLZ95" s="69"/>
      <c r="CMA95" s="69"/>
      <c r="CMB95" s="69"/>
      <c r="CMC95" s="69"/>
      <c r="CMD95" s="69"/>
      <c r="CME95" s="69"/>
      <c r="CMF95" s="69"/>
      <c r="CMG95" s="69"/>
      <c r="CMH95" s="69"/>
      <c r="CMI95" s="69"/>
      <c r="CMJ95" s="69"/>
      <c r="CMK95" s="69"/>
      <c r="CML95" s="69"/>
      <c r="CMM95" s="69"/>
      <c r="CMN95" s="69"/>
      <c r="CMO95" s="69"/>
      <c r="CMP95" s="69"/>
      <c r="CMQ95" s="69"/>
      <c r="CMR95" s="69"/>
      <c r="CMS95" s="69"/>
      <c r="CMT95" s="69"/>
      <c r="CMU95" s="69"/>
      <c r="CMV95" s="69"/>
      <c r="CMW95" s="69"/>
      <c r="CMX95" s="69"/>
      <c r="CMY95" s="69"/>
      <c r="CMZ95" s="69"/>
      <c r="CNA95" s="69"/>
      <c r="CNB95" s="69"/>
      <c r="CNC95" s="69"/>
      <c r="CND95" s="69"/>
      <c r="CNE95" s="69"/>
      <c r="CNF95" s="69"/>
      <c r="CNG95" s="69"/>
      <c r="CNH95" s="69"/>
      <c r="CNI95" s="69"/>
      <c r="CNJ95" s="69"/>
      <c r="CNK95" s="69"/>
      <c r="CNL95" s="69"/>
      <c r="CNM95" s="85"/>
      <c r="CNN95" s="70"/>
      <c r="CNO95" s="69"/>
      <c r="CNP95" s="69"/>
      <c r="CNQ95" s="69"/>
      <c r="CNR95" s="69"/>
      <c r="CNS95" s="69"/>
      <c r="CNT95" s="69"/>
      <c r="CNU95" s="69"/>
      <c r="CNV95" s="69"/>
      <c r="CNW95" s="69"/>
      <c r="CNX95" s="69"/>
      <c r="CNY95" s="69"/>
      <c r="CNZ95" s="69"/>
      <c r="COA95" s="69"/>
      <c r="COB95" s="69"/>
      <c r="COC95" s="69"/>
      <c r="COD95" s="69"/>
      <c r="COE95" s="69"/>
      <c r="COF95" s="69"/>
      <c r="COG95" s="69"/>
      <c r="COH95" s="69"/>
      <c r="COI95" s="69"/>
      <c r="COJ95" s="69"/>
      <c r="COK95" s="69"/>
      <c r="COL95" s="69"/>
      <c r="COM95" s="69"/>
      <c r="CON95" s="69"/>
      <c r="COO95" s="69"/>
      <c r="COP95" s="69"/>
      <c r="COQ95" s="69"/>
      <c r="COR95" s="69"/>
      <c r="COS95" s="69"/>
      <c r="COT95" s="69"/>
      <c r="COU95" s="69"/>
      <c r="COV95" s="69"/>
      <c r="COW95" s="69"/>
      <c r="COX95" s="69"/>
      <c r="COY95" s="69"/>
      <c r="COZ95" s="69"/>
      <c r="CPA95" s="69"/>
      <c r="CPB95" s="69"/>
      <c r="CPC95" s="69"/>
      <c r="CPD95" s="69"/>
      <c r="CPE95" s="69"/>
      <c r="CPF95" s="69"/>
      <c r="CPG95" s="69"/>
      <c r="CPH95" s="69"/>
      <c r="CPI95" s="69"/>
      <c r="CPJ95" s="69"/>
      <c r="CPK95" s="69"/>
      <c r="CPL95" s="69"/>
      <c r="CPM95" s="69"/>
      <c r="CPN95" s="69"/>
      <c r="CPO95" s="69"/>
      <c r="CPP95" s="69"/>
      <c r="CPQ95" s="69"/>
      <c r="CPR95" s="69"/>
      <c r="CPS95" s="69"/>
      <c r="CPT95" s="69"/>
      <c r="CPU95" s="85"/>
      <c r="CPV95" s="70"/>
      <c r="CPW95" s="69"/>
      <c r="CPX95" s="69"/>
      <c r="CPY95" s="69"/>
      <c r="CPZ95" s="69"/>
      <c r="CQA95" s="69"/>
      <c r="CQB95" s="69"/>
      <c r="CQC95" s="69"/>
      <c r="CQD95" s="69"/>
      <c r="CQE95" s="69"/>
      <c r="CQF95" s="69"/>
      <c r="CQG95" s="69"/>
      <c r="CQH95" s="69"/>
      <c r="CQI95" s="69"/>
      <c r="CQJ95" s="69"/>
      <c r="CQK95" s="69"/>
      <c r="CQL95" s="69"/>
      <c r="CQM95" s="69"/>
      <c r="CQN95" s="69"/>
      <c r="CQO95" s="69"/>
      <c r="CQP95" s="69"/>
      <c r="CQQ95" s="69"/>
      <c r="CQR95" s="69"/>
      <c r="CQS95" s="69"/>
      <c r="CQT95" s="69"/>
      <c r="CQU95" s="69"/>
      <c r="CQV95" s="69"/>
      <c r="CQW95" s="69"/>
      <c r="CQX95" s="69"/>
      <c r="CQY95" s="69"/>
      <c r="CQZ95" s="69"/>
      <c r="CRA95" s="69"/>
      <c r="CRB95" s="69"/>
      <c r="CRC95" s="69"/>
      <c r="CRD95" s="69"/>
      <c r="CRE95" s="69"/>
      <c r="CRF95" s="69"/>
      <c r="CRG95" s="69"/>
      <c r="CRH95" s="69"/>
      <c r="CRI95" s="69"/>
      <c r="CRJ95" s="69"/>
      <c r="CRK95" s="69"/>
      <c r="CRL95" s="69"/>
      <c r="CRM95" s="69"/>
      <c r="CRN95" s="69"/>
      <c r="CRO95" s="69"/>
      <c r="CRP95" s="69"/>
      <c r="CRQ95" s="69"/>
      <c r="CRR95" s="69"/>
      <c r="CRS95" s="69"/>
      <c r="CRT95" s="69"/>
      <c r="CRU95" s="69"/>
      <c r="CRV95" s="69"/>
      <c r="CRW95" s="69"/>
      <c r="CRX95" s="69"/>
      <c r="CRY95" s="69"/>
      <c r="CRZ95" s="69"/>
      <c r="CSA95" s="69"/>
      <c r="CSB95" s="69"/>
      <c r="CSC95" s="85"/>
      <c r="CSD95" s="90"/>
    </row>
    <row r="96" spans="1:2526" ht="20.100000000000001" customHeight="1" thickBot="1" x14ac:dyDescent="0.3">
      <c r="B96" s="96"/>
      <c r="C96" s="226"/>
      <c r="D96" s="227"/>
      <c r="E96" s="123" t="str">
        <f xml:space="preserve"> setValueToTime(E95)</f>
        <v>129h45min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112"/>
      <c r="BLW96" s="113"/>
      <c r="BLX96" s="113"/>
      <c r="BLY96" s="113"/>
      <c r="BLZ96" s="113"/>
      <c r="BMA96" s="113"/>
      <c r="BMB96" s="113"/>
      <c r="BMC96" s="113"/>
      <c r="BMD96" s="113"/>
      <c r="BME96" s="113"/>
      <c r="BMF96" s="113"/>
      <c r="BMG96" s="113"/>
      <c r="BMH96" s="113"/>
      <c r="BMI96" s="113"/>
      <c r="BMJ96" s="113"/>
      <c r="BMK96" s="113"/>
      <c r="BML96" s="113"/>
      <c r="BMM96" s="113"/>
      <c r="BMN96" s="113"/>
      <c r="BMO96" s="113"/>
      <c r="BMP96" s="113"/>
      <c r="BMQ96" s="113"/>
      <c r="BMR96" s="113"/>
      <c r="BMS96" s="113"/>
      <c r="BMT96" s="113"/>
      <c r="BMU96" s="113"/>
      <c r="BMV96" s="113"/>
      <c r="BMW96" s="113"/>
      <c r="BMX96" s="113"/>
      <c r="BMY96" s="113"/>
      <c r="BMZ96" s="113"/>
      <c r="BNA96" s="113"/>
      <c r="BNB96" s="113"/>
      <c r="BNC96" s="113"/>
      <c r="BND96" s="113"/>
      <c r="BNE96" s="113"/>
      <c r="BNF96" s="113"/>
      <c r="BNG96" s="113"/>
      <c r="BNH96" s="113"/>
      <c r="BNI96" s="113"/>
      <c r="BNJ96" s="113"/>
      <c r="BNK96" s="113"/>
      <c r="BNL96" s="113"/>
      <c r="BNM96" s="113"/>
      <c r="BNN96" s="113"/>
      <c r="BNO96" s="113"/>
      <c r="BNP96" s="113"/>
      <c r="BNQ96" s="113"/>
      <c r="BNR96" s="113"/>
      <c r="BNS96" s="113"/>
      <c r="BNT96" s="113"/>
      <c r="BNU96" s="113"/>
      <c r="BNV96" s="113"/>
      <c r="BNW96" s="113"/>
      <c r="BNX96" s="113"/>
      <c r="BNY96" s="113"/>
      <c r="BNZ96" s="113"/>
      <c r="BOA96" s="113"/>
      <c r="BOB96" s="113"/>
      <c r="BOC96" s="114"/>
      <c r="BOD96" s="112"/>
      <c r="BOE96" s="113"/>
      <c r="BOF96" s="113"/>
      <c r="BOG96" s="113"/>
      <c r="BOH96" s="113"/>
      <c r="BOI96" s="113"/>
      <c r="BOJ96" s="113"/>
      <c r="BOK96" s="113"/>
      <c r="BOL96" s="113"/>
      <c r="BOM96" s="113"/>
      <c r="BON96" s="113"/>
      <c r="BOO96" s="113"/>
      <c r="BOP96" s="113"/>
      <c r="BOQ96" s="113"/>
      <c r="BOR96" s="113"/>
      <c r="BOS96" s="113"/>
      <c r="BOT96" s="113"/>
      <c r="BOU96" s="113"/>
      <c r="BOV96" s="113"/>
      <c r="BOW96" s="113"/>
      <c r="BOX96" s="113"/>
      <c r="BOY96" s="113"/>
      <c r="BOZ96" s="113"/>
      <c r="BPA96" s="113"/>
      <c r="BPB96" s="113"/>
      <c r="BPC96" s="113"/>
      <c r="BPD96" s="113"/>
      <c r="BPE96" s="113"/>
      <c r="BPF96" s="113"/>
      <c r="BPG96" s="113"/>
      <c r="BPH96" s="113"/>
      <c r="BPI96" s="113"/>
      <c r="BPJ96" s="113"/>
      <c r="BPK96" s="113"/>
      <c r="BPL96" s="113"/>
      <c r="BPM96" s="113"/>
      <c r="BPN96" s="113"/>
      <c r="BPO96" s="113"/>
      <c r="BPP96" s="113"/>
      <c r="BPQ96" s="113"/>
      <c r="BPR96" s="113"/>
      <c r="BPS96" s="113"/>
      <c r="BPT96" s="113"/>
      <c r="BPU96" s="113"/>
      <c r="BPV96" s="113"/>
      <c r="BPW96" s="113"/>
      <c r="BPX96" s="113"/>
      <c r="BPY96" s="113"/>
      <c r="BPZ96" s="113"/>
      <c r="BQA96" s="113"/>
      <c r="BQB96" s="113"/>
      <c r="BQC96" s="113"/>
      <c r="BQD96" s="113"/>
      <c r="BQE96" s="113"/>
      <c r="BQF96" s="113"/>
      <c r="BQG96" s="113"/>
      <c r="BQH96" s="113"/>
      <c r="BQI96" s="113"/>
      <c r="BQJ96" s="113"/>
      <c r="BQK96" s="114"/>
      <c r="BQL96" s="112"/>
      <c r="BQM96" s="113"/>
      <c r="BQN96" s="113"/>
      <c r="BQO96" s="113"/>
      <c r="BQP96" s="113"/>
      <c r="BQQ96" s="113"/>
      <c r="BQR96" s="113"/>
      <c r="BQS96" s="113"/>
      <c r="BQT96" s="113"/>
      <c r="BQU96" s="113"/>
      <c r="BQV96" s="113"/>
      <c r="BQW96" s="113"/>
      <c r="BQX96" s="113"/>
      <c r="BQY96" s="113"/>
      <c r="BQZ96" s="113"/>
      <c r="BRA96" s="113"/>
      <c r="BRB96" s="113"/>
      <c r="BRC96" s="113"/>
      <c r="BRD96" s="113"/>
      <c r="BRE96" s="113"/>
      <c r="BRF96" s="113"/>
      <c r="BRG96" s="113"/>
      <c r="BRH96" s="113"/>
      <c r="BRI96" s="113"/>
      <c r="BRJ96" s="113"/>
      <c r="BRK96" s="113"/>
      <c r="BRL96" s="113"/>
      <c r="BRM96" s="113"/>
      <c r="BRN96" s="113"/>
      <c r="BRO96" s="113"/>
      <c r="BRP96" s="113"/>
      <c r="BRQ96" s="113"/>
      <c r="BRR96" s="113"/>
      <c r="BRS96" s="113"/>
      <c r="BRT96" s="113"/>
      <c r="BRU96" s="113"/>
      <c r="BRV96" s="113"/>
      <c r="BRW96" s="113"/>
      <c r="BRX96" s="113"/>
      <c r="BRY96" s="113"/>
      <c r="BRZ96" s="113"/>
      <c r="BSA96" s="113"/>
      <c r="BSB96" s="113"/>
      <c r="BSC96" s="113"/>
      <c r="BSD96" s="113"/>
      <c r="BSE96" s="113"/>
      <c r="BSF96" s="113"/>
      <c r="BSG96" s="113"/>
      <c r="BSH96" s="113"/>
      <c r="BSI96" s="113"/>
      <c r="BSJ96" s="113"/>
      <c r="BSK96" s="113"/>
      <c r="BSL96" s="113"/>
      <c r="BSM96" s="113"/>
      <c r="BSN96" s="113"/>
      <c r="BSO96" s="113"/>
      <c r="BSP96" s="113"/>
      <c r="BSQ96" s="113"/>
      <c r="BSR96" s="113"/>
      <c r="BSS96" s="114"/>
      <c r="BST96" s="112"/>
      <c r="BSU96" s="113"/>
      <c r="BSV96" s="113"/>
      <c r="BSW96" s="113"/>
      <c r="BSX96" s="113"/>
      <c r="BSY96" s="113"/>
      <c r="BSZ96" s="113"/>
      <c r="BTA96" s="113"/>
      <c r="BTB96" s="113"/>
      <c r="BTC96" s="113"/>
      <c r="BTD96" s="113"/>
      <c r="BTE96" s="113"/>
      <c r="BTF96" s="113"/>
      <c r="BTG96" s="113"/>
      <c r="BTH96" s="113"/>
      <c r="BTI96" s="113"/>
      <c r="BTJ96" s="113"/>
      <c r="BTK96" s="113"/>
      <c r="BTL96" s="113"/>
      <c r="BTM96" s="113"/>
      <c r="BTN96" s="113"/>
      <c r="BTO96" s="113"/>
      <c r="BTP96" s="113"/>
      <c r="BTQ96" s="113"/>
      <c r="BTR96" s="113"/>
      <c r="BTS96" s="113"/>
      <c r="BTT96" s="113"/>
      <c r="BTU96" s="113"/>
      <c r="BTV96" s="113"/>
      <c r="BTW96" s="113"/>
      <c r="BTX96" s="113"/>
      <c r="BTY96" s="113"/>
      <c r="BTZ96" s="113"/>
      <c r="BUA96" s="113"/>
      <c r="BUB96" s="113"/>
      <c r="BUC96" s="113"/>
      <c r="BUD96" s="113"/>
      <c r="BUE96" s="113"/>
      <c r="BUF96" s="113"/>
      <c r="BUG96" s="113"/>
      <c r="BUH96" s="113"/>
      <c r="BUI96" s="113"/>
      <c r="BUJ96" s="113"/>
      <c r="BUK96" s="113"/>
      <c r="BUL96" s="113"/>
      <c r="BUM96" s="113"/>
      <c r="BUN96" s="113"/>
      <c r="BUO96" s="113"/>
      <c r="BUP96" s="113"/>
      <c r="BUQ96" s="113"/>
      <c r="BUR96" s="113"/>
      <c r="BUS96" s="113"/>
      <c r="BUT96" s="113"/>
      <c r="BUU96" s="113"/>
      <c r="BUV96" s="113"/>
      <c r="BUW96" s="113"/>
      <c r="BUX96" s="113"/>
      <c r="BUY96" s="113"/>
      <c r="BUZ96" s="113"/>
      <c r="BVA96" s="114"/>
      <c r="BVB96" s="112"/>
      <c r="BVC96" s="113"/>
      <c r="BVD96" s="113"/>
      <c r="BVE96" s="113"/>
      <c r="BVF96" s="113"/>
      <c r="BVG96" s="113"/>
      <c r="BVH96" s="113"/>
      <c r="BVI96" s="113"/>
      <c r="BVJ96" s="113"/>
      <c r="BVK96" s="113"/>
      <c r="BVL96" s="113"/>
      <c r="BVM96" s="113"/>
      <c r="BVN96" s="113"/>
      <c r="BVO96" s="113"/>
      <c r="BVP96" s="113"/>
      <c r="BVQ96" s="113"/>
      <c r="BVR96" s="113"/>
      <c r="BVS96" s="113"/>
      <c r="BVT96" s="113"/>
      <c r="BVU96" s="113"/>
      <c r="BVV96" s="113"/>
      <c r="BVW96" s="113"/>
      <c r="BVX96" s="113"/>
      <c r="BVY96" s="113"/>
      <c r="BVZ96" s="113"/>
      <c r="BWA96" s="113"/>
      <c r="BWB96" s="113"/>
      <c r="BWC96" s="113"/>
      <c r="BWD96" s="113"/>
      <c r="BWE96" s="113"/>
      <c r="BWF96" s="113"/>
      <c r="BWG96" s="113"/>
      <c r="BWH96" s="113"/>
      <c r="BWI96" s="113"/>
      <c r="BWJ96" s="113"/>
      <c r="BWK96" s="113"/>
      <c r="BWL96" s="113"/>
      <c r="BWM96" s="113"/>
      <c r="BWN96" s="113"/>
      <c r="BWO96" s="113"/>
      <c r="BWP96" s="113"/>
      <c r="BWQ96" s="113"/>
      <c r="BWR96" s="113"/>
      <c r="BWS96" s="113"/>
      <c r="BWT96" s="113"/>
      <c r="BWU96" s="113"/>
      <c r="BWV96" s="113"/>
      <c r="BWW96" s="113"/>
      <c r="BWX96" s="113"/>
      <c r="BWY96" s="113"/>
      <c r="BWZ96" s="113"/>
      <c r="BXA96" s="113"/>
      <c r="BXB96" s="113"/>
      <c r="BXC96" s="113"/>
      <c r="BXD96" s="113"/>
      <c r="BXE96" s="113"/>
      <c r="BXF96" s="113"/>
      <c r="BXG96" s="113"/>
      <c r="BXH96" s="113"/>
      <c r="BXI96" s="114"/>
      <c r="BXJ96" s="112"/>
      <c r="BXK96" s="113"/>
      <c r="BXL96" s="113"/>
      <c r="BXM96" s="113"/>
      <c r="BXN96" s="113"/>
      <c r="BXO96" s="113"/>
      <c r="BXP96" s="113"/>
      <c r="BXQ96" s="113"/>
      <c r="BXR96" s="113"/>
      <c r="BXS96" s="113"/>
      <c r="BXT96" s="113"/>
      <c r="BXU96" s="113"/>
      <c r="BXV96" s="113"/>
      <c r="BXW96" s="113"/>
      <c r="BXX96" s="113"/>
      <c r="BXY96" s="113"/>
      <c r="BXZ96" s="113"/>
      <c r="BYA96" s="113"/>
      <c r="BYB96" s="113"/>
      <c r="BYC96" s="113"/>
      <c r="BYD96" s="113"/>
      <c r="BYE96" s="113"/>
      <c r="BYF96" s="113"/>
      <c r="BYG96" s="113"/>
      <c r="BYH96" s="113"/>
      <c r="BYI96" s="113"/>
      <c r="BYJ96" s="113"/>
      <c r="BYK96" s="113"/>
      <c r="BYL96" s="113"/>
      <c r="BYM96" s="113"/>
      <c r="BYN96" s="113"/>
      <c r="BYO96" s="113"/>
      <c r="BYP96" s="113"/>
      <c r="BYQ96" s="113"/>
      <c r="BYR96" s="113"/>
      <c r="BYS96" s="113"/>
      <c r="BYT96" s="113"/>
      <c r="BYU96" s="113"/>
      <c r="BYV96" s="113"/>
      <c r="BYW96" s="113"/>
      <c r="BYX96" s="113"/>
      <c r="BYY96" s="113"/>
      <c r="BYZ96" s="113"/>
      <c r="BZA96" s="113"/>
      <c r="BZB96" s="113"/>
      <c r="BZC96" s="113"/>
      <c r="BZD96" s="113"/>
      <c r="BZE96" s="113"/>
      <c r="BZF96" s="113"/>
      <c r="BZG96" s="113"/>
      <c r="BZH96" s="113"/>
      <c r="BZI96" s="113"/>
      <c r="BZJ96" s="113"/>
      <c r="BZK96" s="113"/>
      <c r="BZL96" s="113"/>
      <c r="BZM96" s="113"/>
      <c r="BZN96" s="113"/>
      <c r="BZO96" s="113"/>
      <c r="BZP96" s="113"/>
      <c r="BZQ96" s="114"/>
      <c r="BZR96" s="112"/>
      <c r="BZS96" s="113"/>
      <c r="BZT96" s="113"/>
      <c r="BZU96" s="113"/>
      <c r="BZV96" s="113"/>
      <c r="BZW96" s="113"/>
      <c r="BZX96" s="113"/>
      <c r="BZY96" s="113"/>
      <c r="BZZ96" s="113"/>
      <c r="CAA96" s="113"/>
      <c r="CAB96" s="113"/>
      <c r="CAC96" s="113"/>
      <c r="CAD96" s="113"/>
      <c r="CAE96" s="113"/>
      <c r="CAF96" s="113"/>
      <c r="CAG96" s="113"/>
      <c r="CAH96" s="113"/>
      <c r="CAI96" s="113"/>
      <c r="CAJ96" s="113"/>
      <c r="CAK96" s="113"/>
      <c r="CAL96" s="113"/>
      <c r="CAM96" s="113"/>
      <c r="CAN96" s="113"/>
      <c r="CAO96" s="113"/>
      <c r="CAP96" s="113"/>
      <c r="CAQ96" s="113"/>
      <c r="CAR96" s="113"/>
      <c r="CAS96" s="113"/>
      <c r="CAT96" s="113"/>
      <c r="CAU96" s="113"/>
      <c r="CAV96" s="113"/>
      <c r="CAW96" s="113"/>
      <c r="CAX96" s="113"/>
      <c r="CAY96" s="113"/>
      <c r="CAZ96" s="113"/>
      <c r="CBA96" s="113"/>
      <c r="CBB96" s="113"/>
      <c r="CBC96" s="113"/>
      <c r="CBD96" s="113"/>
      <c r="CBE96" s="113"/>
      <c r="CBF96" s="113"/>
      <c r="CBG96" s="113"/>
      <c r="CBH96" s="113"/>
      <c r="CBI96" s="113"/>
      <c r="CBJ96" s="113"/>
      <c r="CBK96" s="113"/>
      <c r="CBL96" s="113"/>
      <c r="CBM96" s="113"/>
      <c r="CBN96" s="113"/>
      <c r="CBO96" s="113"/>
      <c r="CBP96" s="113"/>
      <c r="CBQ96" s="113"/>
      <c r="CBR96" s="113"/>
      <c r="CBS96" s="113"/>
      <c r="CBT96" s="113"/>
      <c r="CBU96" s="113"/>
      <c r="CBV96" s="113"/>
      <c r="CBW96" s="113"/>
      <c r="CBX96" s="113"/>
      <c r="CBY96" s="114"/>
      <c r="CBZ96" s="112"/>
      <c r="CCA96" s="113"/>
      <c r="CCB96" s="113"/>
      <c r="CCC96" s="113"/>
      <c r="CCD96" s="113"/>
      <c r="CCE96" s="113"/>
      <c r="CCF96" s="113"/>
      <c r="CCG96" s="113"/>
      <c r="CCH96" s="113"/>
      <c r="CCI96" s="113"/>
      <c r="CCJ96" s="113"/>
      <c r="CCK96" s="113"/>
      <c r="CCL96" s="113"/>
      <c r="CCM96" s="113"/>
      <c r="CCN96" s="113"/>
      <c r="CCO96" s="113"/>
      <c r="CCP96" s="113"/>
      <c r="CCQ96" s="113"/>
      <c r="CCR96" s="113"/>
      <c r="CCS96" s="113"/>
      <c r="CCT96" s="113"/>
      <c r="CCU96" s="113"/>
      <c r="CCV96" s="113"/>
      <c r="CCW96" s="113"/>
      <c r="CCX96" s="113"/>
      <c r="CCY96" s="113"/>
      <c r="CCZ96" s="113"/>
      <c r="CDA96" s="113"/>
      <c r="CDB96" s="113"/>
      <c r="CDC96" s="113"/>
      <c r="CDD96" s="113"/>
      <c r="CDE96" s="113"/>
      <c r="CDF96" s="113"/>
      <c r="CDG96" s="113"/>
      <c r="CDH96" s="113"/>
      <c r="CDI96" s="113"/>
      <c r="CDJ96" s="113"/>
      <c r="CDK96" s="113"/>
      <c r="CDL96" s="113"/>
      <c r="CDM96" s="113"/>
      <c r="CDN96" s="113"/>
      <c r="CDO96" s="113"/>
      <c r="CDP96" s="113"/>
      <c r="CDQ96" s="113"/>
      <c r="CDR96" s="113"/>
      <c r="CDS96" s="113"/>
      <c r="CDT96" s="113"/>
      <c r="CDU96" s="113"/>
      <c r="CDV96" s="113"/>
      <c r="CDW96" s="113"/>
      <c r="CDX96" s="113"/>
      <c r="CDY96" s="113"/>
      <c r="CDZ96" s="113"/>
      <c r="CEA96" s="113"/>
      <c r="CEB96" s="113"/>
      <c r="CEC96" s="113"/>
      <c r="CED96" s="113"/>
      <c r="CEE96" s="113"/>
      <c r="CEF96" s="113"/>
      <c r="CEG96" s="114"/>
      <c r="CEH96" s="112"/>
      <c r="CEI96" s="113"/>
      <c r="CEJ96" s="113"/>
      <c r="CEK96" s="113"/>
      <c r="CEL96" s="113"/>
      <c r="CEM96" s="113"/>
      <c r="CEN96" s="113"/>
      <c r="CEO96" s="113"/>
      <c r="CEP96" s="113"/>
      <c r="CEQ96" s="113"/>
      <c r="CER96" s="113"/>
      <c r="CES96" s="113"/>
      <c r="CET96" s="113"/>
      <c r="CEU96" s="113"/>
      <c r="CEV96" s="113"/>
      <c r="CEW96" s="113"/>
      <c r="CEX96" s="113"/>
      <c r="CEY96" s="113"/>
      <c r="CEZ96" s="113"/>
      <c r="CFA96" s="113"/>
      <c r="CFB96" s="113"/>
      <c r="CFC96" s="113"/>
      <c r="CFD96" s="113"/>
      <c r="CFE96" s="113"/>
      <c r="CFF96" s="113"/>
      <c r="CFG96" s="113"/>
      <c r="CFH96" s="113"/>
      <c r="CFI96" s="113"/>
      <c r="CFJ96" s="113"/>
      <c r="CFK96" s="113"/>
      <c r="CFL96" s="113"/>
      <c r="CFM96" s="113"/>
      <c r="CFN96" s="113"/>
      <c r="CFO96" s="113"/>
      <c r="CFP96" s="113"/>
      <c r="CFQ96" s="113"/>
      <c r="CFR96" s="113"/>
      <c r="CFS96" s="113"/>
      <c r="CFT96" s="113"/>
      <c r="CFU96" s="113"/>
      <c r="CFV96" s="113"/>
      <c r="CFW96" s="113"/>
      <c r="CFX96" s="113"/>
      <c r="CFY96" s="113"/>
      <c r="CFZ96" s="113"/>
      <c r="CGA96" s="113"/>
      <c r="CGB96" s="113"/>
      <c r="CGC96" s="113"/>
      <c r="CGD96" s="113"/>
      <c r="CGE96" s="113"/>
      <c r="CGF96" s="113"/>
      <c r="CGG96" s="113"/>
      <c r="CGH96" s="113"/>
      <c r="CGI96" s="113"/>
      <c r="CGJ96" s="113"/>
      <c r="CGK96" s="113"/>
      <c r="CGL96" s="113"/>
      <c r="CGM96" s="113"/>
      <c r="CGN96" s="113"/>
      <c r="CGO96" s="114"/>
      <c r="CGP96" s="112"/>
      <c r="CGQ96" s="113"/>
      <c r="CGR96" s="113"/>
      <c r="CGS96" s="113"/>
      <c r="CGT96" s="113"/>
      <c r="CGU96" s="113"/>
      <c r="CGV96" s="113"/>
      <c r="CGW96" s="113"/>
      <c r="CGX96" s="113"/>
      <c r="CGY96" s="113"/>
      <c r="CGZ96" s="113"/>
      <c r="CHA96" s="113"/>
      <c r="CHB96" s="113"/>
      <c r="CHC96" s="113"/>
      <c r="CHD96" s="113"/>
      <c r="CHE96" s="113"/>
      <c r="CHF96" s="113"/>
      <c r="CHG96" s="113"/>
      <c r="CHH96" s="113"/>
      <c r="CHI96" s="113"/>
      <c r="CHJ96" s="113"/>
      <c r="CHK96" s="113"/>
      <c r="CHL96" s="113"/>
      <c r="CHM96" s="113"/>
      <c r="CHN96" s="113"/>
      <c r="CHO96" s="113"/>
      <c r="CHP96" s="113"/>
      <c r="CHQ96" s="113"/>
      <c r="CHR96" s="113"/>
      <c r="CHS96" s="113"/>
      <c r="CHT96" s="113"/>
      <c r="CHU96" s="113"/>
      <c r="CHV96" s="113"/>
      <c r="CHW96" s="113"/>
      <c r="CHX96" s="113"/>
      <c r="CHY96" s="113"/>
      <c r="CHZ96" s="113"/>
      <c r="CIA96" s="113"/>
      <c r="CIB96" s="113"/>
      <c r="CIC96" s="113"/>
      <c r="CID96" s="113"/>
      <c r="CIE96" s="113"/>
      <c r="CIF96" s="113"/>
      <c r="CIG96" s="113"/>
      <c r="CIH96" s="113"/>
      <c r="CII96" s="113"/>
      <c r="CIJ96" s="113"/>
      <c r="CIK96" s="113"/>
      <c r="CIL96" s="113"/>
      <c r="CIM96" s="113"/>
      <c r="CIN96" s="113"/>
      <c r="CIO96" s="113"/>
      <c r="CIP96" s="113"/>
      <c r="CIQ96" s="113"/>
      <c r="CIR96" s="113"/>
      <c r="CIS96" s="113"/>
      <c r="CIT96" s="113"/>
      <c r="CIU96" s="113"/>
      <c r="CIV96" s="113"/>
      <c r="CIW96" s="114"/>
      <c r="CIX96" s="112"/>
      <c r="CIY96" s="113"/>
      <c r="CIZ96" s="113"/>
      <c r="CJA96" s="113"/>
      <c r="CJB96" s="113"/>
      <c r="CJC96" s="113"/>
      <c r="CJD96" s="113"/>
      <c r="CJE96" s="113"/>
      <c r="CJF96" s="113"/>
      <c r="CJG96" s="113"/>
      <c r="CJH96" s="113"/>
      <c r="CJI96" s="113"/>
      <c r="CJJ96" s="113"/>
      <c r="CJK96" s="113"/>
      <c r="CJL96" s="113"/>
      <c r="CJM96" s="113"/>
      <c r="CJN96" s="113"/>
      <c r="CJO96" s="113"/>
      <c r="CJP96" s="113"/>
      <c r="CJQ96" s="113"/>
      <c r="CJR96" s="113"/>
      <c r="CJS96" s="113"/>
      <c r="CJT96" s="113"/>
      <c r="CJU96" s="113"/>
      <c r="CJV96" s="113"/>
      <c r="CJW96" s="113"/>
      <c r="CJX96" s="113"/>
      <c r="CJY96" s="113"/>
      <c r="CJZ96" s="113"/>
      <c r="CKA96" s="113"/>
      <c r="CKB96" s="113"/>
      <c r="CKC96" s="113"/>
      <c r="CKD96" s="113"/>
      <c r="CKE96" s="113"/>
      <c r="CKF96" s="113"/>
      <c r="CKG96" s="113"/>
      <c r="CKH96" s="113"/>
      <c r="CKI96" s="113"/>
      <c r="CKJ96" s="113"/>
      <c r="CKK96" s="113"/>
      <c r="CKL96" s="113"/>
      <c r="CKM96" s="113"/>
      <c r="CKN96" s="113"/>
      <c r="CKO96" s="113"/>
      <c r="CKP96" s="113"/>
      <c r="CKQ96" s="113"/>
      <c r="CKR96" s="113"/>
      <c r="CKS96" s="113"/>
      <c r="CKT96" s="113"/>
      <c r="CKU96" s="113"/>
      <c r="CKV96" s="113"/>
      <c r="CKW96" s="113"/>
      <c r="CKX96" s="113"/>
      <c r="CKY96" s="113"/>
      <c r="CKZ96" s="113"/>
      <c r="CLA96" s="113"/>
      <c r="CLB96" s="113"/>
      <c r="CLC96" s="113"/>
      <c r="CLD96" s="113"/>
      <c r="CLE96" s="114"/>
      <c r="CLF96" s="112"/>
      <c r="CLG96" s="113"/>
      <c r="CLH96" s="113"/>
      <c r="CLI96" s="113"/>
      <c r="CLJ96" s="113"/>
      <c r="CLK96" s="113"/>
      <c r="CLL96" s="113"/>
      <c r="CLM96" s="113"/>
      <c r="CLN96" s="113"/>
      <c r="CLO96" s="113"/>
      <c r="CLP96" s="113"/>
      <c r="CLQ96" s="113"/>
      <c r="CLR96" s="113"/>
      <c r="CLS96" s="113"/>
      <c r="CLT96" s="113"/>
      <c r="CLU96" s="113"/>
      <c r="CLV96" s="113"/>
      <c r="CLW96" s="113"/>
      <c r="CLX96" s="113"/>
      <c r="CLY96" s="113"/>
      <c r="CLZ96" s="113"/>
      <c r="CMA96" s="113"/>
      <c r="CMB96" s="113"/>
      <c r="CMC96" s="113"/>
      <c r="CMD96" s="113"/>
      <c r="CME96" s="113"/>
      <c r="CMF96" s="113"/>
      <c r="CMG96" s="113"/>
      <c r="CMH96" s="113"/>
      <c r="CMI96" s="113"/>
      <c r="CMJ96" s="113"/>
      <c r="CMK96" s="113"/>
      <c r="CML96" s="113"/>
      <c r="CMM96" s="113"/>
      <c r="CMN96" s="113"/>
      <c r="CMO96" s="113"/>
      <c r="CMP96" s="113"/>
      <c r="CMQ96" s="113"/>
      <c r="CMR96" s="113"/>
      <c r="CMS96" s="113"/>
      <c r="CMT96" s="113"/>
      <c r="CMU96" s="113"/>
      <c r="CMV96" s="113"/>
      <c r="CMW96" s="113"/>
      <c r="CMX96" s="113"/>
      <c r="CMY96" s="113"/>
      <c r="CMZ96" s="113"/>
      <c r="CNA96" s="113"/>
      <c r="CNB96" s="113"/>
      <c r="CNC96" s="113"/>
      <c r="CND96" s="113"/>
      <c r="CNE96" s="113"/>
      <c r="CNF96" s="113"/>
      <c r="CNG96" s="113"/>
      <c r="CNH96" s="113"/>
      <c r="CNI96" s="113"/>
      <c r="CNJ96" s="113"/>
      <c r="CNK96" s="113"/>
      <c r="CNL96" s="113"/>
      <c r="CNM96" s="114"/>
      <c r="CNN96" s="112"/>
      <c r="CNO96" s="113"/>
      <c r="CNP96" s="113"/>
      <c r="CNQ96" s="113"/>
      <c r="CNR96" s="113"/>
      <c r="CNS96" s="113"/>
      <c r="CNT96" s="113"/>
      <c r="CNU96" s="113"/>
      <c r="CNV96" s="113"/>
      <c r="CNW96" s="113"/>
      <c r="CNX96" s="113"/>
      <c r="CNY96" s="113"/>
      <c r="CNZ96" s="113"/>
      <c r="COA96" s="113"/>
      <c r="COB96" s="113"/>
      <c r="COC96" s="113"/>
      <c r="COD96" s="113"/>
      <c r="COE96" s="113"/>
      <c r="COF96" s="113"/>
      <c r="COG96" s="113"/>
      <c r="COH96" s="113"/>
      <c r="COI96" s="113"/>
      <c r="COJ96" s="113"/>
      <c r="COK96" s="113"/>
      <c r="COL96" s="113"/>
      <c r="COM96" s="113"/>
      <c r="CON96" s="113"/>
      <c r="COO96" s="113"/>
      <c r="COP96" s="113"/>
      <c r="COQ96" s="113"/>
      <c r="COR96" s="113"/>
      <c r="COS96" s="113"/>
      <c r="COT96" s="113"/>
      <c r="COU96" s="113"/>
      <c r="COV96" s="113"/>
      <c r="COW96" s="113"/>
      <c r="COX96" s="113"/>
      <c r="COY96" s="113"/>
      <c r="COZ96" s="113"/>
      <c r="CPA96" s="113"/>
      <c r="CPB96" s="113"/>
      <c r="CPC96" s="113"/>
      <c r="CPD96" s="113"/>
      <c r="CPE96" s="113"/>
      <c r="CPF96" s="113"/>
      <c r="CPG96" s="113"/>
      <c r="CPH96" s="113"/>
      <c r="CPI96" s="113"/>
      <c r="CPJ96" s="113"/>
      <c r="CPK96" s="113"/>
      <c r="CPL96" s="113"/>
      <c r="CPM96" s="113"/>
      <c r="CPN96" s="113"/>
      <c r="CPO96" s="113"/>
      <c r="CPP96" s="113"/>
      <c r="CPQ96" s="113"/>
      <c r="CPR96" s="113"/>
      <c r="CPS96" s="113"/>
      <c r="CPT96" s="113"/>
      <c r="CPU96" s="114"/>
      <c r="CPV96" s="112"/>
      <c r="CPW96" s="113"/>
      <c r="CPX96" s="113"/>
      <c r="CPY96" s="113"/>
      <c r="CPZ96" s="113"/>
      <c r="CQA96" s="113"/>
      <c r="CQB96" s="113"/>
      <c r="CQC96" s="113"/>
      <c r="CQD96" s="113"/>
      <c r="CQE96" s="113"/>
      <c r="CQF96" s="113"/>
      <c r="CQG96" s="113"/>
      <c r="CQH96" s="113"/>
      <c r="CQI96" s="113"/>
      <c r="CQJ96" s="113"/>
      <c r="CQK96" s="113"/>
      <c r="CQL96" s="113"/>
      <c r="CQM96" s="113"/>
      <c r="CQN96" s="113"/>
      <c r="CQO96" s="113"/>
      <c r="CQP96" s="113"/>
      <c r="CQQ96" s="113"/>
      <c r="CQR96" s="113"/>
      <c r="CQS96" s="113"/>
      <c r="CQT96" s="113"/>
      <c r="CQU96" s="113"/>
      <c r="CQV96" s="113"/>
      <c r="CQW96" s="113"/>
      <c r="CQX96" s="113"/>
      <c r="CQY96" s="113"/>
      <c r="CQZ96" s="113"/>
      <c r="CRA96" s="113"/>
      <c r="CRB96" s="113"/>
      <c r="CRC96" s="113"/>
      <c r="CRD96" s="113"/>
      <c r="CRE96" s="113"/>
      <c r="CRF96" s="113"/>
      <c r="CRG96" s="113"/>
      <c r="CRH96" s="113"/>
      <c r="CRI96" s="113"/>
      <c r="CRJ96" s="113"/>
      <c r="CRK96" s="113"/>
      <c r="CRL96" s="113"/>
      <c r="CRM96" s="113"/>
      <c r="CRN96" s="113"/>
      <c r="CRO96" s="113"/>
      <c r="CRP96" s="113"/>
      <c r="CRQ96" s="113"/>
      <c r="CRR96" s="113"/>
      <c r="CRS96" s="113"/>
      <c r="CRT96" s="113"/>
      <c r="CRU96" s="113"/>
      <c r="CRV96" s="113"/>
      <c r="CRW96" s="113"/>
      <c r="CRX96" s="113"/>
      <c r="CRY96" s="113"/>
      <c r="CRZ96" s="113"/>
      <c r="CSA96" s="113"/>
      <c r="CSB96" s="113"/>
      <c r="CSC96" s="114"/>
      <c r="CSD96" s="90"/>
    </row>
    <row r="97" spans="2:2526" ht="20.100000000000001" customHeight="1" x14ac:dyDescent="0.25">
      <c r="B97" s="96"/>
      <c r="C97" s="228" t="s">
        <v>10</v>
      </c>
      <c r="D97" s="229"/>
      <c r="E97" s="118">
        <f>SUM(E16,E18,E20,E22,E24,E26,E28,E30,E32,E34,E36,E38,E40,E42,E44,E46,E48,E50,E52,E54,E56,E58,E60,E62,E64,E66,E68,E70,E72,E74,E76,E78,E80,E82,E84,E86,E88,E90,E92,E94)</f>
        <v>423</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15"/>
      <c r="BLW97" s="115"/>
      <c r="BLX97" s="115"/>
      <c r="BLY97" s="115"/>
      <c r="BLZ97" s="115"/>
      <c r="BMA97" s="115"/>
      <c r="BMB97" s="115"/>
      <c r="BMC97" s="115"/>
      <c r="BMD97" s="115"/>
      <c r="BME97" s="115"/>
      <c r="BMF97" s="115"/>
      <c r="BMG97" s="115"/>
      <c r="BMH97" s="115"/>
      <c r="BMI97" s="115"/>
      <c r="BMJ97" s="115"/>
      <c r="BMK97" s="115"/>
      <c r="BML97" s="115"/>
      <c r="BMM97" s="115"/>
      <c r="BMN97" s="115"/>
      <c r="BMO97" s="115"/>
      <c r="BMP97" s="115"/>
      <c r="BMQ97" s="115"/>
      <c r="BMR97" s="115"/>
      <c r="BMS97" s="115"/>
      <c r="BMT97" s="115"/>
      <c r="BMU97" s="115"/>
      <c r="BMV97" s="115"/>
      <c r="BMW97" s="115"/>
      <c r="BMX97" s="115"/>
      <c r="BMY97" s="115"/>
      <c r="BMZ97" s="115"/>
      <c r="BNA97" s="115"/>
      <c r="BNB97" s="115"/>
      <c r="BNC97" s="115"/>
      <c r="BND97" s="115"/>
      <c r="BNE97" s="115"/>
      <c r="BNF97" s="115"/>
      <c r="BNG97" s="115"/>
      <c r="BNH97" s="115"/>
      <c r="BNI97" s="115"/>
      <c r="BNJ97" s="115"/>
      <c r="BNK97" s="115"/>
      <c r="BNL97" s="115"/>
      <c r="BNM97" s="115"/>
      <c r="BNN97" s="115"/>
      <c r="BNO97" s="115"/>
      <c r="BNP97" s="115"/>
      <c r="BNQ97" s="115"/>
      <c r="BNR97" s="115"/>
      <c r="BNS97" s="115"/>
      <c r="BNT97" s="115"/>
      <c r="BNU97" s="115"/>
      <c r="BNV97" s="115"/>
      <c r="BNW97" s="115"/>
      <c r="BNX97" s="115"/>
      <c r="BNY97" s="115"/>
      <c r="BNZ97" s="115"/>
      <c r="BOA97" s="115"/>
      <c r="BOB97" s="115"/>
      <c r="BOC97" s="116"/>
      <c r="BOD97" s="115"/>
      <c r="BOE97" s="115"/>
      <c r="BOF97" s="115"/>
      <c r="BOG97" s="115"/>
      <c r="BOH97" s="115"/>
      <c r="BOI97" s="115"/>
      <c r="BOJ97" s="115"/>
      <c r="BOK97" s="115"/>
      <c r="BOL97" s="115"/>
      <c r="BOM97" s="115"/>
      <c r="BON97" s="115"/>
      <c r="BOO97" s="115"/>
      <c r="BOP97" s="115"/>
      <c r="BOQ97" s="115"/>
      <c r="BOR97" s="115"/>
      <c r="BOS97" s="115"/>
      <c r="BOT97" s="115"/>
      <c r="BOU97" s="115"/>
      <c r="BOV97" s="115"/>
      <c r="BOW97" s="115"/>
      <c r="BOX97" s="115"/>
      <c r="BOY97" s="115"/>
      <c r="BOZ97" s="115"/>
      <c r="BPA97" s="115"/>
      <c r="BPB97" s="115"/>
      <c r="BPC97" s="115"/>
      <c r="BPD97" s="115"/>
      <c r="BPE97" s="115"/>
      <c r="BPF97" s="115"/>
      <c r="BPG97" s="115"/>
      <c r="BPH97" s="115"/>
      <c r="BPI97" s="115"/>
      <c r="BPJ97" s="115"/>
      <c r="BPK97" s="115"/>
      <c r="BPL97" s="115"/>
      <c r="BPM97" s="115"/>
      <c r="BPN97" s="115"/>
      <c r="BPO97" s="115"/>
      <c r="BPP97" s="115"/>
      <c r="BPQ97" s="115"/>
      <c r="BPR97" s="115"/>
      <c r="BPS97" s="115"/>
      <c r="BPT97" s="115"/>
      <c r="BPU97" s="115"/>
      <c r="BPV97" s="115"/>
      <c r="BPW97" s="115"/>
      <c r="BPX97" s="115"/>
      <c r="BPY97" s="115"/>
      <c r="BPZ97" s="115"/>
      <c r="BQA97" s="115"/>
      <c r="BQB97" s="115"/>
      <c r="BQC97" s="115"/>
      <c r="BQD97" s="115"/>
      <c r="BQE97" s="115"/>
      <c r="BQF97" s="115"/>
      <c r="BQG97" s="115"/>
      <c r="BQH97" s="115"/>
      <c r="BQI97" s="115"/>
      <c r="BQJ97" s="115"/>
      <c r="BQK97" s="116"/>
      <c r="BQL97" s="115"/>
      <c r="BQM97" s="115"/>
      <c r="BQN97" s="115"/>
      <c r="BQO97" s="115"/>
      <c r="BQP97" s="115"/>
      <c r="BQQ97" s="115"/>
      <c r="BQR97" s="115"/>
      <c r="BQS97" s="115"/>
      <c r="BQT97" s="115"/>
      <c r="BQU97" s="115"/>
      <c r="BQV97" s="115"/>
      <c r="BQW97" s="115"/>
      <c r="BQX97" s="115"/>
      <c r="BQY97" s="115"/>
      <c r="BQZ97" s="115"/>
      <c r="BRA97" s="115"/>
      <c r="BRB97" s="115"/>
      <c r="BRC97" s="115"/>
      <c r="BRD97" s="115"/>
      <c r="BRE97" s="115"/>
      <c r="BRF97" s="115"/>
      <c r="BRG97" s="115"/>
      <c r="BRH97" s="115"/>
      <c r="BRI97" s="115"/>
      <c r="BRJ97" s="115"/>
      <c r="BRK97" s="115"/>
      <c r="BRL97" s="115"/>
      <c r="BRM97" s="115"/>
      <c r="BRN97" s="115"/>
      <c r="BRO97" s="115"/>
      <c r="BRP97" s="115"/>
      <c r="BRQ97" s="115"/>
      <c r="BRR97" s="115"/>
      <c r="BRS97" s="115"/>
      <c r="BRT97" s="115"/>
      <c r="BRU97" s="115"/>
      <c r="BRV97" s="115"/>
      <c r="BRW97" s="115"/>
      <c r="BRX97" s="115"/>
      <c r="BRY97" s="115"/>
      <c r="BRZ97" s="115"/>
      <c r="BSA97" s="115"/>
      <c r="BSB97" s="115"/>
      <c r="BSC97" s="115"/>
      <c r="BSD97" s="115"/>
      <c r="BSE97" s="115"/>
      <c r="BSF97" s="115"/>
      <c r="BSG97" s="115"/>
      <c r="BSH97" s="115"/>
      <c r="BSI97" s="115"/>
      <c r="BSJ97" s="115"/>
      <c r="BSK97" s="115"/>
      <c r="BSL97" s="115"/>
      <c r="BSM97" s="115"/>
      <c r="BSN97" s="115"/>
      <c r="BSO97" s="115"/>
      <c r="BSP97" s="115"/>
      <c r="BSQ97" s="115"/>
      <c r="BSR97" s="115"/>
      <c r="BSS97" s="116"/>
      <c r="BST97" s="115"/>
      <c r="BSU97" s="115"/>
      <c r="BSV97" s="115"/>
      <c r="BSW97" s="115"/>
      <c r="BSX97" s="115"/>
      <c r="BSY97" s="115"/>
      <c r="BSZ97" s="115"/>
      <c r="BTA97" s="115"/>
      <c r="BTB97" s="115"/>
      <c r="BTC97" s="115"/>
      <c r="BTD97" s="115"/>
      <c r="BTE97" s="115"/>
      <c r="BTF97" s="115"/>
      <c r="BTG97" s="115"/>
      <c r="BTH97" s="115"/>
      <c r="BTI97" s="115"/>
      <c r="BTJ97" s="115"/>
      <c r="BTK97" s="115"/>
      <c r="BTL97" s="115"/>
      <c r="BTM97" s="115"/>
      <c r="BTN97" s="115"/>
      <c r="BTO97" s="115"/>
      <c r="BTP97" s="115"/>
      <c r="BTQ97" s="115"/>
      <c r="BTR97" s="115"/>
      <c r="BTS97" s="115"/>
      <c r="BTT97" s="115"/>
      <c r="BTU97" s="115"/>
      <c r="BTV97" s="115"/>
      <c r="BTW97" s="115"/>
      <c r="BTX97" s="115"/>
      <c r="BTY97" s="115"/>
      <c r="BTZ97" s="115"/>
      <c r="BUA97" s="115"/>
      <c r="BUB97" s="115"/>
      <c r="BUC97" s="115"/>
      <c r="BUD97" s="115"/>
      <c r="BUE97" s="115"/>
      <c r="BUF97" s="115"/>
      <c r="BUG97" s="115"/>
      <c r="BUH97" s="115"/>
      <c r="BUI97" s="115"/>
      <c r="BUJ97" s="115"/>
      <c r="BUK97" s="115"/>
      <c r="BUL97" s="115"/>
      <c r="BUM97" s="115"/>
      <c r="BUN97" s="115"/>
      <c r="BUO97" s="115"/>
      <c r="BUP97" s="115"/>
      <c r="BUQ97" s="115"/>
      <c r="BUR97" s="115"/>
      <c r="BUS97" s="115"/>
      <c r="BUT97" s="115"/>
      <c r="BUU97" s="115"/>
      <c r="BUV97" s="115"/>
      <c r="BUW97" s="115"/>
      <c r="BUX97" s="115"/>
      <c r="BUY97" s="115"/>
      <c r="BUZ97" s="115"/>
      <c r="BVA97" s="116"/>
      <c r="BVB97" s="115"/>
      <c r="BVC97" s="115"/>
      <c r="BVD97" s="115"/>
      <c r="BVE97" s="115"/>
      <c r="BVF97" s="115"/>
      <c r="BVG97" s="115"/>
      <c r="BVH97" s="115"/>
      <c r="BVI97" s="115"/>
      <c r="BVJ97" s="115"/>
      <c r="BVK97" s="115"/>
      <c r="BVL97" s="115"/>
      <c r="BVM97" s="115"/>
      <c r="BVN97" s="115"/>
      <c r="BVO97" s="115"/>
      <c r="BVP97" s="115"/>
      <c r="BVQ97" s="115"/>
      <c r="BVR97" s="115"/>
      <c r="BVS97" s="115"/>
      <c r="BVT97" s="115"/>
      <c r="BVU97" s="115"/>
      <c r="BVV97" s="115"/>
      <c r="BVW97" s="115"/>
      <c r="BVX97" s="115"/>
      <c r="BVY97" s="115"/>
      <c r="BVZ97" s="115"/>
      <c r="BWA97" s="115"/>
      <c r="BWB97" s="115"/>
      <c r="BWC97" s="115"/>
      <c r="BWD97" s="115"/>
      <c r="BWE97" s="115"/>
      <c r="BWF97" s="115"/>
      <c r="BWG97" s="115"/>
      <c r="BWH97" s="115"/>
      <c r="BWI97" s="115"/>
      <c r="BWJ97" s="115"/>
      <c r="BWK97" s="115"/>
      <c r="BWL97" s="115"/>
      <c r="BWM97" s="115"/>
      <c r="BWN97" s="115"/>
      <c r="BWO97" s="115"/>
      <c r="BWP97" s="115"/>
      <c r="BWQ97" s="115"/>
      <c r="BWR97" s="115"/>
      <c r="BWS97" s="115"/>
      <c r="BWT97" s="115"/>
      <c r="BWU97" s="115"/>
      <c r="BWV97" s="115"/>
      <c r="BWW97" s="115"/>
      <c r="BWX97" s="115"/>
      <c r="BWY97" s="115"/>
      <c r="BWZ97" s="115"/>
      <c r="BXA97" s="115"/>
      <c r="BXB97" s="115"/>
      <c r="BXC97" s="115"/>
      <c r="BXD97" s="115"/>
      <c r="BXE97" s="115"/>
      <c r="BXF97" s="115"/>
      <c r="BXG97" s="115"/>
      <c r="BXH97" s="115"/>
      <c r="BXI97" s="116"/>
      <c r="BXJ97" s="115"/>
      <c r="BXK97" s="115"/>
      <c r="BXL97" s="115"/>
      <c r="BXM97" s="115"/>
      <c r="BXN97" s="115"/>
      <c r="BXO97" s="115"/>
      <c r="BXP97" s="115"/>
      <c r="BXQ97" s="115"/>
      <c r="BXR97" s="115"/>
      <c r="BXS97" s="115"/>
      <c r="BXT97" s="115"/>
      <c r="BXU97" s="115"/>
      <c r="BXV97" s="115"/>
      <c r="BXW97" s="115"/>
      <c r="BXX97" s="115"/>
      <c r="BXY97" s="115"/>
      <c r="BXZ97" s="115"/>
      <c r="BYA97" s="115"/>
      <c r="BYB97" s="115"/>
      <c r="BYC97" s="115"/>
      <c r="BYD97" s="115"/>
      <c r="BYE97" s="115"/>
      <c r="BYF97" s="115"/>
      <c r="BYG97" s="115"/>
      <c r="BYH97" s="115"/>
      <c r="BYI97" s="115"/>
      <c r="BYJ97" s="115"/>
      <c r="BYK97" s="115"/>
      <c r="BYL97" s="115"/>
      <c r="BYM97" s="115"/>
      <c r="BYN97" s="115"/>
      <c r="BYO97" s="115"/>
      <c r="BYP97" s="115"/>
      <c r="BYQ97" s="115"/>
      <c r="BYR97" s="115"/>
      <c r="BYS97" s="115"/>
      <c r="BYT97" s="115"/>
      <c r="BYU97" s="115"/>
      <c r="BYV97" s="115"/>
      <c r="BYW97" s="115"/>
      <c r="BYX97" s="115"/>
      <c r="BYY97" s="115"/>
      <c r="BYZ97" s="115"/>
      <c r="BZA97" s="115"/>
      <c r="BZB97" s="115"/>
      <c r="BZC97" s="115"/>
      <c r="BZD97" s="115"/>
      <c r="BZE97" s="115"/>
      <c r="BZF97" s="115"/>
      <c r="BZG97" s="115"/>
      <c r="BZH97" s="115"/>
      <c r="BZI97" s="115"/>
      <c r="BZJ97" s="115"/>
      <c r="BZK97" s="115"/>
      <c r="BZL97" s="115"/>
      <c r="BZM97" s="115"/>
      <c r="BZN97" s="115"/>
      <c r="BZO97" s="115"/>
      <c r="BZP97" s="115"/>
      <c r="BZQ97" s="116"/>
      <c r="BZR97" s="115"/>
      <c r="BZS97" s="115"/>
      <c r="BZT97" s="115"/>
      <c r="BZU97" s="115"/>
      <c r="BZV97" s="115"/>
      <c r="BZW97" s="115"/>
      <c r="BZX97" s="115"/>
      <c r="BZY97" s="115"/>
      <c r="BZZ97" s="115"/>
      <c r="CAA97" s="115"/>
      <c r="CAB97" s="115"/>
      <c r="CAC97" s="115"/>
      <c r="CAD97" s="115"/>
      <c r="CAE97" s="115"/>
      <c r="CAF97" s="115"/>
      <c r="CAG97" s="115"/>
      <c r="CAH97" s="115"/>
      <c r="CAI97" s="115"/>
      <c r="CAJ97" s="115"/>
      <c r="CAK97" s="115"/>
      <c r="CAL97" s="115"/>
      <c r="CAM97" s="115"/>
      <c r="CAN97" s="115"/>
      <c r="CAO97" s="115"/>
      <c r="CAP97" s="115"/>
      <c r="CAQ97" s="115"/>
      <c r="CAR97" s="115"/>
      <c r="CAS97" s="115"/>
      <c r="CAT97" s="115"/>
      <c r="CAU97" s="115"/>
      <c r="CAV97" s="115"/>
      <c r="CAW97" s="115"/>
      <c r="CAX97" s="115"/>
      <c r="CAY97" s="115"/>
      <c r="CAZ97" s="115"/>
      <c r="CBA97" s="115"/>
      <c r="CBB97" s="115"/>
      <c r="CBC97" s="115"/>
      <c r="CBD97" s="115"/>
      <c r="CBE97" s="115"/>
      <c r="CBF97" s="115"/>
      <c r="CBG97" s="115"/>
      <c r="CBH97" s="115"/>
      <c r="CBI97" s="115"/>
      <c r="CBJ97" s="115"/>
      <c r="CBK97" s="115"/>
      <c r="CBL97" s="115"/>
      <c r="CBM97" s="115"/>
      <c r="CBN97" s="115"/>
      <c r="CBO97" s="115"/>
      <c r="CBP97" s="115"/>
      <c r="CBQ97" s="115"/>
      <c r="CBR97" s="115"/>
      <c r="CBS97" s="115"/>
      <c r="CBT97" s="115"/>
      <c r="CBU97" s="115"/>
      <c r="CBV97" s="115"/>
      <c r="CBW97" s="115"/>
      <c r="CBX97" s="115"/>
      <c r="CBY97" s="116"/>
      <c r="CBZ97" s="115"/>
      <c r="CCA97" s="115"/>
      <c r="CCB97" s="115"/>
      <c r="CCC97" s="115"/>
      <c r="CCD97" s="115"/>
      <c r="CCE97" s="115"/>
      <c r="CCF97" s="115"/>
      <c r="CCG97" s="115"/>
      <c r="CCH97" s="115"/>
      <c r="CCI97" s="115"/>
      <c r="CCJ97" s="115"/>
      <c r="CCK97" s="115"/>
      <c r="CCL97" s="115"/>
      <c r="CCM97" s="115"/>
      <c r="CCN97" s="115"/>
      <c r="CCO97" s="115"/>
      <c r="CCP97" s="115"/>
      <c r="CCQ97" s="115"/>
      <c r="CCR97" s="115"/>
      <c r="CCS97" s="115"/>
      <c r="CCT97" s="115"/>
      <c r="CCU97" s="115"/>
      <c r="CCV97" s="115"/>
      <c r="CCW97" s="115"/>
      <c r="CCX97" s="115"/>
      <c r="CCY97" s="115"/>
      <c r="CCZ97" s="115"/>
      <c r="CDA97" s="115"/>
      <c r="CDB97" s="115"/>
      <c r="CDC97" s="115"/>
      <c r="CDD97" s="115"/>
      <c r="CDE97" s="115"/>
      <c r="CDF97" s="115"/>
      <c r="CDG97" s="115"/>
      <c r="CDH97" s="115"/>
      <c r="CDI97" s="115"/>
      <c r="CDJ97" s="115"/>
      <c r="CDK97" s="115"/>
      <c r="CDL97" s="115"/>
      <c r="CDM97" s="115"/>
      <c r="CDN97" s="115"/>
      <c r="CDO97" s="115"/>
      <c r="CDP97" s="115"/>
      <c r="CDQ97" s="115"/>
      <c r="CDR97" s="115"/>
      <c r="CDS97" s="115"/>
      <c r="CDT97" s="115"/>
      <c r="CDU97" s="115"/>
      <c r="CDV97" s="115"/>
      <c r="CDW97" s="115"/>
      <c r="CDX97" s="115"/>
      <c r="CDY97" s="115"/>
      <c r="CDZ97" s="115"/>
      <c r="CEA97" s="115"/>
      <c r="CEB97" s="115"/>
      <c r="CEC97" s="115"/>
      <c r="CED97" s="115"/>
      <c r="CEE97" s="115"/>
      <c r="CEF97" s="115"/>
      <c r="CEG97" s="116"/>
      <c r="CEH97" s="115"/>
      <c r="CEI97" s="115"/>
      <c r="CEJ97" s="115"/>
      <c r="CEK97" s="115"/>
      <c r="CEL97" s="115"/>
      <c r="CEM97" s="115"/>
      <c r="CEN97" s="115"/>
      <c r="CEO97" s="115"/>
      <c r="CEP97" s="115"/>
      <c r="CEQ97" s="115"/>
      <c r="CER97" s="115"/>
      <c r="CES97" s="115"/>
      <c r="CET97" s="115"/>
      <c r="CEU97" s="115"/>
      <c r="CEV97" s="115"/>
      <c r="CEW97" s="115"/>
      <c r="CEX97" s="115"/>
      <c r="CEY97" s="115"/>
      <c r="CEZ97" s="115"/>
      <c r="CFA97" s="115"/>
      <c r="CFB97" s="115"/>
      <c r="CFC97" s="115"/>
      <c r="CFD97" s="115"/>
      <c r="CFE97" s="115"/>
      <c r="CFF97" s="115"/>
      <c r="CFG97" s="115"/>
      <c r="CFH97" s="115"/>
      <c r="CFI97" s="115"/>
      <c r="CFJ97" s="115"/>
      <c r="CFK97" s="115"/>
      <c r="CFL97" s="115"/>
      <c r="CFM97" s="115"/>
      <c r="CFN97" s="115"/>
      <c r="CFO97" s="115"/>
      <c r="CFP97" s="115"/>
      <c r="CFQ97" s="115"/>
      <c r="CFR97" s="115"/>
      <c r="CFS97" s="115"/>
      <c r="CFT97" s="115"/>
      <c r="CFU97" s="115"/>
      <c r="CFV97" s="115"/>
      <c r="CFW97" s="115"/>
      <c r="CFX97" s="115"/>
      <c r="CFY97" s="115"/>
      <c r="CFZ97" s="115"/>
      <c r="CGA97" s="115"/>
      <c r="CGB97" s="115"/>
      <c r="CGC97" s="115"/>
      <c r="CGD97" s="115"/>
      <c r="CGE97" s="115"/>
      <c r="CGF97" s="115"/>
      <c r="CGG97" s="115"/>
      <c r="CGH97" s="115"/>
      <c r="CGI97" s="115"/>
      <c r="CGJ97" s="115"/>
      <c r="CGK97" s="115"/>
      <c r="CGL97" s="115"/>
      <c r="CGM97" s="115"/>
      <c r="CGN97" s="115"/>
      <c r="CGO97" s="116"/>
      <c r="CGP97" s="115"/>
      <c r="CGQ97" s="115"/>
      <c r="CGR97" s="115"/>
      <c r="CGS97" s="115"/>
      <c r="CGT97" s="115"/>
      <c r="CGU97" s="115"/>
      <c r="CGV97" s="115"/>
      <c r="CGW97" s="115"/>
      <c r="CGX97" s="115"/>
      <c r="CGY97" s="115"/>
      <c r="CGZ97" s="115"/>
      <c r="CHA97" s="115"/>
      <c r="CHB97" s="115"/>
      <c r="CHC97" s="115"/>
      <c r="CHD97" s="115"/>
      <c r="CHE97" s="115"/>
      <c r="CHF97" s="115"/>
      <c r="CHG97" s="115"/>
      <c r="CHH97" s="115"/>
      <c r="CHI97" s="115"/>
      <c r="CHJ97" s="115"/>
      <c r="CHK97" s="115"/>
      <c r="CHL97" s="115"/>
      <c r="CHM97" s="115"/>
      <c r="CHN97" s="115"/>
      <c r="CHO97" s="115"/>
      <c r="CHP97" s="115"/>
      <c r="CHQ97" s="115"/>
      <c r="CHR97" s="115"/>
      <c r="CHS97" s="115"/>
      <c r="CHT97" s="115"/>
      <c r="CHU97" s="115"/>
      <c r="CHV97" s="115"/>
      <c r="CHW97" s="115"/>
      <c r="CHX97" s="115"/>
      <c r="CHY97" s="115"/>
      <c r="CHZ97" s="115"/>
      <c r="CIA97" s="115"/>
      <c r="CIB97" s="115"/>
      <c r="CIC97" s="115"/>
      <c r="CID97" s="115"/>
      <c r="CIE97" s="115"/>
      <c r="CIF97" s="115"/>
      <c r="CIG97" s="115"/>
      <c r="CIH97" s="115"/>
      <c r="CII97" s="115"/>
      <c r="CIJ97" s="115"/>
      <c r="CIK97" s="115"/>
      <c r="CIL97" s="115"/>
      <c r="CIM97" s="115"/>
      <c r="CIN97" s="115"/>
      <c r="CIO97" s="115"/>
      <c r="CIP97" s="115"/>
      <c r="CIQ97" s="115"/>
      <c r="CIR97" s="115"/>
      <c r="CIS97" s="115"/>
      <c r="CIT97" s="115"/>
      <c r="CIU97" s="115"/>
      <c r="CIV97" s="115"/>
      <c r="CIW97" s="116"/>
      <c r="CIX97" s="115"/>
      <c r="CIY97" s="115"/>
      <c r="CIZ97" s="115"/>
      <c r="CJA97" s="115"/>
      <c r="CJB97" s="115"/>
      <c r="CJC97" s="115"/>
      <c r="CJD97" s="115"/>
      <c r="CJE97" s="115"/>
      <c r="CJF97" s="115"/>
      <c r="CJG97" s="115"/>
      <c r="CJH97" s="115"/>
      <c r="CJI97" s="115"/>
      <c r="CJJ97" s="115"/>
      <c r="CJK97" s="115"/>
      <c r="CJL97" s="115"/>
      <c r="CJM97" s="115"/>
      <c r="CJN97" s="115"/>
      <c r="CJO97" s="115"/>
      <c r="CJP97" s="115"/>
      <c r="CJQ97" s="115"/>
      <c r="CJR97" s="115"/>
      <c r="CJS97" s="115"/>
      <c r="CJT97" s="115"/>
      <c r="CJU97" s="115"/>
      <c r="CJV97" s="115"/>
      <c r="CJW97" s="115"/>
      <c r="CJX97" s="115"/>
      <c r="CJY97" s="115"/>
      <c r="CJZ97" s="115"/>
      <c r="CKA97" s="115"/>
      <c r="CKB97" s="115"/>
      <c r="CKC97" s="115"/>
      <c r="CKD97" s="115"/>
      <c r="CKE97" s="115"/>
      <c r="CKF97" s="115"/>
      <c r="CKG97" s="115"/>
      <c r="CKH97" s="115"/>
      <c r="CKI97" s="115"/>
      <c r="CKJ97" s="115"/>
      <c r="CKK97" s="115"/>
      <c r="CKL97" s="115"/>
      <c r="CKM97" s="115"/>
      <c r="CKN97" s="115"/>
      <c r="CKO97" s="115"/>
      <c r="CKP97" s="115"/>
      <c r="CKQ97" s="115"/>
      <c r="CKR97" s="115"/>
      <c r="CKS97" s="115"/>
      <c r="CKT97" s="115"/>
      <c r="CKU97" s="115"/>
      <c r="CKV97" s="115"/>
      <c r="CKW97" s="115"/>
      <c r="CKX97" s="115"/>
      <c r="CKY97" s="115"/>
      <c r="CKZ97" s="115"/>
      <c r="CLA97" s="115"/>
      <c r="CLB97" s="115"/>
      <c r="CLC97" s="115"/>
      <c r="CLD97" s="115"/>
      <c r="CLE97" s="116"/>
      <c r="CLF97" s="115"/>
      <c r="CLG97" s="115"/>
      <c r="CLH97" s="115"/>
      <c r="CLI97" s="115"/>
      <c r="CLJ97" s="115"/>
      <c r="CLK97" s="115"/>
      <c r="CLL97" s="115"/>
      <c r="CLM97" s="115"/>
      <c r="CLN97" s="115"/>
      <c r="CLO97" s="115"/>
      <c r="CLP97" s="115"/>
      <c r="CLQ97" s="115"/>
      <c r="CLR97" s="115"/>
      <c r="CLS97" s="115"/>
      <c r="CLT97" s="115"/>
      <c r="CLU97" s="115"/>
      <c r="CLV97" s="115"/>
      <c r="CLW97" s="115"/>
      <c r="CLX97" s="115"/>
      <c r="CLY97" s="115"/>
      <c r="CLZ97" s="115"/>
      <c r="CMA97" s="115"/>
      <c r="CMB97" s="115"/>
      <c r="CMC97" s="115"/>
      <c r="CMD97" s="115"/>
      <c r="CME97" s="115"/>
      <c r="CMF97" s="115"/>
      <c r="CMG97" s="115"/>
      <c r="CMH97" s="115"/>
      <c r="CMI97" s="115"/>
      <c r="CMJ97" s="115"/>
      <c r="CMK97" s="115"/>
      <c r="CML97" s="115"/>
      <c r="CMM97" s="115"/>
      <c r="CMN97" s="115"/>
      <c r="CMO97" s="115"/>
      <c r="CMP97" s="115"/>
      <c r="CMQ97" s="115"/>
      <c r="CMR97" s="115"/>
      <c r="CMS97" s="115"/>
      <c r="CMT97" s="115"/>
      <c r="CMU97" s="115"/>
      <c r="CMV97" s="115"/>
      <c r="CMW97" s="115"/>
      <c r="CMX97" s="115"/>
      <c r="CMY97" s="115"/>
      <c r="CMZ97" s="115"/>
      <c r="CNA97" s="115"/>
      <c r="CNB97" s="115"/>
      <c r="CNC97" s="115"/>
      <c r="CND97" s="115"/>
      <c r="CNE97" s="115"/>
      <c r="CNF97" s="115"/>
      <c r="CNG97" s="115"/>
      <c r="CNH97" s="115"/>
      <c r="CNI97" s="115"/>
      <c r="CNJ97" s="115"/>
      <c r="CNK97" s="115"/>
      <c r="CNL97" s="115"/>
      <c r="CNM97" s="116"/>
      <c r="CNN97" s="115"/>
      <c r="CNO97" s="115"/>
      <c r="CNP97" s="115"/>
      <c r="CNQ97" s="115"/>
      <c r="CNR97" s="115"/>
      <c r="CNS97" s="115"/>
      <c r="CNT97" s="115"/>
      <c r="CNU97" s="115"/>
      <c r="CNV97" s="115"/>
      <c r="CNW97" s="115"/>
      <c r="CNX97" s="115"/>
      <c r="CNY97" s="115"/>
      <c r="CNZ97" s="115"/>
      <c r="COA97" s="115"/>
      <c r="COB97" s="115"/>
      <c r="COC97" s="115"/>
      <c r="COD97" s="115"/>
      <c r="COE97" s="115"/>
      <c r="COF97" s="115"/>
      <c r="COG97" s="115"/>
      <c r="COH97" s="115"/>
      <c r="COI97" s="115"/>
      <c r="COJ97" s="115"/>
      <c r="COK97" s="115"/>
      <c r="COL97" s="115"/>
      <c r="COM97" s="115"/>
      <c r="CON97" s="115"/>
      <c r="COO97" s="115"/>
      <c r="COP97" s="115"/>
      <c r="COQ97" s="115"/>
      <c r="COR97" s="115"/>
      <c r="COS97" s="115"/>
      <c r="COT97" s="115"/>
      <c r="COU97" s="115"/>
      <c r="COV97" s="115"/>
      <c r="COW97" s="115"/>
      <c r="COX97" s="115"/>
      <c r="COY97" s="115"/>
      <c r="COZ97" s="115"/>
      <c r="CPA97" s="115"/>
      <c r="CPB97" s="115"/>
      <c r="CPC97" s="115"/>
      <c r="CPD97" s="115"/>
      <c r="CPE97" s="115"/>
      <c r="CPF97" s="115"/>
      <c r="CPG97" s="115"/>
      <c r="CPH97" s="115"/>
      <c r="CPI97" s="115"/>
      <c r="CPJ97" s="115"/>
      <c r="CPK97" s="115"/>
      <c r="CPL97" s="115"/>
      <c r="CPM97" s="115"/>
      <c r="CPN97" s="115"/>
      <c r="CPO97" s="115"/>
      <c r="CPP97" s="115"/>
      <c r="CPQ97" s="115"/>
      <c r="CPR97" s="115"/>
      <c r="CPS97" s="115"/>
      <c r="CPT97" s="115"/>
      <c r="CPU97" s="116"/>
      <c r="CPV97" s="115"/>
      <c r="CPW97" s="115"/>
      <c r="CPX97" s="115"/>
      <c r="CPY97" s="115"/>
      <c r="CPZ97" s="115"/>
      <c r="CQA97" s="115"/>
      <c r="CQB97" s="115"/>
      <c r="CQC97" s="115"/>
      <c r="CQD97" s="115"/>
      <c r="CQE97" s="115"/>
      <c r="CQF97" s="115"/>
      <c r="CQG97" s="115"/>
      <c r="CQH97" s="115"/>
      <c r="CQI97" s="115"/>
      <c r="CQJ97" s="115"/>
      <c r="CQK97" s="115"/>
      <c r="CQL97" s="115"/>
      <c r="CQM97" s="115"/>
      <c r="CQN97" s="115"/>
      <c r="CQO97" s="115"/>
      <c r="CQP97" s="115"/>
      <c r="CQQ97" s="115"/>
      <c r="CQR97" s="115"/>
      <c r="CQS97" s="115"/>
      <c r="CQT97" s="115"/>
      <c r="CQU97" s="115"/>
      <c r="CQV97" s="115"/>
      <c r="CQW97" s="115"/>
      <c r="CQX97" s="115"/>
      <c r="CQY97" s="115"/>
      <c r="CQZ97" s="115"/>
      <c r="CRA97" s="115"/>
      <c r="CRB97" s="115"/>
      <c r="CRC97" s="115"/>
      <c r="CRD97" s="115"/>
      <c r="CRE97" s="115"/>
      <c r="CRF97" s="115"/>
      <c r="CRG97" s="115"/>
      <c r="CRH97" s="115"/>
      <c r="CRI97" s="115"/>
      <c r="CRJ97" s="115"/>
      <c r="CRK97" s="115"/>
      <c r="CRL97" s="115"/>
      <c r="CRM97" s="115"/>
      <c r="CRN97" s="115"/>
      <c r="CRO97" s="115"/>
      <c r="CRP97" s="115"/>
      <c r="CRQ97" s="115"/>
      <c r="CRR97" s="115"/>
      <c r="CRS97" s="115"/>
      <c r="CRT97" s="115"/>
      <c r="CRU97" s="115"/>
      <c r="CRV97" s="115"/>
      <c r="CRW97" s="115"/>
      <c r="CRX97" s="115"/>
      <c r="CRY97" s="115"/>
      <c r="CRZ97" s="115"/>
      <c r="CSA97" s="115"/>
      <c r="CSB97" s="115"/>
      <c r="CSC97" s="116"/>
      <c r="CSD97" s="124"/>
    </row>
    <row r="98" spans="2:2526" ht="20.100000000000001" customHeight="1" thickBot="1" x14ac:dyDescent="0.3">
      <c r="B98" s="96"/>
      <c r="C98" s="230"/>
      <c r="D98" s="231"/>
      <c r="E98" s="122" t="str">
        <f xml:space="preserve"> setValueToTime(E97)</f>
        <v>35h15min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71"/>
      <c r="BLW98" s="71"/>
      <c r="BLX98" s="71"/>
      <c r="BLY98" s="71"/>
      <c r="BLZ98" s="71"/>
      <c r="BMA98" s="71"/>
      <c r="BMB98" s="71"/>
      <c r="BMC98" s="71"/>
      <c r="BMD98" s="71"/>
      <c r="BME98" s="71"/>
      <c r="BMF98" s="71"/>
      <c r="BMG98" s="71"/>
      <c r="BMH98" s="71"/>
      <c r="BMI98" s="71"/>
      <c r="BMJ98" s="71"/>
      <c r="BMK98" s="71"/>
      <c r="BML98" s="71"/>
      <c r="BMM98" s="71"/>
      <c r="BMN98" s="71"/>
      <c r="BMO98" s="71"/>
      <c r="BMP98" s="71"/>
      <c r="BMQ98" s="71"/>
      <c r="BMR98" s="71"/>
      <c r="BMS98" s="71"/>
      <c r="BMT98" s="71"/>
      <c r="BMU98" s="71"/>
      <c r="BMV98" s="71"/>
      <c r="BMW98" s="71"/>
      <c r="BMX98" s="71"/>
      <c r="BMY98" s="71"/>
      <c r="BMZ98" s="71"/>
      <c r="BNA98" s="71"/>
      <c r="BNB98" s="71"/>
      <c r="BNC98" s="71"/>
      <c r="BND98" s="71"/>
      <c r="BNE98" s="71"/>
      <c r="BNF98" s="71"/>
      <c r="BNG98" s="71"/>
      <c r="BNH98" s="71"/>
      <c r="BNI98" s="71"/>
      <c r="BNJ98" s="71"/>
      <c r="BNK98" s="71"/>
      <c r="BNL98" s="71"/>
      <c r="BNM98" s="71"/>
      <c r="BNN98" s="71"/>
      <c r="BNO98" s="71"/>
      <c r="BNP98" s="71"/>
      <c r="BNQ98" s="71"/>
      <c r="BNR98" s="71"/>
      <c r="BNS98" s="71"/>
      <c r="BNT98" s="71"/>
      <c r="BNU98" s="71"/>
      <c r="BNV98" s="71"/>
      <c r="BNW98" s="71"/>
      <c r="BNX98" s="71"/>
      <c r="BNY98" s="71"/>
      <c r="BNZ98" s="71"/>
      <c r="BOA98" s="71"/>
      <c r="BOB98" s="71"/>
      <c r="BOC98" s="86"/>
      <c r="BOD98" s="71"/>
      <c r="BOE98" s="71"/>
      <c r="BOF98" s="71"/>
      <c r="BOG98" s="71"/>
      <c r="BOH98" s="71"/>
      <c r="BOI98" s="71"/>
      <c r="BOJ98" s="71"/>
      <c r="BOK98" s="71"/>
      <c r="BOL98" s="71"/>
      <c r="BOM98" s="71"/>
      <c r="BON98" s="71"/>
      <c r="BOO98" s="71"/>
      <c r="BOP98" s="71"/>
      <c r="BOQ98" s="71"/>
      <c r="BOR98" s="71"/>
      <c r="BOS98" s="71"/>
      <c r="BOT98" s="71"/>
      <c r="BOU98" s="71"/>
      <c r="BOV98" s="71"/>
      <c r="BOW98" s="71"/>
      <c r="BOX98" s="71"/>
      <c r="BOY98" s="71"/>
      <c r="BOZ98" s="71"/>
      <c r="BPA98" s="71"/>
      <c r="BPB98" s="71"/>
      <c r="BPC98" s="71"/>
      <c r="BPD98" s="71"/>
      <c r="BPE98" s="71"/>
      <c r="BPF98" s="71"/>
      <c r="BPG98" s="71"/>
      <c r="BPH98" s="71"/>
      <c r="BPI98" s="71"/>
      <c r="BPJ98" s="71"/>
      <c r="BPK98" s="71"/>
      <c r="BPL98" s="71"/>
      <c r="BPM98" s="71"/>
      <c r="BPN98" s="71"/>
      <c r="BPO98" s="71"/>
      <c r="BPP98" s="71"/>
      <c r="BPQ98" s="71"/>
      <c r="BPR98" s="71"/>
      <c r="BPS98" s="71"/>
      <c r="BPT98" s="71"/>
      <c r="BPU98" s="71"/>
      <c r="BPV98" s="71"/>
      <c r="BPW98" s="71"/>
      <c r="BPX98" s="71"/>
      <c r="BPY98" s="71"/>
      <c r="BPZ98" s="71"/>
      <c r="BQA98" s="71"/>
      <c r="BQB98" s="71"/>
      <c r="BQC98" s="71"/>
      <c r="BQD98" s="71"/>
      <c r="BQE98" s="71"/>
      <c r="BQF98" s="71"/>
      <c r="BQG98" s="71"/>
      <c r="BQH98" s="71"/>
      <c r="BQI98" s="71"/>
      <c r="BQJ98" s="71"/>
      <c r="BQK98" s="86"/>
      <c r="BQL98" s="71"/>
      <c r="BQM98" s="71"/>
      <c r="BQN98" s="71"/>
      <c r="BQO98" s="71"/>
      <c r="BQP98" s="71"/>
      <c r="BQQ98" s="71"/>
      <c r="BQR98" s="71"/>
      <c r="BQS98" s="71"/>
      <c r="BQT98" s="71"/>
      <c r="BQU98" s="71"/>
      <c r="BQV98" s="71"/>
      <c r="BQW98" s="71"/>
      <c r="BQX98" s="71"/>
      <c r="BQY98" s="71"/>
      <c r="BQZ98" s="71"/>
      <c r="BRA98" s="71"/>
      <c r="BRB98" s="71"/>
      <c r="BRC98" s="71"/>
      <c r="BRD98" s="71"/>
      <c r="BRE98" s="71"/>
      <c r="BRF98" s="71"/>
      <c r="BRG98" s="71"/>
      <c r="BRH98" s="71"/>
      <c r="BRI98" s="71"/>
      <c r="BRJ98" s="71"/>
      <c r="BRK98" s="71"/>
      <c r="BRL98" s="71"/>
      <c r="BRM98" s="71"/>
      <c r="BRN98" s="71"/>
      <c r="BRO98" s="71"/>
      <c r="BRP98" s="71"/>
      <c r="BRQ98" s="71"/>
      <c r="BRR98" s="71"/>
      <c r="BRS98" s="71"/>
      <c r="BRT98" s="71"/>
      <c r="BRU98" s="71"/>
      <c r="BRV98" s="71"/>
      <c r="BRW98" s="71"/>
      <c r="BRX98" s="71"/>
      <c r="BRY98" s="71"/>
      <c r="BRZ98" s="71"/>
      <c r="BSA98" s="71"/>
      <c r="BSB98" s="71"/>
      <c r="BSC98" s="71"/>
      <c r="BSD98" s="71"/>
      <c r="BSE98" s="71"/>
      <c r="BSF98" s="71"/>
      <c r="BSG98" s="71"/>
      <c r="BSH98" s="71"/>
      <c r="BSI98" s="71"/>
      <c r="BSJ98" s="71"/>
      <c r="BSK98" s="71"/>
      <c r="BSL98" s="71"/>
      <c r="BSM98" s="71"/>
      <c r="BSN98" s="71"/>
      <c r="BSO98" s="71"/>
      <c r="BSP98" s="71"/>
      <c r="BSQ98" s="71"/>
      <c r="BSR98" s="71"/>
      <c r="BSS98" s="86"/>
      <c r="BST98" s="71"/>
      <c r="BSU98" s="71"/>
      <c r="BSV98" s="71"/>
      <c r="BSW98" s="71"/>
      <c r="BSX98" s="71"/>
      <c r="BSY98" s="71"/>
      <c r="BSZ98" s="71"/>
      <c r="BTA98" s="71"/>
      <c r="BTB98" s="71"/>
      <c r="BTC98" s="71"/>
      <c r="BTD98" s="71"/>
      <c r="BTE98" s="71"/>
      <c r="BTF98" s="71"/>
      <c r="BTG98" s="71"/>
      <c r="BTH98" s="71"/>
      <c r="BTI98" s="71"/>
      <c r="BTJ98" s="71"/>
      <c r="BTK98" s="71"/>
      <c r="BTL98" s="71"/>
      <c r="BTM98" s="71"/>
      <c r="BTN98" s="71"/>
      <c r="BTO98" s="71"/>
      <c r="BTP98" s="71"/>
      <c r="BTQ98" s="71"/>
      <c r="BTR98" s="71"/>
      <c r="BTS98" s="71"/>
      <c r="BTT98" s="71"/>
      <c r="BTU98" s="71"/>
      <c r="BTV98" s="71"/>
      <c r="BTW98" s="71"/>
      <c r="BTX98" s="71"/>
      <c r="BTY98" s="71"/>
      <c r="BTZ98" s="71"/>
      <c r="BUA98" s="71"/>
      <c r="BUB98" s="71"/>
      <c r="BUC98" s="71"/>
      <c r="BUD98" s="71"/>
      <c r="BUE98" s="71"/>
      <c r="BUF98" s="71"/>
      <c r="BUG98" s="71"/>
      <c r="BUH98" s="71"/>
      <c r="BUI98" s="71"/>
      <c r="BUJ98" s="71"/>
      <c r="BUK98" s="71"/>
      <c r="BUL98" s="71"/>
      <c r="BUM98" s="71"/>
      <c r="BUN98" s="71"/>
      <c r="BUO98" s="71"/>
      <c r="BUP98" s="71"/>
      <c r="BUQ98" s="71"/>
      <c r="BUR98" s="71"/>
      <c r="BUS98" s="71"/>
      <c r="BUT98" s="71"/>
      <c r="BUU98" s="71"/>
      <c r="BUV98" s="71"/>
      <c r="BUW98" s="71"/>
      <c r="BUX98" s="71"/>
      <c r="BUY98" s="71"/>
      <c r="BUZ98" s="71"/>
      <c r="BVA98" s="86"/>
      <c r="BVB98" s="71"/>
      <c r="BVC98" s="71"/>
      <c r="BVD98" s="71"/>
      <c r="BVE98" s="71"/>
      <c r="BVF98" s="71"/>
      <c r="BVG98" s="71"/>
      <c r="BVH98" s="71"/>
      <c r="BVI98" s="71"/>
      <c r="BVJ98" s="71"/>
      <c r="BVK98" s="71"/>
      <c r="BVL98" s="71"/>
      <c r="BVM98" s="71"/>
      <c r="BVN98" s="71"/>
      <c r="BVO98" s="71"/>
      <c r="BVP98" s="71"/>
      <c r="BVQ98" s="71"/>
      <c r="BVR98" s="71"/>
      <c r="BVS98" s="71"/>
      <c r="BVT98" s="71"/>
      <c r="BVU98" s="71"/>
      <c r="BVV98" s="71"/>
      <c r="BVW98" s="71"/>
      <c r="BVX98" s="71"/>
      <c r="BVY98" s="71"/>
      <c r="BVZ98" s="71"/>
      <c r="BWA98" s="71"/>
      <c r="BWB98" s="71"/>
      <c r="BWC98" s="71"/>
      <c r="BWD98" s="71"/>
      <c r="BWE98" s="71"/>
      <c r="BWF98" s="71"/>
      <c r="BWG98" s="71"/>
      <c r="BWH98" s="71"/>
      <c r="BWI98" s="71"/>
      <c r="BWJ98" s="71"/>
      <c r="BWK98" s="71"/>
      <c r="BWL98" s="71"/>
      <c r="BWM98" s="71"/>
      <c r="BWN98" s="71"/>
      <c r="BWO98" s="71"/>
      <c r="BWP98" s="71"/>
      <c r="BWQ98" s="71"/>
      <c r="BWR98" s="71"/>
      <c r="BWS98" s="71"/>
      <c r="BWT98" s="71"/>
      <c r="BWU98" s="71"/>
      <c r="BWV98" s="71"/>
      <c r="BWW98" s="71"/>
      <c r="BWX98" s="71"/>
      <c r="BWY98" s="71"/>
      <c r="BWZ98" s="71"/>
      <c r="BXA98" s="71"/>
      <c r="BXB98" s="71"/>
      <c r="BXC98" s="71"/>
      <c r="BXD98" s="71"/>
      <c r="BXE98" s="71"/>
      <c r="BXF98" s="71"/>
      <c r="BXG98" s="71"/>
      <c r="BXH98" s="71"/>
      <c r="BXI98" s="86"/>
      <c r="BXJ98" s="71"/>
      <c r="BXK98" s="71"/>
      <c r="BXL98" s="71"/>
      <c r="BXM98" s="71"/>
      <c r="BXN98" s="71"/>
      <c r="BXO98" s="71"/>
      <c r="BXP98" s="71"/>
      <c r="BXQ98" s="71"/>
      <c r="BXR98" s="71"/>
      <c r="BXS98" s="71"/>
      <c r="BXT98" s="71"/>
      <c r="BXU98" s="71"/>
      <c r="BXV98" s="71"/>
      <c r="BXW98" s="71"/>
      <c r="BXX98" s="71"/>
      <c r="BXY98" s="71"/>
      <c r="BXZ98" s="71"/>
      <c r="BYA98" s="71"/>
      <c r="BYB98" s="71"/>
      <c r="BYC98" s="71"/>
      <c r="BYD98" s="71"/>
      <c r="BYE98" s="71"/>
      <c r="BYF98" s="71"/>
      <c r="BYG98" s="71"/>
      <c r="BYH98" s="71"/>
      <c r="BYI98" s="71"/>
      <c r="BYJ98" s="71"/>
      <c r="BYK98" s="71"/>
      <c r="BYL98" s="71"/>
      <c r="BYM98" s="71"/>
      <c r="BYN98" s="71"/>
      <c r="BYO98" s="71"/>
      <c r="BYP98" s="71"/>
      <c r="BYQ98" s="71"/>
      <c r="BYR98" s="71"/>
      <c r="BYS98" s="71"/>
      <c r="BYT98" s="71"/>
      <c r="BYU98" s="71"/>
      <c r="BYV98" s="71"/>
      <c r="BYW98" s="71"/>
      <c r="BYX98" s="71"/>
      <c r="BYY98" s="71"/>
      <c r="BYZ98" s="71"/>
      <c r="BZA98" s="71"/>
      <c r="BZB98" s="71"/>
      <c r="BZC98" s="71"/>
      <c r="BZD98" s="71"/>
      <c r="BZE98" s="71"/>
      <c r="BZF98" s="71"/>
      <c r="BZG98" s="71"/>
      <c r="BZH98" s="71"/>
      <c r="BZI98" s="71"/>
      <c r="BZJ98" s="71"/>
      <c r="BZK98" s="71"/>
      <c r="BZL98" s="71"/>
      <c r="BZM98" s="71"/>
      <c r="BZN98" s="71"/>
      <c r="BZO98" s="71"/>
      <c r="BZP98" s="71"/>
      <c r="BZQ98" s="86"/>
      <c r="BZR98" s="71"/>
      <c r="BZS98" s="71"/>
      <c r="BZT98" s="71"/>
      <c r="BZU98" s="71"/>
      <c r="BZV98" s="71"/>
      <c r="BZW98" s="71"/>
      <c r="BZX98" s="71"/>
      <c r="BZY98" s="71"/>
      <c r="BZZ98" s="71"/>
      <c r="CAA98" s="71"/>
      <c r="CAB98" s="71"/>
      <c r="CAC98" s="71"/>
      <c r="CAD98" s="71"/>
      <c r="CAE98" s="71"/>
      <c r="CAF98" s="71"/>
      <c r="CAG98" s="71"/>
      <c r="CAH98" s="71"/>
      <c r="CAI98" s="71"/>
      <c r="CAJ98" s="71"/>
      <c r="CAK98" s="71"/>
      <c r="CAL98" s="71"/>
      <c r="CAM98" s="71"/>
      <c r="CAN98" s="71"/>
      <c r="CAO98" s="71"/>
      <c r="CAP98" s="71"/>
      <c r="CAQ98" s="71"/>
      <c r="CAR98" s="71"/>
      <c r="CAS98" s="71"/>
      <c r="CAT98" s="71"/>
      <c r="CAU98" s="71"/>
      <c r="CAV98" s="71"/>
      <c r="CAW98" s="71"/>
      <c r="CAX98" s="71"/>
      <c r="CAY98" s="71"/>
      <c r="CAZ98" s="71"/>
      <c r="CBA98" s="71"/>
      <c r="CBB98" s="71"/>
      <c r="CBC98" s="71"/>
      <c r="CBD98" s="71"/>
      <c r="CBE98" s="71"/>
      <c r="CBF98" s="71"/>
      <c r="CBG98" s="71"/>
      <c r="CBH98" s="71"/>
      <c r="CBI98" s="71"/>
      <c r="CBJ98" s="71"/>
      <c r="CBK98" s="71"/>
      <c r="CBL98" s="71"/>
      <c r="CBM98" s="71"/>
      <c r="CBN98" s="71"/>
      <c r="CBO98" s="71"/>
      <c r="CBP98" s="71"/>
      <c r="CBQ98" s="71"/>
      <c r="CBR98" s="71"/>
      <c r="CBS98" s="71"/>
      <c r="CBT98" s="71"/>
      <c r="CBU98" s="71"/>
      <c r="CBV98" s="71"/>
      <c r="CBW98" s="71"/>
      <c r="CBX98" s="71"/>
      <c r="CBY98" s="86"/>
      <c r="CBZ98" s="71"/>
      <c r="CCA98" s="71"/>
      <c r="CCB98" s="71"/>
      <c r="CCC98" s="71"/>
      <c r="CCD98" s="71"/>
      <c r="CCE98" s="71"/>
      <c r="CCF98" s="71"/>
      <c r="CCG98" s="71"/>
      <c r="CCH98" s="71"/>
      <c r="CCI98" s="71"/>
      <c r="CCJ98" s="71"/>
      <c r="CCK98" s="71"/>
      <c r="CCL98" s="71"/>
      <c r="CCM98" s="71"/>
      <c r="CCN98" s="71"/>
      <c r="CCO98" s="71"/>
      <c r="CCP98" s="71"/>
      <c r="CCQ98" s="71"/>
      <c r="CCR98" s="71"/>
      <c r="CCS98" s="71"/>
      <c r="CCT98" s="71"/>
      <c r="CCU98" s="71"/>
      <c r="CCV98" s="71"/>
      <c r="CCW98" s="71"/>
      <c r="CCX98" s="71"/>
      <c r="CCY98" s="71"/>
      <c r="CCZ98" s="71"/>
      <c r="CDA98" s="71"/>
      <c r="CDB98" s="71"/>
      <c r="CDC98" s="71"/>
      <c r="CDD98" s="71"/>
      <c r="CDE98" s="71"/>
      <c r="CDF98" s="71"/>
      <c r="CDG98" s="71"/>
      <c r="CDH98" s="71"/>
      <c r="CDI98" s="71"/>
      <c r="CDJ98" s="71"/>
      <c r="CDK98" s="71"/>
      <c r="CDL98" s="71"/>
      <c r="CDM98" s="71"/>
      <c r="CDN98" s="71"/>
      <c r="CDO98" s="71"/>
      <c r="CDP98" s="71"/>
      <c r="CDQ98" s="71"/>
      <c r="CDR98" s="71"/>
      <c r="CDS98" s="71"/>
      <c r="CDT98" s="71"/>
      <c r="CDU98" s="71"/>
      <c r="CDV98" s="71"/>
      <c r="CDW98" s="71"/>
      <c r="CDX98" s="71"/>
      <c r="CDY98" s="71"/>
      <c r="CDZ98" s="71"/>
      <c r="CEA98" s="71"/>
      <c r="CEB98" s="71"/>
      <c r="CEC98" s="71"/>
      <c r="CED98" s="71"/>
      <c r="CEE98" s="71"/>
      <c r="CEF98" s="71"/>
      <c r="CEG98" s="86"/>
      <c r="CEH98" s="71"/>
      <c r="CEI98" s="71"/>
      <c r="CEJ98" s="71"/>
      <c r="CEK98" s="71"/>
      <c r="CEL98" s="71"/>
      <c r="CEM98" s="71"/>
      <c r="CEN98" s="71"/>
      <c r="CEO98" s="71"/>
      <c r="CEP98" s="71"/>
      <c r="CEQ98" s="71"/>
      <c r="CER98" s="71"/>
      <c r="CES98" s="71"/>
      <c r="CET98" s="71"/>
      <c r="CEU98" s="71"/>
      <c r="CEV98" s="71"/>
      <c r="CEW98" s="71"/>
      <c r="CEX98" s="71"/>
      <c r="CEY98" s="71"/>
      <c r="CEZ98" s="71"/>
      <c r="CFA98" s="71"/>
      <c r="CFB98" s="71"/>
      <c r="CFC98" s="71"/>
      <c r="CFD98" s="71"/>
      <c r="CFE98" s="71"/>
      <c r="CFF98" s="71"/>
      <c r="CFG98" s="71"/>
      <c r="CFH98" s="71"/>
      <c r="CFI98" s="71"/>
      <c r="CFJ98" s="71"/>
      <c r="CFK98" s="71"/>
      <c r="CFL98" s="71"/>
      <c r="CFM98" s="71"/>
      <c r="CFN98" s="71"/>
      <c r="CFO98" s="71"/>
      <c r="CFP98" s="71"/>
      <c r="CFQ98" s="71"/>
      <c r="CFR98" s="71"/>
      <c r="CFS98" s="71"/>
      <c r="CFT98" s="71"/>
      <c r="CFU98" s="71"/>
      <c r="CFV98" s="71"/>
      <c r="CFW98" s="71"/>
      <c r="CFX98" s="71"/>
      <c r="CFY98" s="71"/>
      <c r="CFZ98" s="71"/>
      <c r="CGA98" s="71"/>
      <c r="CGB98" s="71"/>
      <c r="CGC98" s="71"/>
      <c r="CGD98" s="71"/>
      <c r="CGE98" s="71"/>
      <c r="CGF98" s="71"/>
      <c r="CGG98" s="71"/>
      <c r="CGH98" s="71"/>
      <c r="CGI98" s="71"/>
      <c r="CGJ98" s="71"/>
      <c r="CGK98" s="71"/>
      <c r="CGL98" s="71"/>
      <c r="CGM98" s="71"/>
      <c r="CGN98" s="71"/>
      <c r="CGO98" s="86"/>
      <c r="CGP98" s="71"/>
      <c r="CGQ98" s="71"/>
      <c r="CGR98" s="71"/>
      <c r="CGS98" s="71"/>
      <c r="CGT98" s="71"/>
      <c r="CGU98" s="71"/>
      <c r="CGV98" s="71"/>
      <c r="CGW98" s="71"/>
      <c r="CGX98" s="71"/>
      <c r="CGY98" s="71"/>
      <c r="CGZ98" s="71"/>
      <c r="CHA98" s="71"/>
      <c r="CHB98" s="71"/>
      <c r="CHC98" s="71"/>
      <c r="CHD98" s="71"/>
      <c r="CHE98" s="71"/>
      <c r="CHF98" s="71"/>
      <c r="CHG98" s="71"/>
      <c r="CHH98" s="71"/>
      <c r="CHI98" s="71"/>
      <c r="CHJ98" s="71"/>
      <c r="CHK98" s="71"/>
      <c r="CHL98" s="71"/>
      <c r="CHM98" s="71"/>
      <c r="CHN98" s="71"/>
      <c r="CHO98" s="71"/>
      <c r="CHP98" s="71"/>
      <c r="CHQ98" s="71"/>
      <c r="CHR98" s="71"/>
      <c r="CHS98" s="71"/>
      <c r="CHT98" s="71"/>
      <c r="CHU98" s="71"/>
      <c r="CHV98" s="71"/>
      <c r="CHW98" s="71"/>
      <c r="CHX98" s="71"/>
      <c r="CHY98" s="71"/>
      <c r="CHZ98" s="71"/>
      <c r="CIA98" s="71"/>
      <c r="CIB98" s="71"/>
      <c r="CIC98" s="71"/>
      <c r="CID98" s="71"/>
      <c r="CIE98" s="71"/>
      <c r="CIF98" s="71"/>
      <c r="CIG98" s="71"/>
      <c r="CIH98" s="71"/>
      <c r="CII98" s="71"/>
      <c r="CIJ98" s="71"/>
      <c r="CIK98" s="71"/>
      <c r="CIL98" s="71"/>
      <c r="CIM98" s="71"/>
      <c r="CIN98" s="71"/>
      <c r="CIO98" s="71"/>
      <c r="CIP98" s="71"/>
      <c r="CIQ98" s="71"/>
      <c r="CIR98" s="71"/>
      <c r="CIS98" s="71"/>
      <c r="CIT98" s="71"/>
      <c r="CIU98" s="71"/>
      <c r="CIV98" s="71"/>
      <c r="CIW98" s="86"/>
      <c r="CIX98" s="71"/>
      <c r="CIY98" s="71"/>
      <c r="CIZ98" s="71"/>
      <c r="CJA98" s="71"/>
      <c r="CJB98" s="71"/>
      <c r="CJC98" s="71"/>
      <c r="CJD98" s="71"/>
      <c r="CJE98" s="71"/>
      <c r="CJF98" s="71"/>
      <c r="CJG98" s="71"/>
      <c r="CJH98" s="71"/>
      <c r="CJI98" s="71"/>
      <c r="CJJ98" s="71"/>
      <c r="CJK98" s="71"/>
      <c r="CJL98" s="71"/>
      <c r="CJM98" s="71"/>
      <c r="CJN98" s="71"/>
      <c r="CJO98" s="71"/>
      <c r="CJP98" s="71"/>
      <c r="CJQ98" s="71"/>
      <c r="CJR98" s="71"/>
      <c r="CJS98" s="71"/>
      <c r="CJT98" s="71"/>
      <c r="CJU98" s="71"/>
      <c r="CJV98" s="71"/>
      <c r="CJW98" s="71"/>
      <c r="CJX98" s="71"/>
      <c r="CJY98" s="71"/>
      <c r="CJZ98" s="71"/>
      <c r="CKA98" s="71"/>
      <c r="CKB98" s="71"/>
      <c r="CKC98" s="71"/>
      <c r="CKD98" s="71"/>
      <c r="CKE98" s="71"/>
      <c r="CKF98" s="71"/>
      <c r="CKG98" s="71"/>
      <c r="CKH98" s="71"/>
      <c r="CKI98" s="71"/>
      <c r="CKJ98" s="71"/>
      <c r="CKK98" s="71"/>
      <c r="CKL98" s="71"/>
      <c r="CKM98" s="71"/>
      <c r="CKN98" s="71"/>
      <c r="CKO98" s="71"/>
      <c r="CKP98" s="71"/>
      <c r="CKQ98" s="71"/>
      <c r="CKR98" s="71"/>
      <c r="CKS98" s="71"/>
      <c r="CKT98" s="71"/>
      <c r="CKU98" s="71"/>
      <c r="CKV98" s="71"/>
      <c r="CKW98" s="71"/>
      <c r="CKX98" s="71"/>
      <c r="CKY98" s="71"/>
      <c r="CKZ98" s="71"/>
      <c r="CLA98" s="71"/>
      <c r="CLB98" s="71"/>
      <c r="CLC98" s="71"/>
      <c r="CLD98" s="71"/>
      <c r="CLE98" s="86"/>
      <c r="CLF98" s="71"/>
      <c r="CLG98" s="71"/>
      <c r="CLH98" s="71"/>
      <c r="CLI98" s="71"/>
      <c r="CLJ98" s="71"/>
      <c r="CLK98" s="71"/>
      <c r="CLL98" s="71"/>
      <c r="CLM98" s="71"/>
      <c r="CLN98" s="71"/>
      <c r="CLO98" s="71"/>
      <c r="CLP98" s="71"/>
      <c r="CLQ98" s="71"/>
      <c r="CLR98" s="71"/>
      <c r="CLS98" s="71"/>
      <c r="CLT98" s="71"/>
      <c r="CLU98" s="71"/>
      <c r="CLV98" s="71"/>
      <c r="CLW98" s="71"/>
      <c r="CLX98" s="71"/>
      <c r="CLY98" s="71"/>
      <c r="CLZ98" s="71"/>
      <c r="CMA98" s="71"/>
      <c r="CMB98" s="71"/>
      <c r="CMC98" s="71"/>
      <c r="CMD98" s="71"/>
      <c r="CME98" s="71"/>
      <c r="CMF98" s="71"/>
      <c r="CMG98" s="71"/>
      <c r="CMH98" s="71"/>
      <c r="CMI98" s="71"/>
      <c r="CMJ98" s="71"/>
      <c r="CMK98" s="71"/>
      <c r="CML98" s="71"/>
      <c r="CMM98" s="71"/>
      <c r="CMN98" s="71"/>
      <c r="CMO98" s="71"/>
      <c r="CMP98" s="71"/>
      <c r="CMQ98" s="71"/>
      <c r="CMR98" s="71"/>
      <c r="CMS98" s="71"/>
      <c r="CMT98" s="71"/>
      <c r="CMU98" s="71"/>
      <c r="CMV98" s="71"/>
      <c r="CMW98" s="71"/>
      <c r="CMX98" s="71"/>
      <c r="CMY98" s="71"/>
      <c r="CMZ98" s="71"/>
      <c r="CNA98" s="71"/>
      <c r="CNB98" s="71"/>
      <c r="CNC98" s="71"/>
      <c r="CND98" s="71"/>
      <c r="CNE98" s="71"/>
      <c r="CNF98" s="71"/>
      <c r="CNG98" s="71"/>
      <c r="CNH98" s="71"/>
      <c r="CNI98" s="71"/>
      <c r="CNJ98" s="71"/>
      <c r="CNK98" s="71"/>
      <c r="CNL98" s="71"/>
      <c r="CNM98" s="86"/>
      <c r="CNN98" s="71"/>
      <c r="CNO98" s="71"/>
      <c r="CNP98" s="71"/>
      <c r="CNQ98" s="71"/>
      <c r="CNR98" s="71"/>
      <c r="CNS98" s="71"/>
      <c r="CNT98" s="71"/>
      <c r="CNU98" s="71"/>
      <c r="CNV98" s="71"/>
      <c r="CNW98" s="71"/>
      <c r="CNX98" s="71"/>
      <c r="CNY98" s="71"/>
      <c r="CNZ98" s="71"/>
      <c r="COA98" s="71"/>
      <c r="COB98" s="71"/>
      <c r="COC98" s="71"/>
      <c r="COD98" s="71"/>
      <c r="COE98" s="71"/>
      <c r="COF98" s="71"/>
      <c r="COG98" s="71"/>
      <c r="COH98" s="71"/>
      <c r="COI98" s="71"/>
      <c r="COJ98" s="71"/>
      <c r="COK98" s="71"/>
      <c r="COL98" s="71"/>
      <c r="COM98" s="71"/>
      <c r="CON98" s="71"/>
      <c r="COO98" s="71"/>
      <c r="COP98" s="71"/>
      <c r="COQ98" s="71"/>
      <c r="COR98" s="71"/>
      <c r="COS98" s="71"/>
      <c r="COT98" s="71"/>
      <c r="COU98" s="71"/>
      <c r="COV98" s="71"/>
      <c r="COW98" s="71"/>
      <c r="COX98" s="71"/>
      <c r="COY98" s="71"/>
      <c r="COZ98" s="71"/>
      <c r="CPA98" s="71"/>
      <c r="CPB98" s="71"/>
      <c r="CPC98" s="71"/>
      <c r="CPD98" s="71"/>
      <c r="CPE98" s="71"/>
      <c r="CPF98" s="71"/>
      <c r="CPG98" s="71"/>
      <c r="CPH98" s="71"/>
      <c r="CPI98" s="71"/>
      <c r="CPJ98" s="71"/>
      <c r="CPK98" s="71"/>
      <c r="CPL98" s="71"/>
      <c r="CPM98" s="71"/>
      <c r="CPN98" s="71"/>
      <c r="CPO98" s="71"/>
      <c r="CPP98" s="71"/>
      <c r="CPQ98" s="71"/>
      <c r="CPR98" s="71"/>
      <c r="CPS98" s="71"/>
      <c r="CPT98" s="71"/>
      <c r="CPU98" s="86"/>
      <c r="CPV98" s="71"/>
      <c r="CPW98" s="71"/>
      <c r="CPX98" s="71"/>
      <c r="CPY98" s="71"/>
      <c r="CPZ98" s="71"/>
      <c r="CQA98" s="71"/>
      <c r="CQB98" s="71"/>
      <c r="CQC98" s="71"/>
      <c r="CQD98" s="71"/>
      <c r="CQE98" s="71"/>
      <c r="CQF98" s="71"/>
      <c r="CQG98" s="71"/>
      <c r="CQH98" s="71"/>
      <c r="CQI98" s="71"/>
      <c r="CQJ98" s="71"/>
      <c r="CQK98" s="71"/>
      <c r="CQL98" s="71"/>
      <c r="CQM98" s="71"/>
      <c r="CQN98" s="71"/>
      <c r="CQO98" s="71"/>
      <c r="CQP98" s="71"/>
      <c r="CQQ98" s="71"/>
      <c r="CQR98" s="71"/>
      <c r="CQS98" s="71"/>
      <c r="CQT98" s="71"/>
      <c r="CQU98" s="71"/>
      <c r="CQV98" s="71"/>
      <c r="CQW98" s="71"/>
      <c r="CQX98" s="71"/>
      <c r="CQY98" s="71"/>
      <c r="CQZ98" s="71"/>
      <c r="CRA98" s="71"/>
      <c r="CRB98" s="71"/>
      <c r="CRC98" s="71"/>
      <c r="CRD98" s="71"/>
      <c r="CRE98" s="71"/>
      <c r="CRF98" s="71"/>
      <c r="CRG98" s="71"/>
      <c r="CRH98" s="71"/>
      <c r="CRI98" s="71"/>
      <c r="CRJ98" s="71"/>
      <c r="CRK98" s="71"/>
      <c r="CRL98" s="71"/>
      <c r="CRM98" s="71"/>
      <c r="CRN98" s="71"/>
      <c r="CRO98" s="71"/>
      <c r="CRP98" s="71"/>
      <c r="CRQ98" s="71"/>
      <c r="CRR98" s="71"/>
      <c r="CRS98" s="71"/>
      <c r="CRT98" s="71"/>
      <c r="CRU98" s="71"/>
      <c r="CRV98" s="71"/>
      <c r="CRW98" s="71"/>
      <c r="CRX98" s="71"/>
      <c r="CRY98" s="71"/>
      <c r="CRZ98" s="71"/>
      <c r="CSA98" s="71"/>
      <c r="CSB98" s="71"/>
      <c r="CSC98" s="86"/>
      <c r="CSD98" s="90"/>
    </row>
    <row r="99" spans="2:25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89"/>
      <c r="BLW99" s="89"/>
      <c r="BLX99" s="89"/>
      <c r="BLY99" s="89"/>
      <c r="BLZ99" s="89"/>
      <c r="BMA99" s="89"/>
      <c r="BMB99" s="89"/>
      <c r="BMC99" s="89"/>
      <c r="BMD99" s="89"/>
      <c r="BME99" s="89"/>
      <c r="BMF99" s="89"/>
      <c r="BMG99" s="89"/>
      <c r="BMH99" s="89"/>
      <c r="BMI99" s="89"/>
      <c r="BMJ99" s="89"/>
      <c r="BMK99" s="89"/>
      <c r="BML99" s="89"/>
      <c r="BMM99" s="89"/>
      <c r="BMN99" s="89"/>
      <c r="BMO99" s="89"/>
      <c r="BMP99" s="89"/>
      <c r="BMQ99" s="89"/>
      <c r="BMR99" s="89"/>
      <c r="BMS99" s="89"/>
      <c r="BMT99" s="89"/>
      <c r="BMU99" s="89"/>
      <c r="BMV99" s="89"/>
      <c r="BMW99" s="89"/>
      <c r="BMX99" s="89"/>
      <c r="BMY99" s="89"/>
      <c r="BMZ99" s="89"/>
      <c r="BNA99" s="89"/>
      <c r="BNB99" s="89"/>
      <c r="BNC99" s="89"/>
      <c r="BND99" s="89"/>
      <c r="BNE99" s="89"/>
      <c r="BNF99" s="89"/>
      <c r="BNG99" s="89"/>
      <c r="BNH99" s="89"/>
      <c r="BNI99" s="89"/>
      <c r="BNJ99" s="89"/>
      <c r="BNK99" s="89"/>
      <c r="BNL99" s="89"/>
      <c r="BNM99" s="89"/>
      <c r="BNN99" s="89"/>
      <c r="BNO99" s="89"/>
      <c r="BNP99" s="89"/>
      <c r="BNQ99" s="89"/>
      <c r="BNR99" s="89"/>
      <c r="BNS99" s="89"/>
      <c r="BNT99" s="89"/>
      <c r="BNU99" s="89"/>
      <c r="BNV99" s="89"/>
      <c r="BNW99" s="89"/>
      <c r="BNX99" s="89"/>
      <c r="BNY99" s="89"/>
      <c r="BNZ99" s="89"/>
      <c r="BOA99" s="89"/>
      <c r="BOB99" s="89"/>
      <c r="BOC99" s="89"/>
      <c r="BOD99" s="89"/>
      <c r="BOE99" s="89"/>
      <c r="BOF99" s="89"/>
      <c r="BOG99" s="89"/>
      <c r="BOH99" s="89"/>
      <c r="BOI99" s="89"/>
      <c r="BOJ99" s="89"/>
      <c r="BOK99" s="89"/>
      <c r="BOL99" s="89"/>
      <c r="BOM99" s="89"/>
      <c r="BON99" s="89"/>
      <c r="BOO99" s="89"/>
      <c r="BOP99" s="89"/>
      <c r="BOQ99" s="89"/>
      <c r="BOR99" s="89"/>
      <c r="BOS99" s="89"/>
      <c r="BOT99" s="89"/>
      <c r="BOU99" s="89"/>
      <c r="BOV99" s="89"/>
      <c r="BOW99" s="89"/>
      <c r="BOX99" s="89"/>
      <c r="BOY99" s="89"/>
      <c r="BOZ99" s="89"/>
      <c r="BPA99" s="89"/>
      <c r="BPB99" s="89"/>
      <c r="BPC99" s="89"/>
      <c r="BPD99" s="89"/>
      <c r="BPE99" s="89"/>
      <c r="BPF99" s="89"/>
      <c r="BPG99" s="89"/>
      <c r="BPH99" s="89"/>
      <c r="BPI99" s="89"/>
      <c r="BPJ99" s="89"/>
      <c r="BPK99" s="89"/>
      <c r="BPL99" s="89"/>
      <c r="BPM99" s="89"/>
      <c r="BPN99" s="89"/>
      <c r="BPO99" s="89"/>
      <c r="BPP99" s="89"/>
      <c r="BPQ99" s="89"/>
      <c r="BPR99" s="89"/>
      <c r="BPS99" s="89"/>
      <c r="BPT99" s="89"/>
      <c r="BPU99" s="89"/>
      <c r="BPV99" s="89"/>
      <c r="BPW99" s="89"/>
      <c r="BPX99" s="89"/>
      <c r="BPY99" s="89"/>
      <c r="BPZ99" s="89"/>
      <c r="BQA99" s="89"/>
      <c r="BQB99" s="89"/>
      <c r="BQC99" s="89"/>
      <c r="BQD99" s="89"/>
      <c r="BQE99" s="89"/>
      <c r="BQF99" s="89"/>
      <c r="BQG99" s="89"/>
      <c r="BQH99" s="89"/>
      <c r="BQI99" s="89"/>
      <c r="BQJ99" s="89"/>
      <c r="BQK99" s="89"/>
      <c r="BQL99" s="89"/>
      <c r="BQM99" s="89"/>
      <c r="BQN99" s="89"/>
      <c r="BQO99" s="89"/>
      <c r="BQP99" s="89"/>
      <c r="BQQ99" s="89"/>
      <c r="BQR99" s="89"/>
      <c r="BQS99" s="89"/>
      <c r="BQT99" s="89"/>
      <c r="BQU99" s="89"/>
      <c r="BQV99" s="89"/>
      <c r="BQW99" s="89"/>
      <c r="BQX99" s="89"/>
      <c r="BQY99" s="89"/>
      <c r="BQZ99" s="89"/>
      <c r="BRA99" s="89"/>
      <c r="BRB99" s="89"/>
      <c r="BRC99" s="89"/>
      <c r="BRD99" s="89"/>
      <c r="BRE99" s="89"/>
      <c r="BRF99" s="89"/>
      <c r="BRG99" s="89"/>
      <c r="BRH99" s="89"/>
      <c r="BRI99" s="89"/>
      <c r="BRJ99" s="89"/>
      <c r="BRK99" s="89"/>
      <c r="BRL99" s="89"/>
      <c r="BRM99" s="89"/>
      <c r="BRN99" s="89"/>
      <c r="BRO99" s="89"/>
      <c r="BRP99" s="89"/>
      <c r="BRQ99" s="89"/>
      <c r="BRR99" s="89"/>
      <c r="BRS99" s="89"/>
      <c r="BRT99" s="89"/>
      <c r="BRU99" s="89"/>
      <c r="BRV99" s="89"/>
      <c r="BRW99" s="89"/>
      <c r="BRX99" s="89"/>
      <c r="BRY99" s="89"/>
      <c r="BRZ99" s="89"/>
      <c r="BSA99" s="89"/>
      <c r="BSB99" s="89"/>
      <c r="BSC99" s="89"/>
      <c r="BSD99" s="89"/>
      <c r="BSE99" s="89"/>
      <c r="BSF99" s="89"/>
      <c r="BSG99" s="89"/>
      <c r="BSH99" s="89"/>
      <c r="BSI99" s="89"/>
      <c r="BSJ99" s="89"/>
      <c r="BSK99" s="89"/>
      <c r="BSL99" s="89"/>
      <c r="BSM99" s="89"/>
      <c r="BSN99" s="89"/>
      <c r="BSO99" s="89"/>
      <c r="BSP99" s="89"/>
      <c r="BSQ99" s="89"/>
      <c r="BSR99" s="89"/>
      <c r="BSS99" s="89"/>
      <c r="BST99" s="89"/>
      <c r="BSU99" s="89"/>
      <c r="BSV99" s="89"/>
      <c r="BSW99" s="89"/>
      <c r="BSX99" s="89"/>
      <c r="BSY99" s="89"/>
      <c r="BSZ99" s="89"/>
      <c r="BTA99" s="89"/>
      <c r="BTB99" s="89"/>
      <c r="BTC99" s="89"/>
      <c r="BTD99" s="89"/>
      <c r="BTE99" s="89"/>
      <c r="BTF99" s="89"/>
      <c r="BTG99" s="89"/>
      <c r="BTH99" s="89"/>
      <c r="BTI99" s="89"/>
      <c r="BTJ99" s="89"/>
      <c r="BTK99" s="89"/>
      <c r="BTL99" s="89"/>
      <c r="BTM99" s="89"/>
      <c r="BTN99" s="89"/>
      <c r="BTO99" s="89"/>
      <c r="BTP99" s="89"/>
      <c r="BTQ99" s="89"/>
      <c r="BTR99" s="89"/>
      <c r="BTS99" s="89"/>
      <c r="BTT99" s="89"/>
      <c r="BTU99" s="89"/>
      <c r="BTV99" s="89"/>
      <c r="BTW99" s="89"/>
      <c r="BTX99" s="89"/>
      <c r="BTY99" s="89"/>
      <c r="BTZ99" s="89"/>
      <c r="BUA99" s="89"/>
      <c r="BUB99" s="89"/>
      <c r="BUC99" s="89"/>
      <c r="BUD99" s="89"/>
      <c r="BUE99" s="89"/>
      <c r="BUF99" s="89"/>
      <c r="BUG99" s="89"/>
      <c r="BUH99" s="89"/>
      <c r="BUI99" s="89"/>
      <c r="BUJ99" s="89"/>
      <c r="BUK99" s="89"/>
      <c r="BUL99" s="89"/>
      <c r="BUM99" s="89"/>
      <c r="BUN99" s="89"/>
      <c r="BUO99" s="89"/>
      <c r="BUP99" s="89"/>
      <c r="BUQ99" s="89"/>
      <c r="BUR99" s="89"/>
      <c r="BUS99" s="89"/>
      <c r="BUT99" s="89"/>
      <c r="BUU99" s="89"/>
      <c r="BUV99" s="89"/>
      <c r="BUW99" s="89"/>
      <c r="BUX99" s="89"/>
      <c r="BUY99" s="89"/>
      <c r="BUZ99" s="89"/>
      <c r="BVA99" s="89"/>
      <c r="BVB99" s="89"/>
      <c r="BVC99" s="89"/>
      <c r="BVD99" s="89"/>
      <c r="BVE99" s="89"/>
      <c r="BVF99" s="89"/>
      <c r="BVG99" s="89"/>
      <c r="BVH99" s="89"/>
      <c r="BVI99" s="89"/>
      <c r="BVJ99" s="89"/>
      <c r="BVK99" s="89"/>
      <c r="BVL99" s="89"/>
      <c r="BVM99" s="89"/>
      <c r="BVN99" s="89"/>
      <c r="BVO99" s="89"/>
      <c r="BVP99" s="89"/>
      <c r="BVQ99" s="89"/>
      <c r="BVR99" s="89"/>
      <c r="BVS99" s="89"/>
      <c r="BVT99" s="89"/>
      <c r="BVU99" s="89"/>
      <c r="BVV99" s="89"/>
      <c r="BVW99" s="89"/>
      <c r="BVX99" s="89"/>
      <c r="BVY99" s="89"/>
      <c r="BVZ99" s="89"/>
      <c r="BWA99" s="89"/>
      <c r="BWB99" s="89"/>
      <c r="BWC99" s="89"/>
      <c r="BWD99" s="89"/>
      <c r="BWE99" s="89"/>
      <c r="BWF99" s="89"/>
      <c r="BWG99" s="89"/>
      <c r="BWH99" s="89"/>
      <c r="BWI99" s="89"/>
      <c r="BWJ99" s="89"/>
      <c r="BWK99" s="89"/>
      <c r="BWL99" s="89"/>
      <c r="BWM99" s="89"/>
      <c r="BWN99" s="89"/>
      <c r="BWO99" s="89"/>
      <c r="BWP99" s="89"/>
      <c r="BWQ99" s="89"/>
      <c r="BWR99" s="89"/>
      <c r="BWS99" s="89"/>
      <c r="BWT99" s="89"/>
      <c r="BWU99" s="89"/>
      <c r="BWV99" s="89"/>
      <c r="BWW99" s="89"/>
      <c r="BWX99" s="89"/>
      <c r="BWY99" s="89"/>
      <c r="BWZ99" s="89"/>
      <c r="BXA99" s="89"/>
      <c r="BXB99" s="89"/>
      <c r="BXC99" s="89"/>
      <c r="BXD99" s="89"/>
      <c r="BXE99" s="89"/>
      <c r="BXF99" s="89"/>
      <c r="BXG99" s="89"/>
      <c r="BXH99" s="89"/>
      <c r="BXI99" s="89"/>
      <c r="BXJ99" s="89"/>
      <c r="BXK99" s="89"/>
      <c r="BXL99" s="89"/>
      <c r="BXM99" s="89"/>
      <c r="BXN99" s="89"/>
      <c r="BXO99" s="89"/>
      <c r="BXP99" s="89"/>
      <c r="BXQ99" s="89"/>
      <c r="BXR99" s="89"/>
      <c r="BXS99" s="89"/>
      <c r="BXT99" s="89"/>
      <c r="BXU99" s="89"/>
      <c r="BXV99" s="89"/>
      <c r="BXW99" s="89"/>
      <c r="BXX99" s="89"/>
      <c r="BXY99" s="89"/>
      <c r="BXZ99" s="89"/>
      <c r="BYA99" s="89"/>
      <c r="BYB99" s="89"/>
      <c r="BYC99" s="89"/>
      <c r="BYD99" s="89"/>
      <c r="BYE99" s="89"/>
      <c r="BYF99" s="89"/>
      <c r="BYG99" s="89"/>
      <c r="BYH99" s="89"/>
      <c r="BYI99" s="89"/>
      <c r="BYJ99" s="89"/>
      <c r="BYK99" s="89"/>
      <c r="BYL99" s="89"/>
      <c r="BYM99" s="89"/>
      <c r="BYN99" s="89"/>
      <c r="BYO99" s="89"/>
      <c r="BYP99" s="89"/>
      <c r="BYQ99" s="89"/>
      <c r="BYR99" s="89"/>
      <c r="BYS99" s="89"/>
      <c r="BYT99" s="89"/>
      <c r="BYU99" s="89"/>
      <c r="BYV99" s="89"/>
      <c r="BYW99" s="89"/>
      <c r="BYX99" s="89"/>
      <c r="BYY99" s="89"/>
      <c r="BYZ99" s="89"/>
      <c r="BZA99" s="89"/>
      <c r="BZB99" s="89"/>
      <c r="BZC99" s="89"/>
      <c r="BZD99" s="89"/>
      <c r="BZE99" s="89"/>
      <c r="BZF99" s="89"/>
      <c r="BZG99" s="89"/>
      <c r="BZH99" s="89"/>
      <c r="BZI99" s="89"/>
      <c r="BZJ99" s="89"/>
      <c r="BZK99" s="89"/>
      <c r="BZL99" s="89"/>
      <c r="BZM99" s="89"/>
      <c r="BZN99" s="89"/>
      <c r="BZO99" s="89"/>
      <c r="BZP99" s="89"/>
      <c r="BZQ99" s="89"/>
      <c r="BZR99" s="89"/>
      <c r="BZS99" s="89"/>
      <c r="BZT99" s="89"/>
      <c r="BZU99" s="89"/>
      <c r="BZV99" s="89"/>
      <c r="BZW99" s="89"/>
      <c r="BZX99" s="89"/>
      <c r="BZY99" s="89"/>
      <c r="BZZ99" s="89"/>
      <c r="CAA99" s="89"/>
      <c r="CAB99" s="89"/>
      <c r="CAC99" s="89"/>
      <c r="CAD99" s="89"/>
      <c r="CAE99" s="89"/>
      <c r="CAF99" s="89"/>
      <c r="CAG99" s="89"/>
      <c r="CAH99" s="89"/>
      <c r="CAI99" s="89"/>
      <c r="CAJ99" s="89"/>
      <c r="CAK99" s="89"/>
      <c r="CAL99" s="89"/>
      <c r="CAM99" s="89"/>
      <c r="CAN99" s="89"/>
      <c r="CAO99" s="89"/>
      <c r="CAP99" s="89"/>
      <c r="CAQ99" s="89"/>
      <c r="CAR99" s="89"/>
      <c r="CAS99" s="89"/>
      <c r="CAT99" s="89"/>
      <c r="CAU99" s="89"/>
      <c r="CAV99" s="89"/>
      <c r="CAW99" s="89"/>
      <c r="CAX99" s="89"/>
      <c r="CAY99" s="89"/>
      <c r="CAZ99" s="89"/>
      <c r="CBA99" s="89"/>
      <c r="CBB99" s="89"/>
      <c r="CBC99" s="89"/>
      <c r="CBD99" s="89"/>
      <c r="CBE99" s="89"/>
      <c r="CBF99" s="89"/>
      <c r="CBG99" s="89"/>
      <c r="CBH99" s="89"/>
      <c r="CBI99" s="89"/>
      <c r="CBJ99" s="89"/>
      <c r="CBK99" s="89"/>
      <c r="CBL99" s="89"/>
      <c r="CBM99" s="89"/>
      <c r="CBN99" s="89"/>
      <c r="CBO99" s="89"/>
      <c r="CBP99" s="89"/>
      <c r="CBQ99" s="89"/>
      <c r="CBR99" s="89"/>
      <c r="CBS99" s="89"/>
      <c r="CBT99" s="89"/>
      <c r="CBU99" s="89"/>
      <c r="CBV99" s="89"/>
      <c r="CBW99" s="89"/>
      <c r="CBX99" s="89"/>
      <c r="CBY99" s="89"/>
      <c r="CBZ99" s="89"/>
      <c r="CCA99" s="89"/>
      <c r="CCB99" s="89"/>
      <c r="CCC99" s="89"/>
      <c r="CCD99" s="89"/>
      <c r="CCE99" s="89"/>
      <c r="CCF99" s="89"/>
      <c r="CCG99" s="89"/>
      <c r="CCH99" s="89"/>
      <c r="CCI99" s="89"/>
      <c r="CCJ99" s="89"/>
      <c r="CCK99" s="89"/>
      <c r="CCL99" s="89"/>
      <c r="CCM99" s="89"/>
      <c r="CCN99" s="89"/>
      <c r="CCO99" s="89"/>
      <c r="CCP99" s="89"/>
      <c r="CCQ99" s="89"/>
      <c r="CCR99" s="89"/>
      <c r="CCS99" s="89"/>
      <c r="CCT99" s="89"/>
      <c r="CCU99" s="89"/>
      <c r="CCV99" s="89"/>
      <c r="CCW99" s="89"/>
      <c r="CCX99" s="89"/>
      <c r="CCY99" s="89"/>
      <c r="CCZ99" s="89"/>
      <c r="CDA99" s="89"/>
      <c r="CDB99" s="89"/>
      <c r="CDC99" s="89"/>
      <c r="CDD99" s="89"/>
      <c r="CDE99" s="89"/>
      <c r="CDF99" s="89"/>
      <c r="CDG99" s="89"/>
      <c r="CDH99" s="89"/>
      <c r="CDI99" s="89"/>
      <c r="CDJ99" s="89"/>
      <c r="CDK99" s="89"/>
      <c r="CDL99" s="89"/>
      <c r="CDM99" s="89"/>
      <c r="CDN99" s="89"/>
      <c r="CDO99" s="89"/>
      <c r="CDP99" s="89"/>
      <c r="CDQ99" s="89"/>
      <c r="CDR99" s="89"/>
      <c r="CDS99" s="89"/>
      <c r="CDT99" s="89"/>
      <c r="CDU99" s="89"/>
      <c r="CDV99" s="89"/>
      <c r="CDW99" s="89"/>
      <c r="CDX99" s="89"/>
      <c r="CDY99" s="89"/>
      <c r="CDZ99" s="89"/>
      <c r="CEA99" s="89"/>
      <c r="CEB99" s="89"/>
      <c r="CEC99" s="89"/>
      <c r="CED99" s="89"/>
      <c r="CEE99" s="89"/>
      <c r="CEF99" s="89"/>
      <c r="CEG99" s="89"/>
      <c r="CEH99" s="89"/>
      <c r="CEI99" s="89"/>
      <c r="CEJ99" s="89"/>
      <c r="CEK99" s="89"/>
      <c r="CEL99" s="89"/>
      <c r="CEM99" s="89"/>
      <c r="CEN99" s="89"/>
      <c r="CEO99" s="89"/>
      <c r="CEP99" s="89"/>
      <c r="CEQ99" s="89"/>
      <c r="CER99" s="89"/>
      <c r="CES99" s="89"/>
      <c r="CET99" s="89"/>
      <c r="CEU99" s="89"/>
      <c r="CEV99" s="89"/>
      <c r="CEW99" s="89"/>
      <c r="CEX99" s="89"/>
      <c r="CEY99" s="89"/>
      <c r="CEZ99" s="89"/>
      <c r="CFA99" s="89"/>
      <c r="CFB99" s="89"/>
      <c r="CFC99" s="89"/>
      <c r="CFD99" s="89"/>
      <c r="CFE99" s="89"/>
      <c r="CFF99" s="89"/>
      <c r="CFG99" s="89"/>
      <c r="CFH99" s="89"/>
      <c r="CFI99" s="89"/>
      <c r="CFJ99" s="89"/>
      <c r="CFK99" s="89"/>
      <c r="CFL99" s="89"/>
      <c r="CFM99" s="89"/>
      <c r="CFN99" s="89"/>
      <c r="CFO99" s="89"/>
      <c r="CFP99" s="89"/>
      <c r="CFQ99" s="89"/>
      <c r="CFR99" s="89"/>
      <c r="CFS99" s="89"/>
      <c r="CFT99" s="89"/>
      <c r="CFU99" s="89"/>
      <c r="CFV99" s="89"/>
      <c r="CFW99" s="89"/>
      <c r="CFX99" s="89"/>
      <c r="CFY99" s="89"/>
      <c r="CFZ99" s="89"/>
      <c r="CGA99" s="89"/>
      <c r="CGB99" s="89"/>
      <c r="CGC99" s="89"/>
      <c r="CGD99" s="89"/>
      <c r="CGE99" s="89"/>
      <c r="CGF99" s="89"/>
      <c r="CGG99" s="89"/>
      <c r="CGH99" s="89"/>
      <c r="CGI99" s="89"/>
      <c r="CGJ99" s="89"/>
      <c r="CGK99" s="89"/>
      <c r="CGL99" s="89"/>
      <c r="CGM99" s="89"/>
      <c r="CGN99" s="89"/>
      <c r="CGO99" s="89"/>
      <c r="CGP99" s="89"/>
      <c r="CGQ99" s="89"/>
      <c r="CGR99" s="89"/>
      <c r="CGS99" s="89"/>
      <c r="CGT99" s="89"/>
      <c r="CGU99" s="89"/>
      <c r="CGV99" s="89"/>
      <c r="CGW99" s="89"/>
      <c r="CGX99" s="89"/>
      <c r="CGY99" s="89"/>
      <c r="CGZ99" s="89"/>
      <c r="CHA99" s="89"/>
      <c r="CHB99" s="89"/>
      <c r="CHC99" s="89"/>
      <c r="CHD99" s="89"/>
      <c r="CHE99" s="89"/>
      <c r="CHF99" s="89"/>
      <c r="CHG99" s="89"/>
      <c r="CHH99" s="89"/>
      <c r="CHI99" s="89"/>
      <c r="CHJ99" s="89"/>
      <c r="CHK99" s="89"/>
      <c r="CHL99" s="89"/>
      <c r="CHM99" s="89"/>
      <c r="CHN99" s="89"/>
      <c r="CHO99" s="89"/>
      <c r="CHP99" s="89"/>
      <c r="CHQ99" s="89"/>
      <c r="CHR99" s="89"/>
      <c r="CHS99" s="89"/>
      <c r="CHT99" s="89"/>
      <c r="CHU99" s="89"/>
      <c r="CHV99" s="89"/>
      <c r="CHW99" s="89"/>
      <c r="CHX99" s="89"/>
      <c r="CHY99" s="89"/>
      <c r="CHZ99" s="89"/>
      <c r="CIA99" s="89"/>
      <c r="CIB99" s="89"/>
      <c r="CIC99" s="89"/>
      <c r="CID99" s="89"/>
      <c r="CIE99" s="89"/>
      <c r="CIF99" s="89"/>
      <c r="CIG99" s="89"/>
      <c r="CIH99" s="89"/>
      <c r="CII99" s="89"/>
      <c r="CIJ99" s="89"/>
      <c r="CIK99" s="89"/>
      <c r="CIL99" s="89"/>
      <c r="CIM99" s="89"/>
      <c r="CIN99" s="89"/>
      <c r="CIO99" s="89"/>
      <c r="CIP99" s="89"/>
      <c r="CIQ99" s="89"/>
      <c r="CIR99" s="89"/>
      <c r="CIS99" s="89"/>
      <c r="CIT99" s="89"/>
      <c r="CIU99" s="89"/>
      <c r="CIV99" s="89"/>
      <c r="CIW99" s="89"/>
      <c r="CIX99" s="89"/>
      <c r="CIY99" s="89"/>
      <c r="CIZ99" s="89"/>
      <c r="CJA99" s="89"/>
      <c r="CJB99" s="89"/>
      <c r="CJC99" s="89"/>
      <c r="CJD99" s="89"/>
      <c r="CJE99" s="89"/>
      <c r="CJF99" s="89"/>
      <c r="CJG99" s="89"/>
      <c r="CJH99" s="89"/>
      <c r="CJI99" s="89"/>
      <c r="CJJ99" s="89"/>
      <c r="CJK99" s="89"/>
      <c r="CJL99" s="89"/>
      <c r="CJM99" s="89"/>
      <c r="CJN99" s="89"/>
      <c r="CJO99" s="89"/>
      <c r="CJP99" s="89"/>
      <c r="CJQ99" s="89"/>
      <c r="CJR99" s="89"/>
      <c r="CJS99" s="89"/>
      <c r="CJT99" s="89"/>
      <c r="CJU99" s="89"/>
      <c r="CJV99" s="89"/>
      <c r="CJW99" s="89"/>
      <c r="CJX99" s="89"/>
      <c r="CJY99" s="89"/>
      <c r="CJZ99" s="89"/>
      <c r="CKA99" s="89"/>
      <c r="CKB99" s="89"/>
      <c r="CKC99" s="89"/>
      <c r="CKD99" s="89"/>
      <c r="CKE99" s="89"/>
      <c r="CKF99" s="89"/>
      <c r="CKG99" s="89"/>
      <c r="CKH99" s="89"/>
      <c r="CKI99" s="89"/>
      <c r="CKJ99" s="89"/>
      <c r="CKK99" s="89"/>
      <c r="CKL99" s="89"/>
      <c r="CKM99" s="89"/>
      <c r="CKN99" s="89"/>
      <c r="CKO99" s="89"/>
      <c r="CKP99" s="89"/>
      <c r="CKQ99" s="89"/>
      <c r="CKR99" s="89"/>
      <c r="CKS99" s="89"/>
      <c r="CKT99" s="89"/>
      <c r="CKU99" s="89"/>
      <c r="CKV99" s="89"/>
      <c r="CKW99" s="89"/>
      <c r="CKX99" s="89"/>
      <c r="CKY99" s="89"/>
      <c r="CKZ99" s="89"/>
      <c r="CLA99" s="89"/>
      <c r="CLB99" s="89"/>
      <c r="CLC99" s="89"/>
      <c r="CLD99" s="89"/>
      <c r="CLE99" s="89"/>
      <c r="CLF99" s="89"/>
      <c r="CLG99" s="89"/>
      <c r="CLH99" s="89"/>
      <c r="CLI99" s="89"/>
      <c r="CLJ99" s="89"/>
      <c r="CLK99" s="89"/>
      <c r="CLL99" s="89"/>
      <c r="CLM99" s="89"/>
      <c r="CLN99" s="89"/>
      <c r="CLO99" s="89"/>
      <c r="CLP99" s="89"/>
      <c r="CLQ99" s="89"/>
      <c r="CLR99" s="89"/>
      <c r="CLS99" s="89"/>
      <c r="CLT99" s="89"/>
      <c r="CLU99" s="89"/>
      <c r="CLV99" s="89"/>
      <c r="CLW99" s="89"/>
      <c r="CLX99" s="89"/>
      <c r="CLY99" s="89"/>
      <c r="CLZ99" s="89"/>
      <c r="CMA99" s="89"/>
      <c r="CMB99" s="89"/>
      <c r="CMC99" s="89"/>
      <c r="CMD99" s="89"/>
      <c r="CME99" s="89"/>
      <c r="CMF99" s="89"/>
      <c r="CMG99" s="89"/>
      <c r="CMH99" s="89"/>
      <c r="CMI99" s="89"/>
      <c r="CMJ99" s="89"/>
      <c r="CMK99" s="89"/>
      <c r="CML99" s="89"/>
      <c r="CMM99" s="89"/>
      <c r="CMN99" s="89"/>
      <c r="CMO99" s="89"/>
      <c r="CMP99" s="89"/>
      <c r="CMQ99" s="89"/>
      <c r="CMR99" s="89"/>
      <c r="CMS99" s="89"/>
      <c r="CMT99" s="89"/>
      <c r="CMU99" s="89"/>
      <c r="CMV99" s="89"/>
      <c r="CMW99" s="89"/>
      <c r="CMX99" s="89"/>
      <c r="CMY99" s="89"/>
      <c r="CMZ99" s="89"/>
      <c r="CNA99" s="89"/>
      <c r="CNB99" s="89"/>
      <c r="CNC99" s="89"/>
      <c r="CND99" s="89"/>
      <c r="CNE99" s="89"/>
      <c r="CNF99" s="89"/>
      <c r="CNG99" s="89"/>
      <c r="CNH99" s="89"/>
      <c r="CNI99" s="89"/>
      <c r="CNJ99" s="89"/>
      <c r="CNK99" s="89"/>
      <c r="CNL99" s="89"/>
      <c r="CNM99" s="89"/>
      <c r="CNN99" s="89"/>
      <c r="CNO99" s="89"/>
      <c r="CNP99" s="89"/>
      <c r="CNQ99" s="89"/>
      <c r="CNR99" s="89"/>
      <c r="CNS99" s="89"/>
      <c r="CNT99" s="89"/>
      <c r="CNU99" s="89"/>
      <c r="CNV99" s="89"/>
      <c r="CNW99" s="89"/>
      <c r="CNX99" s="89"/>
      <c r="CNY99" s="89"/>
      <c r="CNZ99" s="89"/>
      <c r="COA99" s="89"/>
      <c r="COB99" s="89"/>
      <c r="COC99" s="89"/>
      <c r="COD99" s="89"/>
      <c r="COE99" s="89"/>
      <c r="COF99" s="89"/>
      <c r="COG99" s="89"/>
      <c r="COH99" s="89"/>
      <c r="COI99" s="89"/>
      <c r="COJ99" s="89"/>
      <c r="COK99" s="89"/>
      <c r="COL99" s="89"/>
      <c r="COM99" s="89"/>
      <c r="CON99" s="89"/>
      <c r="COO99" s="89"/>
      <c r="COP99" s="89"/>
      <c r="COQ99" s="89"/>
      <c r="COR99" s="89"/>
      <c r="COS99" s="89"/>
      <c r="COT99" s="89"/>
      <c r="COU99" s="89"/>
      <c r="COV99" s="89"/>
      <c r="COW99" s="89"/>
      <c r="COX99" s="89"/>
      <c r="COY99" s="89"/>
      <c r="COZ99" s="89"/>
      <c r="CPA99" s="89"/>
      <c r="CPB99" s="89"/>
      <c r="CPC99" s="89"/>
      <c r="CPD99" s="89"/>
      <c r="CPE99" s="89"/>
      <c r="CPF99" s="89"/>
      <c r="CPG99" s="89"/>
      <c r="CPH99" s="89"/>
      <c r="CPI99" s="89"/>
      <c r="CPJ99" s="89"/>
      <c r="CPK99" s="89"/>
      <c r="CPL99" s="89"/>
      <c r="CPM99" s="89"/>
      <c r="CPN99" s="89"/>
      <c r="CPO99" s="89"/>
      <c r="CPP99" s="89"/>
      <c r="CPQ99" s="89"/>
      <c r="CPR99" s="89"/>
      <c r="CPS99" s="89"/>
      <c r="CPT99" s="89"/>
      <c r="CPU99" s="89"/>
      <c r="CPV99" s="89"/>
      <c r="CPW99" s="89"/>
      <c r="CPX99" s="89"/>
      <c r="CPY99" s="89"/>
      <c r="CPZ99" s="89"/>
      <c r="CQA99" s="89"/>
      <c r="CQB99" s="89"/>
      <c r="CQC99" s="89"/>
      <c r="CQD99" s="89"/>
      <c r="CQE99" s="89"/>
      <c r="CQF99" s="89"/>
      <c r="CQG99" s="89"/>
      <c r="CQH99" s="89"/>
      <c r="CQI99" s="89"/>
      <c r="CQJ99" s="89"/>
      <c r="CQK99" s="89"/>
      <c r="CQL99" s="89"/>
      <c r="CQM99" s="89"/>
      <c r="CQN99" s="89"/>
      <c r="CQO99" s="89"/>
      <c r="CQP99" s="89"/>
      <c r="CQQ99" s="89"/>
      <c r="CQR99" s="89"/>
      <c r="CQS99" s="89"/>
      <c r="CQT99" s="89"/>
      <c r="CQU99" s="89"/>
      <c r="CQV99" s="89"/>
      <c r="CQW99" s="89"/>
      <c r="CQX99" s="89"/>
      <c r="CQY99" s="89"/>
      <c r="CQZ99" s="89"/>
      <c r="CRA99" s="89"/>
      <c r="CRB99" s="89"/>
      <c r="CRC99" s="89"/>
      <c r="CRD99" s="89"/>
      <c r="CRE99" s="89"/>
      <c r="CRF99" s="89"/>
      <c r="CRG99" s="89"/>
      <c r="CRH99" s="89"/>
      <c r="CRI99" s="89"/>
      <c r="CRJ99" s="89"/>
      <c r="CRK99" s="89"/>
      <c r="CRL99" s="89"/>
      <c r="CRM99" s="89"/>
      <c r="CRN99" s="89"/>
      <c r="CRO99" s="89"/>
      <c r="CRP99" s="89"/>
      <c r="CRQ99" s="89"/>
      <c r="CRR99" s="89"/>
      <c r="CRS99" s="89"/>
      <c r="CRT99" s="89"/>
      <c r="CRU99" s="89"/>
      <c r="CRV99" s="89"/>
      <c r="CRW99" s="89"/>
      <c r="CRX99" s="89"/>
      <c r="CRY99" s="89"/>
      <c r="CRZ99" s="89"/>
      <c r="CSA99" s="89"/>
      <c r="CSB99" s="89"/>
      <c r="CSC99" s="89"/>
      <c r="CSD99" s="91"/>
    </row>
  </sheetData>
  <sheetProtection insertRows="0" insertHyperlinks="0" selectLockedCells="1"/>
  <mergeCells count="596">
    <mergeCell ref="ID14:IG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DZ14:EC14"/>
    <mergeCell ref="EL14:EO14"/>
    <mergeCell ref="EX14:FA14"/>
    <mergeCell ref="FJ14:FM14"/>
    <mergeCell ref="FV14:FY14"/>
    <mergeCell ref="EF14:EI14"/>
    <mergeCell ref="ER14:EU14"/>
    <mergeCell ref="FD14:FG14"/>
    <mergeCell ref="V14:Y14"/>
    <mergeCell ref="AB14:AE14"/>
    <mergeCell ref="AH14:AK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CBZ10:CEG10"/>
    <mergeCell ref="CBZ11:CEG11"/>
    <mergeCell ref="CBZ12:CEG12"/>
    <mergeCell ref="CBZ13:CEG13"/>
    <mergeCell ref="CCD14:CCG14"/>
    <mergeCell ref="CCJ14:CCM14"/>
    <mergeCell ref="CCP14:CCS14"/>
    <mergeCell ref="CCV14:CCY14"/>
    <mergeCell ref="CDB14:CDE14"/>
    <mergeCell ref="CDH14:CDK14"/>
    <mergeCell ref="CDN14:CDQ14"/>
    <mergeCell ref="CDT14:CDW14"/>
    <mergeCell ref="CDZ14:CEC14"/>
    <mergeCell ref="CEH10:CGO10"/>
    <mergeCell ref="CEH11:CGO11"/>
    <mergeCell ref="CEH12:CGO12"/>
    <mergeCell ref="CEH13:CGO13"/>
    <mergeCell ref="CEL14:CEO14"/>
    <mergeCell ref="CER14:CEU14"/>
    <mergeCell ref="CEX14:CFA14"/>
    <mergeCell ref="CFD14:CFG14"/>
    <mergeCell ref="CFJ14:CFM14"/>
    <mergeCell ref="CFP14:CFS14"/>
    <mergeCell ref="CFV14:CFY14"/>
    <mergeCell ref="CGB14:CGE14"/>
    <mergeCell ref="CGH14:CGK14"/>
    <mergeCell ref="CGP10:CIW10"/>
    <mergeCell ref="CGP11:CIW11"/>
    <mergeCell ref="CGP12:CIW12"/>
    <mergeCell ref="CGP13:CIW13"/>
    <mergeCell ref="CGT14:CGW14"/>
    <mergeCell ref="CGZ14:CHC14"/>
    <mergeCell ref="CHF14:CHI14"/>
    <mergeCell ref="CHL14:CHO14"/>
    <mergeCell ref="CHR14:CHU14"/>
    <mergeCell ref="CHX14:CIA14"/>
    <mergeCell ref="CID14:CIG14"/>
    <mergeCell ref="CIJ14:CIM14"/>
    <mergeCell ref="CIP14:CIS14"/>
    <mergeCell ref="CIX10:CLE10"/>
    <mergeCell ref="CIX11:CLE11"/>
    <mergeCell ref="CIX12:CLE12"/>
    <mergeCell ref="CIX13:CLE13"/>
    <mergeCell ref="CJB14:CJE14"/>
    <mergeCell ref="CJH14:CJK14"/>
    <mergeCell ref="CJN14:CJQ14"/>
    <mergeCell ref="CJT14:CJW14"/>
    <mergeCell ref="CJZ14:CKC14"/>
    <mergeCell ref="CKF14:CKI14"/>
    <mergeCell ref="CKL14:CKO14"/>
    <mergeCell ref="CKR14:CKU14"/>
    <mergeCell ref="CKX14:CLA14"/>
    <mergeCell ref="CLF10:CNM10"/>
    <mergeCell ref="CLF11:CNM11"/>
    <mergeCell ref="CLF12:CNM12"/>
    <mergeCell ref="CLF13:CNM13"/>
    <mergeCell ref="CLJ14:CLM14"/>
    <mergeCell ref="CLP14:CLS14"/>
    <mergeCell ref="CLV14:CLY14"/>
    <mergeCell ref="CMB14:CME14"/>
    <mergeCell ref="CMH14:CMK14"/>
    <mergeCell ref="CMN14:CMQ14"/>
    <mergeCell ref="CMT14:CMW14"/>
    <mergeCell ref="CMZ14:CNC14"/>
    <mergeCell ref="CNF14:CNI14"/>
    <mergeCell ref="CNN10:CPU10"/>
    <mergeCell ref="CNN11:CPU11"/>
    <mergeCell ref="CNN12:CPU12"/>
    <mergeCell ref="CNN13:CPU13"/>
    <mergeCell ref="CNR14:CNU14"/>
    <mergeCell ref="CNX14:COA14"/>
    <mergeCell ref="COD14:COG14"/>
    <mergeCell ref="COJ14:COM14"/>
    <mergeCell ref="COP14:COS14"/>
    <mergeCell ref="COV14:COY14"/>
    <mergeCell ref="CPB14:CPE14"/>
    <mergeCell ref="CPH14:CPK14"/>
    <mergeCell ref="CPN14:CPQ14"/>
    <mergeCell ref="CPV10:CSC10"/>
    <mergeCell ref="CPV11:CSC11"/>
    <mergeCell ref="CPV12:CSC12"/>
    <mergeCell ref="CPV13:CSC13"/>
    <mergeCell ref="CPZ14:CQC14"/>
    <mergeCell ref="CQF14:CQI14"/>
    <mergeCell ref="CQL14:CQO14"/>
    <mergeCell ref="CQR14:CQU14"/>
    <mergeCell ref="CQX14:CRA14"/>
    <mergeCell ref="CRD14:CRG14"/>
    <mergeCell ref="CRJ14:CRM14"/>
    <mergeCell ref="CRP14:CRS14"/>
    <mergeCell ref="CRV14:CRY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505"/>
  <sheetViews>
    <sheetView showGridLines="0" zoomScaleNormal="100" zoomScaleSheetLayoutView="98" workbookViewId="0">
      <pane ySplit="1" topLeftCell="A490" activePane="bottomLeft" state="frozen"/>
      <selection activeCell="BC13" sqref="BC13"/>
      <selection pane="bottomLeft" activeCell="G505" sqref="G50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40.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42</v>
      </c>
      <c r="C2" s="163"/>
      <c r="D2" s="82" t="s">
        <v>15</v>
      </c>
      <c r="E2" s="94">
        <v>45359</v>
      </c>
      <c r="F2" s="126"/>
      <c r="G2" s="46"/>
    </row>
    <row r="3" spans="1:7" s="47" customFormat="1" ht="30" customHeight="1" thickBot="1" x14ac:dyDescent="0.3">
      <c r="A3" s="80" t="s">
        <v>5</v>
      </c>
      <c r="B3" s="150" t="s">
        <v>38</v>
      </c>
      <c r="C3" s="151"/>
      <c r="D3" s="80" t="s">
        <v>13</v>
      </c>
      <c r="E3" s="238" t="s">
        <v>14</v>
      </c>
      <c r="F3" s="239"/>
      <c r="G3" s="46"/>
    </row>
    <row r="4" spans="1:7" s="52" customFormat="1" ht="27" x14ac:dyDescent="0.3">
      <c r="A4" s="48" t="s">
        <v>78</v>
      </c>
      <c r="B4" s="196">
        <v>36</v>
      </c>
      <c r="C4" s="152" t="str">
        <f xml:space="preserve"> IF(B4="","",setValueToTime(B4))</f>
        <v>3h</v>
      </c>
      <c r="D4" s="198" t="s">
        <v>101</v>
      </c>
      <c r="E4" s="240"/>
      <c r="F4" s="241"/>
      <c r="G4" s="51"/>
    </row>
    <row r="5" spans="1:7" s="52" customFormat="1" x14ac:dyDescent="0.3">
      <c r="A5" s="53"/>
      <c r="B5" s="54"/>
      <c r="C5" s="153" t="str">
        <f t="shared" ref="C5:C11" si="0" xml:space="preserve"> IF(B5="","",setValueToTime(B5))</f>
        <v/>
      </c>
      <c r="D5" s="55"/>
      <c r="E5" s="242"/>
      <c r="F5" s="243"/>
      <c r="G5" s="51"/>
    </row>
    <row r="6" spans="1:7" s="52" customFormat="1" x14ac:dyDescent="0.3">
      <c r="A6" s="53"/>
      <c r="B6" s="54"/>
      <c r="C6" s="153" t="str">
        <f t="shared" si="0"/>
        <v/>
      </c>
      <c r="D6" s="55"/>
      <c r="E6" s="242"/>
      <c r="F6" s="243"/>
      <c r="G6" s="51"/>
    </row>
    <row r="7" spans="1:7" s="52" customFormat="1" x14ac:dyDescent="0.3">
      <c r="A7" s="53"/>
      <c r="B7" s="54"/>
      <c r="C7" s="153"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x14ac:dyDescent="0.3">
      <c r="A10" s="54"/>
      <c r="B10" s="54"/>
      <c r="C10" s="154" t="str">
        <f t="shared" si="0"/>
        <v/>
      </c>
      <c r="D10" s="55"/>
      <c r="E10" s="242"/>
      <c r="F10" s="243"/>
      <c r="G10" s="51"/>
    </row>
    <row r="11" spans="1:7" s="52" customFormat="1" ht="15" thickBot="1" x14ac:dyDescent="0.35">
      <c r="A11" s="56"/>
      <c r="B11" s="56"/>
      <c r="C11" s="155" t="str">
        <f t="shared" si="0"/>
        <v/>
      </c>
      <c r="D11" s="57"/>
      <c r="E11" s="244"/>
      <c r="F11" s="245"/>
      <c r="G11" s="51"/>
    </row>
    <row r="12" spans="1:7" s="52" customFormat="1" ht="15" thickBot="1" x14ac:dyDescent="0.35">
      <c r="A12" s="111" t="s">
        <v>27</v>
      </c>
      <c r="B12" s="84">
        <f>SUM(B4:B11)</f>
        <v>36</v>
      </c>
      <c r="C12" s="111" t="str">
        <f xml:space="preserve"> setValueToTime(B12)</f>
        <v>3h</v>
      </c>
      <c r="D12" s="120"/>
      <c r="E12" s="236"/>
      <c r="F12" s="237"/>
      <c r="G12" s="51"/>
    </row>
    <row r="13" spans="1:7" s="59" customFormat="1" ht="15" thickBot="1" x14ac:dyDescent="0.35">
      <c r="A13" s="79"/>
      <c r="B13" s="79"/>
      <c r="C13" s="79"/>
      <c r="D13" s="79"/>
      <c r="E13" s="79"/>
      <c r="F13" s="79"/>
      <c r="G13" s="58"/>
    </row>
    <row r="14" spans="1:7" s="47" customFormat="1" ht="30" customHeight="1" thickBot="1" x14ac:dyDescent="0.3">
      <c r="A14" s="81" t="s">
        <v>12</v>
      </c>
      <c r="B14" s="163">
        <v>41</v>
      </c>
      <c r="C14" s="163"/>
      <c r="D14" s="82" t="s">
        <v>15</v>
      </c>
      <c r="E14" s="94">
        <v>45359</v>
      </c>
      <c r="F14" s="126"/>
      <c r="G14" s="46"/>
    </row>
    <row r="15" spans="1:7" s="47" customFormat="1" ht="30" customHeight="1" thickBot="1" x14ac:dyDescent="0.3">
      <c r="A15" s="80" t="s">
        <v>5</v>
      </c>
      <c r="B15" s="150" t="s">
        <v>38</v>
      </c>
      <c r="C15" s="151"/>
      <c r="D15" s="80" t="s">
        <v>13</v>
      </c>
      <c r="E15" s="238" t="s">
        <v>14</v>
      </c>
      <c r="F15" s="239"/>
      <c r="G15" s="46"/>
    </row>
    <row r="16" spans="1:7" s="52" customFormat="1" ht="27" x14ac:dyDescent="0.3">
      <c r="A16" s="48" t="s">
        <v>78</v>
      </c>
      <c r="B16" s="196">
        <v>45</v>
      </c>
      <c r="C16" s="152" t="str">
        <f xml:space="preserve"> IF(B16="","",setValueToTime(B16))</f>
        <v>3h45min</v>
      </c>
      <c r="D16" s="198" t="s">
        <v>101</v>
      </c>
      <c r="E16" s="240"/>
      <c r="F16" s="241"/>
      <c r="G16" s="51"/>
    </row>
    <row r="17" spans="1:7" s="52" customFormat="1" x14ac:dyDescent="0.3">
      <c r="A17" s="53"/>
      <c r="B17" s="54"/>
      <c r="C17" s="153" t="str">
        <f t="shared" ref="C17:C23" si="1" xml:space="preserve"> IF(B17="","",setValueToTime(B17))</f>
        <v/>
      </c>
      <c r="D17" s="55"/>
      <c r="E17" s="242"/>
      <c r="F17" s="243"/>
      <c r="G17" s="51"/>
    </row>
    <row r="18" spans="1:7" s="52" customFormat="1" x14ac:dyDescent="0.3">
      <c r="A18" s="53"/>
      <c r="B18" s="54"/>
      <c r="C18" s="153" t="str">
        <f t="shared" si="1"/>
        <v/>
      </c>
      <c r="D18" s="55"/>
      <c r="E18" s="242"/>
      <c r="F18" s="243"/>
      <c r="G18" s="51"/>
    </row>
    <row r="19" spans="1:7" s="52" customFormat="1" x14ac:dyDescent="0.3">
      <c r="A19" s="53"/>
      <c r="B19" s="54"/>
      <c r="C19" s="153" t="str">
        <f t="shared" si="1"/>
        <v/>
      </c>
      <c r="D19" s="55"/>
      <c r="E19" s="242"/>
      <c r="F19" s="243"/>
      <c r="G19" s="51"/>
    </row>
    <row r="20" spans="1:7" s="52" customFormat="1" x14ac:dyDescent="0.3">
      <c r="A20" s="54"/>
      <c r="B20" s="54"/>
      <c r="C20" s="154" t="str">
        <f t="shared" si="1"/>
        <v/>
      </c>
      <c r="D20" s="55"/>
      <c r="E20" s="242"/>
      <c r="F20" s="243"/>
      <c r="G20" s="51"/>
    </row>
    <row r="21" spans="1:7" s="52" customFormat="1" x14ac:dyDescent="0.3">
      <c r="A21" s="54"/>
      <c r="B21" s="54"/>
      <c r="C21" s="154" t="str">
        <f t="shared" si="1"/>
        <v/>
      </c>
      <c r="D21" s="55"/>
      <c r="E21" s="242"/>
      <c r="F21" s="243"/>
      <c r="G21" s="51"/>
    </row>
    <row r="22" spans="1:7" s="52" customFormat="1" x14ac:dyDescent="0.3">
      <c r="A22" s="54"/>
      <c r="B22" s="54"/>
      <c r="C22" s="154" t="str">
        <f t="shared" si="1"/>
        <v/>
      </c>
      <c r="D22" s="55"/>
      <c r="E22" s="242"/>
      <c r="F22" s="243"/>
      <c r="G22" s="51"/>
    </row>
    <row r="23" spans="1:7" s="52" customFormat="1" ht="15" thickBot="1" x14ac:dyDescent="0.35">
      <c r="A23" s="56"/>
      <c r="B23" s="56"/>
      <c r="C23" s="155" t="str">
        <f t="shared" si="1"/>
        <v/>
      </c>
      <c r="D23" s="57"/>
      <c r="E23" s="244"/>
      <c r="F23" s="245"/>
      <c r="G23" s="51"/>
    </row>
    <row r="24" spans="1:7" s="52" customFormat="1" ht="15" thickBot="1" x14ac:dyDescent="0.35">
      <c r="A24" s="111" t="s">
        <v>27</v>
      </c>
      <c r="B24" s="84">
        <f>SUM(B16:B23)</f>
        <v>45</v>
      </c>
      <c r="C24" s="111" t="str">
        <f xml:space="preserve"> setValueToTime(B24)</f>
        <v>3h45min</v>
      </c>
      <c r="D24" s="120"/>
      <c r="E24" s="236"/>
      <c r="F24" s="237"/>
      <c r="G24" s="51"/>
    </row>
    <row r="25" spans="1:7" s="59" customFormat="1" ht="15" thickBot="1" x14ac:dyDescent="0.35">
      <c r="A25" s="79"/>
      <c r="B25" s="79"/>
      <c r="C25" s="79"/>
      <c r="D25" s="79"/>
      <c r="E25" s="79"/>
      <c r="F25" s="79"/>
      <c r="G25" s="58"/>
    </row>
    <row r="26" spans="1:7" s="47" customFormat="1" ht="30" customHeight="1" thickBot="1" x14ac:dyDescent="0.3">
      <c r="A26" s="81" t="s">
        <v>12</v>
      </c>
      <c r="B26" s="163">
        <v>40</v>
      </c>
      <c r="C26" s="163"/>
      <c r="D26" s="82" t="s">
        <v>15</v>
      </c>
      <c r="E26" s="94">
        <v>45358</v>
      </c>
      <c r="F26" s="126"/>
      <c r="G26" s="46"/>
    </row>
    <row r="27" spans="1:7" s="47" customFormat="1" ht="30" customHeight="1" thickBot="1" x14ac:dyDescent="0.3">
      <c r="A27" s="80" t="s">
        <v>5</v>
      </c>
      <c r="B27" s="150" t="s">
        <v>38</v>
      </c>
      <c r="C27" s="151"/>
      <c r="D27" s="80" t="s">
        <v>13</v>
      </c>
      <c r="E27" s="238" t="s">
        <v>14</v>
      </c>
      <c r="F27" s="239"/>
      <c r="G27" s="46"/>
    </row>
    <row r="28" spans="1:7" s="52" customFormat="1" x14ac:dyDescent="0.3">
      <c r="A28" s="48" t="s">
        <v>58</v>
      </c>
      <c r="B28" s="196">
        <v>36</v>
      </c>
      <c r="C28" s="152" t="str">
        <f xml:space="preserve"> IF(B28="","",setValueToTime(B28))</f>
        <v>3h</v>
      </c>
      <c r="D28" s="198" t="s">
        <v>102</v>
      </c>
      <c r="E28" s="240"/>
      <c r="F28" s="241"/>
      <c r="G28" s="51"/>
    </row>
    <row r="29" spans="1:7" s="52" customFormat="1" x14ac:dyDescent="0.3">
      <c r="A29" s="53"/>
      <c r="B29" s="54"/>
      <c r="C29" s="153" t="str">
        <f t="shared" ref="C29:C35" si="2" xml:space="preserve"> IF(B29="","",setValueToTime(B29))</f>
        <v/>
      </c>
      <c r="D29" s="55"/>
      <c r="E29" s="242"/>
      <c r="F29" s="243"/>
      <c r="G29" s="51"/>
    </row>
    <row r="30" spans="1:7" s="52" customFormat="1" x14ac:dyDescent="0.3">
      <c r="A30" s="53"/>
      <c r="B30" s="54"/>
      <c r="C30" s="153" t="str">
        <f t="shared" si="2"/>
        <v/>
      </c>
      <c r="D30" s="55"/>
      <c r="E30" s="242"/>
      <c r="F30" s="243"/>
      <c r="G30" s="51"/>
    </row>
    <row r="31" spans="1:7" s="52" customFormat="1" x14ac:dyDescent="0.3">
      <c r="A31" s="53"/>
      <c r="B31" s="54"/>
      <c r="C31" s="153" t="str">
        <f t="shared" si="2"/>
        <v/>
      </c>
      <c r="D31" s="55"/>
      <c r="E31" s="242"/>
      <c r="F31" s="243"/>
      <c r="G31" s="51"/>
    </row>
    <row r="32" spans="1:7" s="52" customFormat="1" x14ac:dyDescent="0.3">
      <c r="A32" s="54"/>
      <c r="B32" s="54"/>
      <c r="C32" s="154" t="str">
        <f t="shared" si="2"/>
        <v/>
      </c>
      <c r="D32" s="55"/>
      <c r="E32" s="242"/>
      <c r="F32" s="243"/>
      <c r="G32" s="51"/>
    </row>
    <row r="33" spans="1:7" s="52" customFormat="1" x14ac:dyDescent="0.3">
      <c r="A33" s="54"/>
      <c r="B33" s="54"/>
      <c r="C33" s="154" t="str">
        <f t="shared" si="2"/>
        <v/>
      </c>
      <c r="D33" s="55"/>
      <c r="E33" s="242"/>
      <c r="F33" s="243"/>
      <c r="G33" s="51"/>
    </row>
    <row r="34" spans="1:7" s="52" customFormat="1" x14ac:dyDescent="0.3">
      <c r="A34" s="54"/>
      <c r="B34" s="54"/>
      <c r="C34" s="154" t="str">
        <f t="shared" si="2"/>
        <v/>
      </c>
      <c r="D34" s="55"/>
      <c r="E34" s="242"/>
      <c r="F34" s="243"/>
      <c r="G34" s="51"/>
    </row>
    <row r="35" spans="1:7" s="52" customFormat="1" ht="15" thickBot="1" x14ac:dyDescent="0.35">
      <c r="A35" s="56"/>
      <c r="B35" s="56"/>
      <c r="C35" s="155" t="str">
        <f t="shared" si="2"/>
        <v/>
      </c>
      <c r="D35" s="57"/>
      <c r="E35" s="244"/>
      <c r="F35" s="245"/>
      <c r="G35" s="51"/>
    </row>
    <row r="36" spans="1:7" s="52" customFormat="1" ht="15" thickBot="1" x14ac:dyDescent="0.35">
      <c r="A36" s="111" t="s">
        <v>27</v>
      </c>
      <c r="B36" s="84">
        <f>SUM(B28:B35)</f>
        <v>36</v>
      </c>
      <c r="C36" s="111" t="str">
        <f xml:space="preserve"> setValueToTime(B36)</f>
        <v>3h</v>
      </c>
      <c r="D36" s="120"/>
      <c r="E36" s="236"/>
      <c r="F36" s="237"/>
      <c r="G36" s="51"/>
    </row>
    <row r="37" spans="1:7" s="59" customFormat="1" ht="15" thickBot="1" x14ac:dyDescent="0.35">
      <c r="A37" s="79"/>
      <c r="B37" s="79"/>
      <c r="C37" s="79"/>
      <c r="D37" s="79"/>
      <c r="E37" s="79"/>
      <c r="F37" s="79"/>
      <c r="G37" s="58"/>
    </row>
    <row r="38" spans="1:7" s="47" customFormat="1" ht="30" customHeight="1" thickBot="1" x14ac:dyDescent="0.3">
      <c r="A38" s="81" t="s">
        <v>12</v>
      </c>
      <c r="B38" s="163">
        <v>39</v>
      </c>
      <c r="C38" s="163"/>
      <c r="D38" s="82" t="s">
        <v>15</v>
      </c>
      <c r="E38" s="94">
        <v>45357</v>
      </c>
      <c r="F38" s="126"/>
      <c r="G38" s="46"/>
    </row>
    <row r="39" spans="1:7" s="47" customFormat="1" ht="30" customHeight="1" thickBot="1" x14ac:dyDescent="0.3">
      <c r="A39" s="80" t="s">
        <v>5</v>
      </c>
      <c r="B39" s="150" t="s">
        <v>38</v>
      </c>
      <c r="C39" s="151"/>
      <c r="D39" s="80" t="s">
        <v>13</v>
      </c>
      <c r="E39" s="238" t="s">
        <v>14</v>
      </c>
      <c r="F39" s="239"/>
      <c r="G39" s="46"/>
    </row>
    <row r="40" spans="1:7" s="52" customFormat="1" x14ac:dyDescent="0.3">
      <c r="A40" s="48" t="s">
        <v>58</v>
      </c>
      <c r="B40" s="196">
        <v>36</v>
      </c>
      <c r="C40" s="152" t="str">
        <f xml:space="preserve"> IF(B40="","",setValueToTime(B40))</f>
        <v>3h</v>
      </c>
      <c r="D40" s="198" t="s">
        <v>102</v>
      </c>
      <c r="E40" s="240"/>
      <c r="F40" s="241"/>
      <c r="G40" s="51"/>
    </row>
    <row r="41" spans="1:7" s="52" customFormat="1" x14ac:dyDescent="0.3">
      <c r="A41" s="53"/>
      <c r="B41" s="54"/>
      <c r="C41" s="153" t="str">
        <f t="shared" ref="C41:C47" si="3" xml:space="preserve"> IF(B41="","",setValueToTime(B41))</f>
        <v/>
      </c>
      <c r="D41" s="55"/>
      <c r="E41" s="242"/>
      <c r="F41" s="243"/>
      <c r="G41" s="51"/>
    </row>
    <row r="42" spans="1:7" s="52" customFormat="1" x14ac:dyDescent="0.3">
      <c r="A42" s="53"/>
      <c r="B42" s="54"/>
      <c r="C42" s="153" t="str">
        <f t="shared" si="3"/>
        <v/>
      </c>
      <c r="D42" s="55"/>
      <c r="E42" s="242"/>
      <c r="F42" s="243"/>
      <c r="G42" s="51"/>
    </row>
    <row r="43" spans="1:7" s="52" customFormat="1" x14ac:dyDescent="0.3">
      <c r="A43" s="53"/>
      <c r="B43" s="54"/>
      <c r="C43" s="153" t="str">
        <f t="shared" si="3"/>
        <v/>
      </c>
      <c r="D43" s="55"/>
      <c r="E43" s="242"/>
      <c r="F43" s="243"/>
      <c r="G43" s="51"/>
    </row>
    <row r="44" spans="1:7" s="52" customFormat="1" x14ac:dyDescent="0.3">
      <c r="A44" s="54"/>
      <c r="B44" s="54"/>
      <c r="C44" s="154" t="str">
        <f t="shared" si="3"/>
        <v/>
      </c>
      <c r="D44" s="55"/>
      <c r="E44" s="242"/>
      <c r="F44" s="243"/>
      <c r="G44" s="51"/>
    </row>
    <row r="45" spans="1:7" s="52" customFormat="1" x14ac:dyDescent="0.3">
      <c r="A45" s="54"/>
      <c r="B45" s="54"/>
      <c r="C45" s="154" t="str">
        <f t="shared" si="3"/>
        <v/>
      </c>
      <c r="D45" s="55"/>
      <c r="E45" s="242"/>
      <c r="F45" s="243"/>
      <c r="G45" s="51"/>
    </row>
    <row r="46" spans="1:7" s="52" customFormat="1" x14ac:dyDescent="0.3">
      <c r="A46" s="54"/>
      <c r="B46" s="54"/>
      <c r="C46" s="154" t="str">
        <f t="shared" si="3"/>
        <v/>
      </c>
      <c r="D46" s="55"/>
      <c r="E46" s="242"/>
      <c r="F46" s="243"/>
      <c r="G46" s="51"/>
    </row>
    <row r="47" spans="1:7" s="52" customFormat="1" ht="15" thickBot="1" x14ac:dyDescent="0.35">
      <c r="A47" s="56"/>
      <c r="B47" s="56"/>
      <c r="C47" s="155" t="str">
        <f t="shared" si="3"/>
        <v/>
      </c>
      <c r="D47" s="57"/>
      <c r="E47" s="244"/>
      <c r="F47" s="245"/>
      <c r="G47" s="51"/>
    </row>
    <row r="48" spans="1:7" s="52" customFormat="1" ht="15" thickBot="1" x14ac:dyDescent="0.35">
      <c r="A48" s="111" t="s">
        <v>27</v>
      </c>
      <c r="B48" s="84">
        <f>SUM(B40:B47)</f>
        <v>36</v>
      </c>
      <c r="C48" s="111" t="str">
        <f xml:space="preserve"> setValueToTime(B48)</f>
        <v>3h</v>
      </c>
      <c r="D48" s="120"/>
      <c r="E48" s="236"/>
      <c r="F48" s="237"/>
      <c r="G48" s="51"/>
    </row>
    <row r="49" spans="1:7" s="59" customFormat="1" ht="15" thickBot="1" x14ac:dyDescent="0.35">
      <c r="A49" s="79"/>
      <c r="B49" s="79"/>
      <c r="C49" s="79"/>
      <c r="D49" s="79"/>
      <c r="E49" s="79"/>
      <c r="F49" s="79"/>
      <c r="G49" s="58"/>
    </row>
    <row r="50" spans="1:7" s="47" customFormat="1" ht="30" customHeight="1" thickBot="1" x14ac:dyDescent="0.3">
      <c r="A50" s="81" t="s">
        <v>12</v>
      </c>
      <c r="B50" s="163">
        <v>38</v>
      </c>
      <c r="C50" s="163"/>
      <c r="D50" s="82" t="s">
        <v>15</v>
      </c>
      <c r="E50" s="94">
        <v>45357</v>
      </c>
      <c r="F50" s="126"/>
      <c r="G50" s="46"/>
    </row>
    <row r="51" spans="1:7" s="47" customFormat="1" ht="30" customHeight="1" thickBot="1" x14ac:dyDescent="0.3">
      <c r="A51" s="80" t="s">
        <v>5</v>
      </c>
      <c r="B51" s="150" t="s">
        <v>38</v>
      </c>
      <c r="C51" s="151"/>
      <c r="D51" s="80" t="s">
        <v>13</v>
      </c>
      <c r="E51" s="238" t="s">
        <v>14</v>
      </c>
      <c r="F51" s="239"/>
      <c r="G51" s="46"/>
    </row>
    <row r="52" spans="1:7" s="52" customFormat="1" x14ac:dyDescent="0.3">
      <c r="A52" s="48" t="s">
        <v>58</v>
      </c>
      <c r="B52" s="196">
        <v>36</v>
      </c>
      <c r="C52" s="152" t="str">
        <f xml:space="preserve"> IF(B52="","",setValueToTime(B52))</f>
        <v>3h</v>
      </c>
      <c r="D52" s="198" t="s">
        <v>102</v>
      </c>
      <c r="E52" s="240"/>
      <c r="F52" s="241"/>
      <c r="G52" s="51"/>
    </row>
    <row r="53" spans="1:7" s="52" customFormat="1" x14ac:dyDescent="0.3">
      <c r="A53" s="53"/>
      <c r="B53" s="54"/>
      <c r="C53" s="153" t="str">
        <f t="shared" ref="C53:C59" si="4" xml:space="preserve"> IF(B53="","",setValueToTime(B53))</f>
        <v/>
      </c>
      <c r="D53" s="55"/>
      <c r="E53" s="242"/>
      <c r="F53" s="243"/>
      <c r="G53" s="51"/>
    </row>
    <row r="54" spans="1:7" s="52" customFormat="1" x14ac:dyDescent="0.3">
      <c r="A54" s="53"/>
      <c r="B54" s="54"/>
      <c r="C54" s="153" t="str">
        <f t="shared" si="4"/>
        <v/>
      </c>
      <c r="D54" s="55"/>
      <c r="E54" s="242"/>
      <c r="F54" s="243"/>
      <c r="G54" s="51"/>
    </row>
    <row r="55" spans="1:7" s="52" customFormat="1" x14ac:dyDescent="0.3">
      <c r="A55" s="53"/>
      <c r="B55" s="54"/>
      <c r="C55" s="153" t="str">
        <f t="shared" si="4"/>
        <v/>
      </c>
      <c r="D55" s="55"/>
      <c r="E55" s="242"/>
      <c r="F55" s="243"/>
      <c r="G55" s="51"/>
    </row>
    <row r="56" spans="1:7" s="52" customFormat="1" x14ac:dyDescent="0.3">
      <c r="A56" s="54"/>
      <c r="B56" s="54"/>
      <c r="C56" s="154" t="str">
        <f t="shared" si="4"/>
        <v/>
      </c>
      <c r="D56" s="55"/>
      <c r="E56" s="242"/>
      <c r="F56" s="243"/>
      <c r="G56" s="51"/>
    </row>
    <row r="57" spans="1:7" s="52" customFormat="1" x14ac:dyDescent="0.3">
      <c r="A57" s="54"/>
      <c r="B57" s="54"/>
      <c r="C57" s="154" t="str">
        <f t="shared" si="4"/>
        <v/>
      </c>
      <c r="D57" s="55"/>
      <c r="E57" s="242"/>
      <c r="F57" s="243"/>
      <c r="G57" s="51"/>
    </row>
    <row r="58" spans="1:7" s="52" customFormat="1" x14ac:dyDescent="0.3">
      <c r="A58" s="54"/>
      <c r="B58" s="54"/>
      <c r="C58" s="154" t="str">
        <f t="shared" si="4"/>
        <v/>
      </c>
      <c r="D58" s="55"/>
      <c r="E58" s="242"/>
      <c r="F58" s="243"/>
      <c r="G58" s="51"/>
    </row>
    <row r="59" spans="1:7" s="52" customFormat="1" ht="15" thickBot="1" x14ac:dyDescent="0.35">
      <c r="A59" s="56"/>
      <c r="B59" s="56"/>
      <c r="C59" s="155" t="str">
        <f t="shared" si="4"/>
        <v/>
      </c>
      <c r="D59" s="57"/>
      <c r="E59" s="244"/>
      <c r="F59" s="245"/>
      <c r="G59" s="51"/>
    </row>
    <row r="60" spans="1:7" s="52" customFormat="1" ht="15" thickBot="1" x14ac:dyDescent="0.35">
      <c r="A60" s="111" t="s">
        <v>27</v>
      </c>
      <c r="B60" s="84">
        <f>SUM(B52:B59)</f>
        <v>36</v>
      </c>
      <c r="C60" s="111" t="str">
        <f xml:space="preserve"> setValueToTime(B60)</f>
        <v>3h</v>
      </c>
      <c r="D60" s="120"/>
      <c r="E60" s="236"/>
      <c r="F60" s="237"/>
      <c r="G60" s="51"/>
    </row>
    <row r="61" spans="1:7" s="59" customFormat="1" ht="15" thickBot="1" x14ac:dyDescent="0.35">
      <c r="A61" s="79"/>
      <c r="B61" s="79"/>
      <c r="C61" s="79"/>
      <c r="D61" s="79"/>
      <c r="E61" s="79"/>
      <c r="F61" s="79"/>
      <c r="G61" s="58"/>
    </row>
    <row r="62" spans="1:7" s="47" customFormat="1" ht="30" customHeight="1" thickBot="1" x14ac:dyDescent="0.3">
      <c r="A62" s="81" t="s">
        <v>12</v>
      </c>
      <c r="B62" s="163">
        <v>37</v>
      </c>
      <c r="C62" s="163"/>
      <c r="D62" s="82" t="s">
        <v>15</v>
      </c>
      <c r="E62" s="94">
        <v>45355</v>
      </c>
      <c r="F62" s="126"/>
      <c r="G62" s="46"/>
    </row>
    <row r="63" spans="1:7" s="47" customFormat="1" ht="30" customHeight="1" thickBot="1" x14ac:dyDescent="0.3">
      <c r="A63" s="80" t="s">
        <v>5</v>
      </c>
      <c r="B63" s="150" t="s">
        <v>38</v>
      </c>
      <c r="C63" s="151"/>
      <c r="D63" s="80" t="s">
        <v>13</v>
      </c>
      <c r="E63" s="238" t="s">
        <v>14</v>
      </c>
      <c r="F63" s="239"/>
      <c r="G63" s="46"/>
    </row>
    <row r="64" spans="1:7" s="52" customFormat="1" x14ac:dyDescent="0.3">
      <c r="A64" s="48" t="s">
        <v>58</v>
      </c>
      <c r="B64" s="196">
        <v>27</v>
      </c>
      <c r="C64" s="152" t="str">
        <f xml:space="preserve"> IF(B64="","",setValueToTime(B64))</f>
        <v>2h15min</v>
      </c>
      <c r="D64" s="198" t="s">
        <v>102</v>
      </c>
      <c r="E64" s="240"/>
      <c r="F64" s="241"/>
      <c r="G64" s="51"/>
    </row>
    <row r="65" spans="1:7" s="52" customFormat="1" x14ac:dyDescent="0.3">
      <c r="A65" s="53"/>
      <c r="B65" s="54"/>
      <c r="C65" s="153" t="str">
        <f t="shared" ref="C65:C71" si="5" xml:space="preserve"> IF(B65="","",setValueToTime(B65))</f>
        <v/>
      </c>
      <c r="D65" s="55"/>
      <c r="E65" s="242"/>
      <c r="F65" s="243"/>
      <c r="G65" s="51"/>
    </row>
    <row r="66" spans="1:7" s="52" customFormat="1" x14ac:dyDescent="0.3">
      <c r="A66" s="53"/>
      <c r="B66" s="54"/>
      <c r="C66" s="153" t="str">
        <f t="shared" si="5"/>
        <v/>
      </c>
      <c r="D66" s="55"/>
      <c r="E66" s="242"/>
      <c r="F66" s="243"/>
      <c r="G66" s="51"/>
    </row>
    <row r="67" spans="1:7" s="52" customFormat="1" x14ac:dyDescent="0.3">
      <c r="A67" s="53"/>
      <c r="B67" s="54"/>
      <c r="C67" s="153" t="str">
        <f t="shared" si="5"/>
        <v/>
      </c>
      <c r="D67" s="55"/>
      <c r="E67" s="242"/>
      <c r="F67" s="243"/>
      <c r="G67" s="51"/>
    </row>
    <row r="68" spans="1:7" s="52" customFormat="1" x14ac:dyDescent="0.3">
      <c r="A68" s="54"/>
      <c r="B68" s="54"/>
      <c r="C68" s="154" t="str">
        <f t="shared" si="5"/>
        <v/>
      </c>
      <c r="D68" s="55"/>
      <c r="E68" s="242"/>
      <c r="F68" s="243"/>
      <c r="G68" s="51"/>
    </row>
    <row r="69" spans="1:7" s="52" customFormat="1" x14ac:dyDescent="0.3">
      <c r="A69" s="54"/>
      <c r="B69" s="54"/>
      <c r="C69" s="154" t="str">
        <f t="shared" si="5"/>
        <v/>
      </c>
      <c r="D69" s="55"/>
      <c r="E69" s="242"/>
      <c r="F69" s="243"/>
      <c r="G69" s="51"/>
    </row>
    <row r="70" spans="1:7" s="52" customFormat="1" x14ac:dyDescent="0.3">
      <c r="A70" s="54"/>
      <c r="B70" s="54"/>
      <c r="C70" s="154" t="str">
        <f t="shared" si="5"/>
        <v/>
      </c>
      <c r="D70" s="55"/>
      <c r="E70" s="242"/>
      <c r="F70" s="243"/>
      <c r="G70" s="51"/>
    </row>
    <row r="71" spans="1:7" s="52" customFormat="1" ht="15" thickBot="1" x14ac:dyDescent="0.35">
      <c r="A71" s="56"/>
      <c r="B71" s="56"/>
      <c r="C71" s="155" t="str">
        <f t="shared" si="5"/>
        <v/>
      </c>
      <c r="D71" s="57"/>
      <c r="E71" s="244"/>
      <c r="F71" s="245"/>
      <c r="G71" s="51"/>
    </row>
    <row r="72" spans="1:7" s="52" customFormat="1" ht="15" thickBot="1" x14ac:dyDescent="0.35">
      <c r="A72" s="111" t="s">
        <v>27</v>
      </c>
      <c r="B72" s="84">
        <f>SUM(B64:B71)</f>
        <v>27</v>
      </c>
      <c r="C72" s="111" t="str">
        <f xml:space="preserve"> setValueToTime(B72)</f>
        <v>2h15min</v>
      </c>
      <c r="D72" s="120"/>
      <c r="E72" s="236"/>
      <c r="F72" s="237"/>
      <c r="G72" s="51"/>
    </row>
    <row r="73" spans="1:7" s="59" customFormat="1" ht="15" thickBot="1" x14ac:dyDescent="0.35">
      <c r="A73" s="79"/>
      <c r="B73" s="79"/>
      <c r="C73" s="79"/>
      <c r="D73" s="79"/>
      <c r="E73" s="79"/>
      <c r="F73" s="79"/>
      <c r="G73" s="58"/>
    </row>
    <row r="74" spans="1:7" s="47" customFormat="1" ht="30" customHeight="1" thickBot="1" x14ac:dyDescent="0.3">
      <c r="A74" s="81" t="s">
        <v>12</v>
      </c>
      <c r="B74" s="163">
        <v>36</v>
      </c>
      <c r="C74" s="163"/>
      <c r="D74" s="82" t="s">
        <v>15</v>
      </c>
      <c r="E74" s="94">
        <v>45355</v>
      </c>
      <c r="F74" s="126"/>
      <c r="G74" s="46"/>
    </row>
    <row r="75" spans="1:7" s="47" customFormat="1" ht="30" customHeight="1" thickBot="1" x14ac:dyDescent="0.3">
      <c r="A75" s="80" t="s">
        <v>5</v>
      </c>
      <c r="B75" s="150" t="s">
        <v>38</v>
      </c>
      <c r="C75" s="151"/>
      <c r="D75" s="80" t="s">
        <v>13</v>
      </c>
      <c r="E75" s="238" t="s">
        <v>14</v>
      </c>
      <c r="F75" s="239"/>
      <c r="G75" s="46"/>
    </row>
    <row r="76" spans="1:7" s="52" customFormat="1" ht="27" x14ac:dyDescent="0.3">
      <c r="A76" s="48" t="s">
        <v>57</v>
      </c>
      <c r="B76" s="196">
        <v>45</v>
      </c>
      <c r="C76" s="152" t="str">
        <f xml:space="preserve"> IF(B76="","",setValueToTime(B76))</f>
        <v>3h45min</v>
      </c>
      <c r="D76" s="198" t="s">
        <v>103</v>
      </c>
      <c r="E76" s="240"/>
      <c r="F76" s="241"/>
      <c r="G76" s="51"/>
    </row>
    <row r="77" spans="1:7" s="52" customFormat="1" x14ac:dyDescent="0.3">
      <c r="A77" s="53"/>
      <c r="B77" s="54"/>
      <c r="C77" s="153" t="str">
        <f t="shared" ref="C77:C83" si="6" xml:space="preserve"> IF(B77="","",setValueToTime(B77))</f>
        <v/>
      </c>
      <c r="D77" s="55"/>
      <c r="E77" s="242"/>
      <c r="F77" s="243"/>
      <c r="G77" s="51"/>
    </row>
    <row r="78" spans="1:7" s="52" customFormat="1" x14ac:dyDescent="0.3">
      <c r="A78" s="53"/>
      <c r="B78" s="54"/>
      <c r="C78" s="153" t="str">
        <f t="shared" si="6"/>
        <v/>
      </c>
      <c r="D78" s="55"/>
      <c r="E78" s="242"/>
      <c r="F78" s="243"/>
      <c r="G78" s="51"/>
    </row>
    <row r="79" spans="1:7" s="52" customFormat="1" x14ac:dyDescent="0.3">
      <c r="A79" s="53"/>
      <c r="B79" s="54"/>
      <c r="C79" s="153" t="str">
        <f t="shared" si="6"/>
        <v/>
      </c>
      <c r="D79" s="55"/>
      <c r="E79" s="242"/>
      <c r="F79" s="243"/>
      <c r="G79" s="51"/>
    </row>
    <row r="80" spans="1:7" s="52" customFormat="1" x14ac:dyDescent="0.3">
      <c r="A80" s="54"/>
      <c r="B80" s="54"/>
      <c r="C80" s="154" t="str">
        <f t="shared" si="6"/>
        <v/>
      </c>
      <c r="D80" s="55"/>
      <c r="E80" s="242"/>
      <c r="F80" s="243"/>
      <c r="G80" s="51"/>
    </row>
    <row r="81" spans="1:7" s="52" customFormat="1" x14ac:dyDescent="0.3">
      <c r="A81" s="54"/>
      <c r="B81" s="54"/>
      <c r="C81" s="154" t="str">
        <f t="shared" si="6"/>
        <v/>
      </c>
      <c r="D81" s="55"/>
      <c r="E81" s="242"/>
      <c r="F81" s="243"/>
      <c r="G81" s="51"/>
    </row>
    <row r="82" spans="1:7" s="52" customFormat="1" x14ac:dyDescent="0.3">
      <c r="A82" s="54"/>
      <c r="B82" s="54"/>
      <c r="C82" s="154" t="str">
        <f t="shared" si="6"/>
        <v/>
      </c>
      <c r="D82" s="55"/>
      <c r="E82" s="242"/>
      <c r="F82" s="243"/>
      <c r="G82" s="51"/>
    </row>
    <row r="83" spans="1:7" s="52" customFormat="1" ht="15" thickBot="1" x14ac:dyDescent="0.35">
      <c r="A83" s="56"/>
      <c r="B83" s="56"/>
      <c r="C83" s="155" t="str">
        <f t="shared" si="6"/>
        <v/>
      </c>
      <c r="D83" s="57"/>
      <c r="E83" s="244"/>
      <c r="F83" s="245"/>
      <c r="G83" s="51"/>
    </row>
    <row r="84" spans="1:7" s="52" customFormat="1" ht="15" thickBot="1" x14ac:dyDescent="0.35">
      <c r="A84" s="111" t="s">
        <v>27</v>
      </c>
      <c r="B84" s="84">
        <f>SUM(B76:B83)</f>
        <v>45</v>
      </c>
      <c r="C84" s="111" t="str">
        <f xml:space="preserve"> setValueToTime(B84)</f>
        <v>3h45min</v>
      </c>
      <c r="D84" s="120"/>
      <c r="E84" s="236"/>
      <c r="F84" s="237"/>
      <c r="G84" s="51"/>
    </row>
    <row r="85" spans="1:7" s="59" customFormat="1" ht="15" thickBot="1" x14ac:dyDescent="0.35">
      <c r="A85" s="79"/>
      <c r="B85" s="79"/>
      <c r="C85" s="79"/>
      <c r="D85" s="79"/>
      <c r="E85" s="79"/>
      <c r="F85" s="79"/>
      <c r="G85" s="58"/>
    </row>
    <row r="86" spans="1:7" s="47" customFormat="1" ht="30" customHeight="1" thickBot="1" x14ac:dyDescent="0.3">
      <c r="A86" s="81" t="s">
        <v>12</v>
      </c>
      <c r="B86" s="163">
        <v>35</v>
      </c>
      <c r="C86" s="163"/>
      <c r="D86" s="82" t="s">
        <v>15</v>
      </c>
      <c r="E86" s="94">
        <v>45352</v>
      </c>
      <c r="F86" s="126"/>
      <c r="G86" s="46"/>
    </row>
    <row r="87" spans="1:7" s="47" customFormat="1" ht="30" customHeight="1" thickBot="1" x14ac:dyDescent="0.3">
      <c r="A87" s="80" t="s">
        <v>5</v>
      </c>
      <c r="B87" s="150" t="s">
        <v>38</v>
      </c>
      <c r="C87" s="151"/>
      <c r="D87" s="80" t="s">
        <v>13</v>
      </c>
      <c r="E87" s="238" t="s">
        <v>14</v>
      </c>
      <c r="F87" s="239"/>
      <c r="G87" s="46"/>
    </row>
    <row r="88" spans="1:7" s="52" customFormat="1" x14ac:dyDescent="0.3">
      <c r="A88" s="48" t="s">
        <v>58</v>
      </c>
      <c r="B88" s="196">
        <v>36</v>
      </c>
      <c r="C88" s="152" t="str">
        <f xml:space="preserve"> IF(B88="","",setValueToTime(B88))</f>
        <v>3h</v>
      </c>
      <c r="D88" s="198" t="s">
        <v>104</v>
      </c>
      <c r="E88" s="240"/>
      <c r="F88" s="241"/>
      <c r="G88" s="51"/>
    </row>
    <row r="89" spans="1:7" s="52" customFormat="1" x14ac:dyDescent="0.3">
      <c r="A89" s="53"/>
      <c r="B89" s="54"/>
      <c r="C89" s="153" t="str">
        <f t="shared" ref="C89:C95" si="7" xml:space="preserve"> IF(B89="","",setValueToTime(B89))</f>
        <v/>
      </c>
      <c r="D89" s="55"/>
      <c r="E89" s="242"/>
      <c r="F89" s="243"/>
      <c r="G89" s="51"/>
    </row>
    <row r="90" spans="1:7" s="52" customFormat="1" x14ac:dyDescent="0.3">
      <c r="A90" s="53"/>
      <c r="B90" s="54"/>
      <c r="C90" s="153" t="str">
        <f t="shared" si="7"/>
        <v/>
      </c>
      <c r="D90" s="55"/>
      <c r="E90" s="242"/>
      <c r="F90" s="243"/>
      <c r="G90" s="51"/>
    </row>
    <row r="91" spans="1:7" s="52" customFormat="1" x14ac:dyDescent="0.3">
      <c r="A91" s="53"/>
      <c r="B91" s="54"/>
      <c r="C91" s="153" t="str">
        <f t="shared" si="7"/>
        <v/>
      </c>
      <c r="D91" s="55"/>
      <c r="E91" s="242"/>
      <c r="F91" s="243"/>
      <c r="G91" s="51"/>
    </row>
    <row r="92" spans="1:7" s="52" customFormat="1" x14ac:dyDescent="0.3">
      <c r="A92" s="54"/>
      <c r="B92" s="54"/>
      <c r="C92" s="154" t="str">
        <f t="shared" si="7"/>
        <v/>
      </c>
      <c r="D92" s="55"/>
      <c r="E92" s="242"/>
      <c r="F92" s="243"/>
      <c r="G92" s="51"/>
    </row>
    <row r="93" spans="1:7" s="52" customFormat="1" x14ac:dyDescent="0.3">
      <c r="A93" s="54"/>
      <c r="B93" s="54"/>
      <c r="C93" s="154" t="str">
        <f t="shared" si="7"/>
        <v/>
      </c>
      <c r="D93" s="55"/>
      <c r="E93" s="242"/>
      <c r="F93" s="243"/>
      <c r="G93" s="51"/>
    </row>
    <row r="94" spans="1:7" s="52" customFormat="1" x14ac:dyDescent="0.3">
      <c r="A94" s="54"/>
      <c r="B94" s="54"/>
      <c r="C94" s="154" t="str">
        <f t="shared" si="7"/>
        <v/>
      </c>
      <c r="D94" s="55"/>
      <c r="E94" s="242"/>
      <c r="F94" s="243"/>
      <c r="G94" s="51"/>
    </row>
    <row r="95" spans="1:7" s="52" customFormat="1" ht="15" thickBot="1" x14ac:dyDescent="0.35">
      <c r="A95" s="56"/>
      <c r="B95" s="56"/>
      <c r="C95" s="155" t="str">
        <f t="shared" si="7"/>
        <v/>
      </c>
      <c r="D95" s="57"/>
      <c r="E95" s="244"/>
      <c r="F95" s="245"/>
      <c r="G95" s="51"/>
    </row>
    <row r="96" spans="1:7" s="52" customFormat="1" ht="15" thickBot="1" x14ac:dyDescent="0.35">
      <c r="A96" s="111" t="s">
        <v>27</v>
      </c>
      <c r="B96" s="84">
        <f>SUM(B88:B95)</f>
        <v>36</v>
      </c>
      <c r="C96" s="111" t="str">
        <f xml:space="preserve"> setValueToTime(B96)</f>
        <v>3h</v>
      </c>
      <c r="D96" s="120"/>
      <c r="E96" s="236"/>
      <c r="F96" s="237"/>
      <c r="G96" s="51"/>
    </row>
    <row r="97" spans="1:7" s="59" customFormat="1" ht="15" thickBot="1" x14ac:dyDescent="0.35">
      <c r="A97" s="79"/>
      <c r="B97" s="79"/>
      <c r="C97" s="79"/>
      <c r="D97" s="79"/>
      <c r="E97" s="79"/>
      <c r="F97" s="79"/>
      <c r="G97" s="58"/>
    </row>
    <row r="98" spans="1:7" s="47" customFormat="1" ht="30" customHeight="1" thickBot="1" x14ac:dyDescent="0.3">
      <c r="A98" s="81" t="s">
        <v>12</v>
      </c>
      <c r="B98" s="163">
        <v>34</v>
      </c>
      <c r="C98" s="163"/>
      <c r="D98" s="82" t="s">
        <v>15</v>
      </c>
      <c r="E98" s="94">
        <v>45352</v>
      </c>
      <c r="F98" s="126"/>
      <c r="G98" s="46"/>
    </row>
    <row r="99" spans="1:7" s="47" customFormat="1" ht="30" customHeight="1" thickBot="1" x14ac:dyDescent="0.3">
      <c r="A99" s="80" t="s">
        <v>5</v>
      </c>
      <c r="B99" s="150" t="s">
        <v>38</v>
      </c>
      <c r="C99" s="151"/>
      <c r="D99" s="80" t="s">
        <v>13</v>
      </c>
      <c r="E99" s="238" t="s">
        <v>14</v>
      </c>
      <c r="F99" s="239"/>
      <c r="G99" s="46"/>
    </row>
    <row r="100" spans="1:7" s="52" customFormat="1" x14ac:dyDescent="0.3">
      <c r="A100" s="48" t="s">
        <v>55</v>
      </c>
      <c r="B100" s="196">
        <v>12</v>
      </c>
      <c r="C100" s="152" t="str">
        <f xml:space="preserve"> IF(B100="","",setValueToTime(B100))</f>
        <v>1h</v>
      </c>
      <c r="D100" s="198" t="s">
        <v>105</v>
      </c>
      <c r="E100" s="240"/>
      <c r="F100" s="241"/>
      <c r="G100" s="51"/>
    </row>
    <row r="101" spans="1:7" s="52" customFormat="1" ht="27" x14ac:dyDescent="0.3">
      <c r="A101" s="53" t="s">
        <v>56</v>
      </c>
      <c r="B101" s="197">
        <v>33</v>
      </c>
      <c r="C101" s="153" t="str">
        <f t="shared" ref="C101:C107" si="8" xml:space="preserve"> IF(B101="","",setValueToTime(B101))</f>
        <v>2h45min</v>
      </c>
      <c r="D101" s="199" t="s">
        <v>106</v>
      </c>
      <c r="E101" s="242"/>
      <c r="F101" s="243"/>
      <c r="G101" s="51"/>
    </row>
    <row r="102" spans="1:7" s="52" customFormat="1" x14ac:dyDescent="0.3">
      <c r="A102" s="53"/>
      <c r="B102" s="54"/>
      <c r="C102" s="153" t="str">
        <f t="shared" si="8"/>
        <v/>
      </c>
      <c r="D102" s="55"/>
      <c r="E102" s="242"/>
      <c r="F102" s="243"/>
      <c r="G102" s="51"/>
    </row>
    <row r="103" spans="1:7" s="52" customFormat="1" x14ac:dyDescent="0.3">
      <c r="A103" s="53"/>
      <c r="B103" s="54"/>
      <c r="C103" s="153" t="str">
        <f t="shared" si="8"/>
        <v/>
      </c>
      <c r="D103" s="55"/>
      <c r="E103" s="242"/>
      <c r="F103" s="243"/>
      <c r="G103" s="51"/>
    </row>
    <row r="104" spans="1:7" s="52" customFormat="1" x14ac:dyDescent="0.3">
      <c r="A104" s="54"/>
      <c r="B104" s="54"/>
      <c r="C104" s="154" t="str">
        <f t="shared" si="8"/>
        <v/>
      </c>
      <c r="D104" s="55"/>
      <c r="E104" s="242"/>
      <c r="F104" s="243"/>
      <c r="G104" s="51"/>
    </row>
    <row r="105" spans="1:7" s="52" customFormat="1" x14ac:dyDescent="0.3">
      <c r="A105" s="54"/>
      <c r="B105" s="54"/>
      <c r="C105" s="154" t="str">
        <f t="shared" si="8"/>
        <v/>
      </c>
      <c r="D105" s="55"/>
      <c r="E105" s="242"/>
      <c r="F105" s="243"/>
      <c r="G105" s="51"/>
    </row>
    <row r="106" spans="1:7" s="52" customFormat="1" x14ac:dyDescent="0.3">
      <c r="A106" s="54"/>
      <c r="B106" s="54"/>
      <c r="C106" s="154" t="str">
        <f t="shared" si="8"/>
        <v/>
      </c>
      <c r="D106" s="55"/>
      <c r="E106" s="242"/>
      <c r="F106" s="243"/>
      <c r="G106" s="51"/>
    </row>
    <row r="107" spans="1:7" s="52" customFormat="1" ht="15" thickBot="1" x14ac:dyDescent="0.35">
      <c r="A107" s="56"/>
      <c r="B107" s="56"/>
      <c r="C107" s="155" t="str">
        <f t="shared" si="8"/>
        <v/>
      </c>
      <c r="D107" s="57"/>
      <c r="E107" s="244"/>
      <c r="F107" s="245"/>
      <c r="G107" s="51"/>
    </row>
    <row r="108" spans="1:7" s="52" customFormat="1" ht="15" thickBot="1" x14ac:dyDescent="0.35">
      <c r="A108" s="111" t="s">
        <v>27</v>
      </c>
      <c r="B108" s="84">
        <f>SUM(B100:B107)</f>
        <v>45</v>
      </c>
      <c r="C108" s="111" t="str">
        <f xml:space="preserve"> setValueToTime(B108)</f>
        <v>3h45min</v>
      </c>
      <c r="D108" s="120"/>
      <c r="E108" s="236"/>
      <c r="F108" s="237"/>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3">
        <v>33</v>
      </c>
      <c r="C110" s="163"/>
      <c r="D110" s="82" t="s">
        <v>15</v>
      </c>
      <c r="E110" s="94">
        <v>45351</v>
      </c>
      <c r="F110" s="126"/>
      <c r="G110" s="46"/>
    </row>
    <row r="111" spans="1:7" s="47" customFormat="1" ht="30" customHeight="1" thickBot="1" x14ac:dyDescent="0.3">
      <c r="A111" s="80" t="s">
        <v>5</v>
      </c>
      <c r="B111" s="150" t="s">
        <v>38</v>
      </c>
      <c r="C111" s="151"/>
      <c r="D111" s="80" t="s">
        <v>13</v>
      </c>
      <c r="E111" s="238" t="s">
        <v>14</v>
      </c>
      <c r="F111" s="239"/>
      <c r="G111" s="46"/>
    </row>
    <row r="112" spans="1:7" s="52" customFormat="1" ht="27" x14ac:dyDescent="0.3">
      <c r="A112" s="48" t="s">
        <v>99</v>
      </c>
      <c r="B112" s="196">
        <v>12</v>
      </c>
      <c r="C112" s="152" t="str">
        <f xml:space="preserve"> IF(B112="","",setValueToTime(B112))</f>
        <v>1h</v>
      </c>
      <c r="D112" s="50" t="s">
        <v>107</v>
      </c>
      <c r="E112" s="240"/>
      <c r="F112" s="241"/>
      <c r="G112" s="51"/>
    </row>
    <row r="113" spans="1:7" s="52" customFormat="1" ht="27" x14ac:dyDescent="0.3">
      <c r="A113" s="53" t="s">
        <v>99</v>
      </c>
      <c r="B113" s="197">
        <v>24</v>
      </c>
      <c r="C113" s="153" t="str">
        <f t="shared" ref="C113:C119" si="9" xml:space="preserve"> IF(B113="","",setValueToTime(B113))</f>
        <v>2h</v>
      </c>
      <c r="D113" s="199" t="s">
        <v>108</v>
      </c>
      <c r="E113" s="242"/>
      <c r="F113" s="243"/>
      <c r="G113" s="51"/>
    </row>
    <row r="114" spans="1:7" s="52" customFormat="1" x14ac:dyDescent="0.3">
      <c r="A114" s="53"/>
      <c r="B114" s="54"/>
      <c r="C114" s="153" t="str">
        <f t="shared" si="9"/>
        <v/>
      </c>
      <c r="D114" s="55"/>
      <c r="E114" s="242"/>
      <c r="F114" s="243"/>
      <c r="G114" s="51"/>
    </row>
    <row r="115" spans="1:7" s="52" customFormat="1" x14ac:dyDescent="0.3">
      <c r="A115" s="53"/>
      <c r="B115" s="54"/>
      <c r="C115" s="153" t="str">
        <f t="shared" si="9"/>
        <v/>
      </c>
      <c r="D115" s="55"/>
      <c r="E115" s="242"/>
      <c r="F115" s="243"/>
      <c r="G115" s="51"/>
    </row>
    <row r="116" spans="1:7" s="52" customFormat="1" x14ac:dyDescent="0.3">
      <c r="A116" s="54"/>
      <c r="B116" s="54"/>
      <c r="C116" s="154" t="str">
        <f t="shared" si="9"/>
        <v/>
      </c>
      <c r="D116" s="55"/>
      <c r="E116" s="242"/>
      <c r="F116" s="243"/>
      <c r="G116" s="51"/>
    </row>
    <row r="117" spans="1:7" s="52" customFormat="1" x14ac:dyDescent="0.3">
      <c r="A117" s="54"/>
      <c r="B117" s="54"/>
      <c r="C117" s="154" t="str">
        <f t="shared" si="9"/>
        <v/>
      </c>
      <c r="D117" s="55"/>
      <c r="E117" s="242"/>
      <c r="F117" s="243"/>
      <c r="G117" s="51"/>
    </row>
    <row r="118" spans="1:7" s="52" customFormat="1" x14ac:dyDescent="0.3">
      <c r="A118" s="54"/>
      <c r="B118" s="54"/>
      <c r="C118" s="154" t="str">
        <f t="shared" si="9"/>
        <v/>
      </c>
      <c r="D118" s="55"/>
      <c r="E118" s="242"/>
      <c r="F118" s="243"/>
      <c r="G118" s="51"/>
    </row>
    <row r="119" spans="1:7" s="52" customFormat="1" ht="15" thickBot="1" x14ac:dyDescent="0.35">
      <c r="A119" s="56"/>
      <c r="B119" s="56"/>
      <c r="C119" s="155" t="str">
        <f t="shared" si="9"/>
        <v/>
      </c>
      <c r="D119" s="57"/>
      <c r="E119" s="244"/>
      <c r="F119" s="245"/>
      <c r="G119" s="51"/>
    </row>
    <row r="120" spans="1:7" s="52" customFormat="1" ht="15" thickBot="1" x14ac:dyDescent="0.35">
      <c r="A120" s="111" t="s">
        <v>27</v>
      </c>
      <c r="B120" s="84">
        <f>SUM(B112:B119)</f>
        <v>36</v>
      </c>
      <c r="C120" s="111" t="str">
        <f xml:space="preserve"> setValueToTime(B120)</f>
        <v>3h</v>
      </c>
      <c r="D120" s="120"/>
      <c r="E120" s="236"/>
      <c r="F120" s="237"/>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32</v>
      </c>
      <c r="C122" s="163"/>
      <c r="D122" s="82" t="s">
        <v>15</v>
      </c>
      <c r="E122" s="94">
        <v>45350</v>
      </c>
      <c r="F122" s="126"/>
      <c r="G122" s="46"/>
    </row>
    <row r="123" spans="1:7" s="47" customFormat="1" ht="30" customHeight="1" thickBot="1" x14ac:dyDescent="0.3">
      <c r="A123" s="80" t="s">
        <v>5</v>
      </c>
      <c r="B123" s="150" t="s">
        <v>38</v>
      </c>
      <c r="C123" s="151"/>
      <c r="D123" s="80" t="s">
        <v>13</v>
      </c>
      <c r="E123" s="238" t="s">
        <v>14</v>
      </c>
      <c r="F123" s="239"/>
      <c r="G123" s="46"/>
    </row>
    <row r="124" spans="1:7" s="52" customFormat="1" ht="27" x14ac:dyDescent="0.3">
      <c r="A124" s="48" t="s">
        <v>54</v>
      </c>
      <c r="B124" s="49">
        <v>36</v>
      </c>
      <c r="C124" s="152" t="str">
        <f xml:space="preserve"> IF(B124="","",setValueToTime(B124))</f>
        <v>3h</v>
      </c>
      <c r="D124" s="50"/>
      <c r="E124" s="240"/>
      <c r="F124" s="241"/>
      <c r="G124" s="51"/>
    </row>
    <row r="125" spans="1:7" s="52" customFormat="1" x14ac:dyDescent="0.3">
      <c r="A125" s="53"/>
      <c r="B125" s="54"/>
      <c r="C125" s="153" t="str">
        <f t="shared" ref="C125:C131" si="10" xml:space="preserve"> IF(B125="","",setValueToTime(B125))</f>
        <v/>
      </c>
      <c r="D125" s="55"/>
      <c r="E125" s="242"/>
      <c r="F125" s="243"/>
      <c r="G125" s="51"/>
    </row>
    <row r="126" spans="1:7" s="52" customFormat="1" x14ac:dyDescent="0.3">
      <c r="A126" s="53"/>
      <c r="B126" s="54"/>
      <c r="C126" s="153" t="str">
        <f t="shared" si="10"/>
        <v/>
      </c>
      <c r="D126" s="55"/>
      <c r="E126" s="242"/>
      <c r="F126" s="243"/>
      <c r="G126" s="51"/>
    </row>
    <row r="127" spans="1:7" s="52" customFormat="1" x14ac:dyDescent="0.3">
      <c r="A127" s="53"/>
      <c r="B127" s="54"/>
      <c r="C127" s="153" t="str">
        <f t="shared" si="10"/>
        <v/>
      </c>
      <c r="D127" s="55"/>
      <c r="E127" s="242"/>
      <c r="F127" s="243"/>
      <c r="G127" s="51"/>
    </row>
    <row r="128" spans="1:7" s="52" customFormat="1" x14ac:dyDescent="0.3">
      <c r="A128" s="54"/>
      <c r="B128" s="54"/>
      <c r="C128" s="154" t="str">
        <f t="shared" si="10"/>
        <v/>
      </c>
      <c r="D128" s="55"/>
      <c r="E128" s="242"/>
      <c r="F128" s="243"/>
      <c r="G128" s="51"/>
    </row>
    <row r="129" spans="1:7" s="52" customFormat="1" x14ac:dyDescent="0.3">
      <c r="A129" s="54"/>
      <c r="B129" s="54"/>
      <c r="C129" s="154" t="str">
        <f t="shared" si="10"/>
        <v/>
      </c>
      <c r="D129" s="55"/>
      <c r="E129" s="242"/>
      <c r="F129" s="243"/>
      <c r="G129" s="51"/>
    </row>
    <row r="130" spans="1:7" s="52" customFormat="1" x14ac:dyDescent="0.3">
      <c r="A130" s="54"/>
      <c r="B130" s="54"/>
      <c r="C130" s="154" t="str">
        <f t="shared" si="10"/>
        <v/>
      </c>
      <c r="D130" s="55"/>
      <c r="E130" s="242"/>
      <c r="F130" s="243"/>
      <c r="G130" s="51"/>
    </row>
    <row r="131" spans="1:7" s="52" customFormat="1" ht="15" thickBot="1" x14ac:dyDescent="0.35">
      <c r="A131" s="56"/>
      <c r="B131" s="56"/>
      <c r="C131" s="155" t="str">
        <f t="shared" si="10"/>
        <v/>
      </c>
      <c r="D131" s="57"/>
      <c r="E131" s="244"/>
      <c r="F131" s="245"/>
      <c r="G131" s="51"/>
    </row>
    <row r="132" spans="1:7" s="52" customFormat="1" ht="15" thickBot="1" x14ac:dyDescent="0.35">
      <c r="A132" s="111" t="s">
        <v>27</v>
      </c>
      <c r="B132" s="84">
        <f>SUM(B124:B131)</f>
        <v>36</v>
      </c>
      <c r="C132" s="111" t="str">
        <f xml:space="preserve"> setValueToTime(B132)</f>
        <v>3h</v>
      </c>
      <c r="D132" s="120"/>
      <c r="E132" s="236"/>
      <c r="F132" s="237"/>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3">
        <v>31</v>
      </c>
      <c r="C134" s="163"/>
      <c r="D134" s="82" t="s">
        <v>15</v>
      </c>
      <c r="E134" s="94">
        <v>45350</v>
      </c>
      <c r="F134" s="126"/>
      <c r="G134" s="46"/>
    </row>
    <row r="135" spans="1:7" s="47" customFormat="1" ht="30" customHeight="1" thickBot="1" x14ac:dyDescent="0.3">
      <c r="A135" s="80" t="s">
        <v>5</v>
      </c>
      <c r="B135" s="150" t="s">
        <v>38</v>
      </c>
      <c r="C135" s="151"/>
      <c r="D135" s="80" t="s">
        <v>13</v>
      </c>
      <c r="E135" s="238" t="s">
        <v>14</v>
      </c>
      <c r="F135" s="239"/>
      <c r="G135" s="46"/>
    </row>
    <row r="136" spans="1:7" s="52" customFormat="1" ht="27" x14ac:dyDescent="0.3">
      <c r="A136" s="48" t="s">
        <v>54</v>
      </c>
      <c r="B136" s="49">
        <v>36</v>
      </c>
      <c r="C136" s="152" t="str">
        <f xml:space="preserve"> IF(B136="","",setValueToTime(B136))</f>
        <v>3h</v>
      </c>
      <c r="D136" s="50"/>
      <c r="E136" s="240"/>
      <c r="F136" s="241"/>
      <c r="G136" s="51"/>
    </row>
    <row r="137" spans="1:7" s="52" customFormat="1" x14ac:dyDescent="0.3">
      <c r="A137" s="53"/>
      <c r="B137" s="54"/>
      <c r="C137" s="153" t="str">
        <f t="shared" ref="C137:C143" si="11" xml:space="preserve"> IF(B137="","",setValueToTime(B137))</f>
        <v/>
      </c>
      <c r="D137" s="55"/>
      <c r="E137" s="242"/>
      <c r="F137" s="243"/>
      <c r="G137" s="51"/>
    </row>
    <row r="138" spans="1:7" s="52" customFormat="1" x14ac:dyDescent="0.3">
      <c r="A138" s="53"/>
      <c r="B138" s="54"/>
      <c r="C138" s="153" t="str">
        <f t="shared" si="11"/>
        <v/>
      </c>
      <c r="D138" s="55"/>
      <c r="E138" s="242"/>
      <c r="F138" s="243"/>
      <c r="G138" s="51"/>
    </row>
    <row r="139" spans="1:7" s="52" customFormat="1" x14ac:dyDescent="0.3">
      <c r="A139" s="53"/>
      <c r="B139" s="54"/>
      <c r="C139" s="153" t="str">
        <f t="shared" si="11"/>
        <v/>
      </c>
      <c r="D139" s="55"/>
      <c r="E139" s="242"/>
      <c r="F139" s="243"/>
      <c r="G139" s="51"/>
    </row>
    <row r="140" spans="1:7" s="52" customFormat="1" x14ac:dyDescent="0.3">
      <c r="A140" s="54"/>
      <c r="B140" s="54"/>
      <c r="C140" s="154" t="str">
        <f t="shared" si="11"/>
        <v/>
      </c>
      <c r="D140" s="55"/>
      <c r="E140" s="242"/>
      <c r="F140" s="243"/>
      <c r="G140" s="51"/>
    </row>
    <row r="141" spans="1:7" s="52" customFormat="1" x14ac:dyDescent="0.3">
      <c r="A141" s="54"/>
      <c r="B141" s="54"/>
      <c r="C141" s="154" t="str">
        <f t="shared" si="11"/>
        <v/>
      </c>
      <c r="D141" s="55"/>
      <c r="E141" s="242"/>
      <c r="F141" s="243"/>
      <c r="G141" s="51"/>
    </row>
    <row r="142" spans="1:7" s="52" customFormat="1" x14ac:dyDescent="0.3">
      <c r="A142" s="54"/>
      <c r="B142" s="54"/>
      <c r="C142" s="154" t="str">
        <f t="shared" si="11"/>
        <v/>
      </c>
      <c r="D142" s="55"/>
      <c r="E142" s="242"/>
      <c r="F142" s="243"/>
      <c r="G142" s="51"/>
    </row>
    <row r="143" spans="1:7" s="52" customFormat="1" ht="15" thickBot="1" x14ac:dyDescent="0.35">
      <c r="A143" s="56"/>
      <c r="B143" s="56"/>
      <c r="C143" s="155" t="str">
        <f t="shared" si="11"/>
        <v/>
      </c>
      <c r="D143" s="57"/>
      <c r="E143" s="244"/>
      <c r="F143" s="245"/>
      <c r="G143" s="51"/>
    </row>
    <row r="144" spans="1:7" s="52" customFormat="1" ht="15" thickBot="1" x14ac:dyDescent="0.35">
      <c r="A144" s="111" t="s">
        <v>27</v>
      </c>
      <c r="B144" s="84">
        <f>SUM(B136:B143)</f>
        <v>36</v>
      </c>
      <c r="C144" s="111" t="str">
        <f xml:space="preserve"> setValueToTime(B144)</f>
        <v>3h</v>
      </c>
      <c r="D144" s="120"/>
      <c r="E144" s="236"/>
      <c r="F144" s="237"/>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3">
        <v>30</v>
      </c>
      <c r="C146" s="163"/>
      <c r="D146" s="82" t="s">
        <v>15</v>
      </c>
      <c r="E146" s="94">
        <v>45348</v>
      </c>
      <c r="F146" s="126"/>
      <c r="G146" s="46"/>
    </row>
    <row r="147" spans="1:7" s="47" customFormat="1" ht="30" customHeight="1" thickBot="1" x14ac:dyDescent="0.3">
      <c r="A147" s="80" t="s">
        <v>5</v>
      </c>
      <c r="B147" s="150" t="s">
        <v>38</v>
      </c>
      <c r="C147" s="151"/>
      <c r="D147" s="80" t="s">
        <v>13</v>
      </c>
      <c r="E147" s="238" t="s">
        <v>14</v>
      </c>
      <c r="F147" s="239"/>
      <c r="G147" s="46"/>
    </row>
    <row r="148" spans="1:7" s="52" customFormat="1" ht="27" x14ac:dyDescent="0.3">
      <c r="A148" s="48" t="s">
        <v>54</v>
      </c>
      <c r="B148" s="49">
        <v>27</v>
      </c>
      <c r="C148" s="152" t="str">
        <f xml:space="preserve"> IF(B148="","",setValueToTime(B148))</f>
        <v>2h15min</v>
      </c>
      <c r="D148" s="50"/>
      <c r="E148" s="240"/>
      <c r="F148" s="241"/>
      <c r="G148" s="51"/>
    </row>
    <row r="149" spans="1:7" s="52" customFormat="1" x14ac:dyDescent="0.3">
      <c r="A149" s="53"/>
      <c r="B149" s="54"/>
      <c r="C149" s="153" t="str">
        <f t="shared" ref="C149:C155" si="12" xml:space="preserve"> IF(B149="","",setValueToTime(B149))</f>
        <v/>
      </c>
      <c r="D149" s="55"/>
      <c r="E149" s="242"/>
      <c r="F149" s="243"/>
      <c r="G149" s="51"/>
    </row>
    <row r="150" spans="1:7" s="52" customFormat="1" x14ac:dyDescent="0.3">
      <c r="A150" s="53"/>
      <c r="B150" s="54"/>
      <c r="C150" s="153" t="str">
        <f t="shared" si="12"/>
        <v/>
      </c>
      <c r="D150" s="55"/>
      <c r="E150" s="242"/>
      <c r="F150" s="243"/>
      <c r="G150" s="51"/>
    </row>
    <row r="151" spans="1:7" s="52" customFormat="1" x14ac:dyDescent="0.3">
      <c r="A151" s="53"/>
      <c r="B151" s="54"/>
      <c r="C151" s="153" t="str">
        <f t="shared" si="12"/>
        <v/>
      </c>
      <c r="D151" s="55"/>
      <c r="E151" s="242"/>
      <c r="F151" s="243"/>
      <c r="G151" s="51"/>
    </row>
    <row r="152" spans="1:7" s="52" customFormat="1" x14ac:dyDescent="0.3">
      <c r="A152" s="54"/>
      <c r="B152" s="54"/>
      <c r="C152" s="154" t="str">
        <f t="shared" si="12"/>
        <v/>
      </c>
      <c r="D152" s="55"/>
      <c r="E152" s="242"/>
      <c r="F152" s="243"/>
      <c r="G152" s="51"/>
    </row>
    <row r="153" spans="1:7" s="52" customFormat="1" x14ac:dyDescent="0.3">
      <c r="A153" s="54"/>
      <c r="B153" s="54"/>
      <c r="C153" s="154" t="str">
        <f t="shared" si="12"/>
        <v/>
      </c>
      <c r="D153" s="55"/>
      <c r="E153" s="242"/>
      <c r="F153" s="243"/>
      <c r="G153" s="51"/>
    </row>
    <row r="154" spans="1:7" s="52" customFormat="1" x14ac:dyDescent="0.3">
      <c r="A154" s="54"/>
      <c r="B154" s="54"/>
      <c r="C154" s="154" t="str">
        <f t="shared" si="12"/>
        <v/>
      </c>
      <c r="D154" s="55"/>
      <c r="E154" s="242"/>
      <c r="F154" s="243"/>
      <c r="G154" s="51"/>
    </row>
    <row r="155" spans="1:7" s="52" customFormat="1" ht="15" thickBot="1" x14ac:dyDescent="0.35">
      <c r="A155" s="56"/>
      <c r="B155" s="56"/>
      <c r="C155" s="155" t="str">
        <f t="shared" si="12"/>
        <v/>
      </c>
      <c r="D155" s="57"/>
      <c r="E155" s="244"/>
      <c r="F155" s="245"/>
      <c r="G155" s="51"/>
    </row>
    <row r="156" spans="1:7" s="52" customFormat="1" ht="15" thickBot="1" x14ac:dyDescent="0.35">
      <c r="A156" s="111" t="s">
        <v>27</v>
      </c>
      <c r="B156" s="84">
        <f>SUM(B148:B155)</f>
        <v>27</v>
      </c>
      <c r="C156" s="111" t="str">
        <f xml:space="preserve"> setValueToTime(B156)</f>
        <v>2h15min</v>
      </c>
      <c r="D156" s="120"/>
      <c r="E156" s="236"/>
      <c r="F156" s="237"/>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29</v>
      </c>
      <c r="C158" s="163"/>
      <c r="D158" s="82" t="s">
        <v>15</v>
      </c>
      <c r="E158" s="94">
        <v>45348</v>
      </c>
      <c r="F158" s="126"/>
      <c r="G158" s="46"/>
    </row>
    <row r="159" spans="1:7" s="47" customFormat="1" ht="30" customHeight="1" thickBot="1" x14ac:dyDescent="0.3">
      <c r="A159" s="80" t="s">
        <v>5</v>
      </c>
      <c r="B159" s="150" t="s">
        <v>38</v>
      </c>
      <c r="C159" s="151"/>
      <c r="D159" s="80" t="s">
        <v>13</v>
      </c>
      <c r="E159" s="238" t="s">
        <v>14</v>
      </c>
      <c r="F159" s="239"/>
      <c r="G159" s="46"/>
    </row>
    <row r="160" spans="1:7" s="52" customFormat="1" ht="27" x14ac:dyDescent="0.3">
      <c r="A160" s="48" t="s">
        <v>54</v>
      </c>
      <c r="B160" s="49">
        <v>45</v>
      </c>
      <c r="C160" s="152" t="str">
        <f xml:space="preserve"> IF(B160="","",setValueToTime(B160))</f>
        <v>3h45min</v>
      </c>
      <c r="D160" s="50"/>
      <c r="E160" s="240"/>
      <c r="F160" s="241"/>
      <c r="G160" s="51"/>
    </row>
    <row r="161" spans="1:7" s="52" customFormat="1" x14ac:dyDescent="0.3">
      <c r="A161" s="53"/>
      <c r="B161" s="54"/>
      <c r="C161" s="153" t="str">
        <f t="shared" ref="C161:C167" si="13" xml:space="preserve"> IF(B161="","",setValueToTime(B161))</f>
        <v/>
      </c>
      <c r="D161" s="55"/>
      <c r="E161" s="242"/>
      <c r="F161" s="243"/>
      <c r="G161" s="51"/>
    </row>
    <row r="162" spans="1:7" s="52" customFormat="1" x14ac:dyDescent="0.3">
      <c r="A162" s="53"/>
      <c r="B162" s="54"/>
      <c r="C162" s="153" t="str">
        <f t="shared" si="13"/>
        <v/>
      </c>
      <c r="D162" s="55"/>
      <c r="E162" s="242"/>
      <c r="F162" s="243"/>
      <c r="G162" s="51"/>
    </row>
    <row r="163" spans="1:7" s="52" customFormat="1" x14ac:dyDescent="0.3">
      <c r="A163" s="53"/>
      <c r="B163" s="54"/>
      <c r="C163" s="153" t="str">
        <f t="shared" si="13"/>
        <v/>
      </c>
      <c r="D163" s="55"/>
      <c r="E163" s="242"/>
      <c r="F163" s="243"/>
      <c r="G163" s="51"/>
    </row>
    <row r="164" spans="1:7" s="52" customFormat="1" x14ac:dyDescent="0.3">
      <c r="A164" s="54"/>
      <c r="B164" s="54"/>
      <c r="C164" s="154" t="str">
        <f t="shared" si="13"/>
        <v/>
      </c>
      <c r="D164" s="55"/>
      <c r="E164" s="242"/>
      <c r="F164" s="243"/>
      <c r="G164" s="51"/>
    </row>
    <row r="165" spans="1:7" s="52" customFormat="1" x14ac:dyDescent="0.3">
      <c r="A165" s="54"/>
      <c r="B165" s="54"/>
      <c r="C165" s="154" t="str">
        <f t="shared" si="13"/>
        <v/>
      </c>
      <c r="D165" s="55"/>
      <c r="E165" s="242"/>
      <c r="F165" s="243"/>
      <c r="G165" s="51"/>
    </row>
    <row r="166" spans="1:7" s="52" customFormat="1" x14ac:dyDescent="0.3">
      <c r="A166" s="54"/>
      <c r="B166" s="54"/>
      <c r="C166" s="154" t="str">
        <f t="shared" si="13"/>
        <v/>
      </c>
      <c r="D166" s="55"/>
      <c r="E166" s="242"/>
      <c r="F166" s="243"/>
      <c r="G166" s="51"/>
    </row>
    <row r="167" spans="1:7" s="52" customFormat="1" ht="15" thickBot="1" x14ac:dyDescent="0.35">
      <c r="A167" s="56"/>
      <c r="B167" s="56"/>
      <c r="C167" s="155" t="str">
        <f t="shared" si="13"/>
        <v/>
      </c>
      <c r="D167" s="57"/>
      <c r="E167" s="244"/>
      <c r="F167" s="245"/>
      <c r="G167" s="51"/>
    </row>
    <row r="168" spans="1:7" s="52" customFormat="1" ht="15" thickBot="1" x14ac:dyDescent="0.35">
      <c r="A168" s="111" t="s">
        <v>27</v>
      </c>
      <c r="B168" s="84">
        <f>SUM(B160:B167)</f>
        <v>45</v>
      </c>
      <c r="C168" s="111" t="str">
        <f xml:space="preserve"> setValueToTime(B168)</f>
        <v>3h45min</v>
      </c>
      <c r="D168" s="120"/>
      <c r="E168" s="236"/>
      <c r="F168" s="237"/>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3">
        <v>28</v>
      </c>
      <c r="C170" s="163"/>
      <c r="D170" s="82" t="s">
        <v>15</v>
      </c>
      <c r="E170" s="94">
        <v>45345</v>
      </c>
      <c r="F170" s="126"/>
      <c r="G170" s="46"/>
    </row>
    <row r="171" spans="1:7" s="47" customFormat="1" ht="30" customHeight="1" thickBot="1" x14ac:dyDescent="0.3">
      <c r="A171" s="80" t="s">
        <v>5</v>
      </c>
      <c r="B171" s="150" t="s">
        <v>38</v>
      </c>
      <c r="C171" s="151"/>
      <c r="D171" s="80" t="s">
        <v>13</v>
      </c>
      <c r="E171" s="238" t="s">
        <v>14</v>
      </c>
      <c r="F171" s="239"/>
      <c r="G171" s="46"/>
    </row>
    <row r="172" spans="1:7" s="52" customFormat="1" ht="27" x14ac:dyDescent="0.3">
      <c r="A172" s="48" t="s">
        <v>54</v>
      </c>
      <c r="B172" s="49">
        <v>36</v>
      </c>
      <c r="C172" s="152" t="str">
        <f xml:space="preserve"> IF(B172="","",setValueToTime(B172))</f>
        <v>3h</v>
      </c>
      <c r="D172" s="50"/>
      <c r="E172" s="240"/>
      <c r="F172" s="241"/>
      <c r="G172" s="51"/>
    </row>
    <row r="173" spans="1:7" s="52" customFormat="1" x14ac:dyDescent="0.3">
      <c r="A173" s="53"/>
      <c r="B173" s="54"/>
      <c r="C173" s="153" t="str">
        <f t="shared" ref="C173:C179" si="14" xml:space="preserve"> IF(B173="","",setValueToTime(B173))</f>
        <v/>
      </c>
      <c r="D173" s="55"/>
      <c r="E173" s="242"/>
      <c r="F173" s="243"/>
      <c r="G173" s="51"/>
    </row>
    <row r="174" spans="1:7" s="52" customFormat="1" x14ac:dyDescent="0.3">
      <c r="A174" s="53"/>
      <c r="B174" s="54"/>
      <c r="C174" s="153" t="str">
        <f t="shared" si="14"/>
        <v/>
      </c>
      <c r="D174" s="55"/>
      <c r="E174" s="242"/>
      <c r="F174" s="243"/>
      <c r="G174" s="51"/>
    </row>
    <row r="175" spans="1:7" s="52" customFormat="1" x14ac:dyDescent="0.3">
      <c r="A175" s="53"/>
      <c r="B175" s="54"/>
      <c r="C175" s="153" t="str">
        <f t="shared" si="14"/>
        <v/>
      </c>
      <c r="D175" s="55"/>
      <c r="E175" s="242"/>
      <c r="F175" s="243"/>
      <c r="G175" s="51"/>
    </row>
    <row r="176" spans="1:7" s="52" customFormat="1" x14ac:dyDescent="0.3">
      <c r="A176" s="54"/>
      <c r="B176" s="54"/>
      <c r="C176" s="154" t="str">
        <f t="shared" si="14"/>
        <v/>
      </c>
      <c r="D176" s="55"/>
      <c r="E176" s="242"/>
      <c r="F176" s="243"/>
      <c r="G176" s="51"/>
    </row>
    <row r="177" spans="1:7" s="52" customFormat="1" x14ac:dyDescent="0.3">
      <c r="A177" s="54"/>
      <c r="B177" s="54"/>
      <c r="C177" s="154" t="str">
        <f t="shared" si="14"/>
        <v/>
      </c>
      <c r="D177" s="55"/>
      <c r="E177" s="242"/>
      <c r="F177" s="243"/>
      <c r="G177" s="51"/>
    </row>
    <row r="178" spans="1:7" s="52" customFormat="1" x14ac:dyDescent="0.3">
      <c r="A178" s="54"/>
      <c r="B178" s="54"/>
      <c r="C178" s="154" t="str">
        <f t="shared" si="14"/>
        <v/>
      </c>
      <c r="D178" s="55"/>
      <c r="E178" s="242"/>
      <c r="F178" s="243"/>
      <c r="G178" s="51"/>
    </row>
    <row r="179" spans="1:7" s="52" customFormat="1" ht="15" thickBot="1" x14ac:dyDescent="0.35">
      <c r="A179" s="56"/>
      <c r="B179" s="56"/>
      <c r="C179" s="155" t="str">
        <f t="shared" si="14"/>
        <v/>
      </c>
      <c r="D179" s="57"/>
      <c r="E179" s="244"/>
      <c r="F179" s="245"/>
      <c r="G179" s="51"/>
    </row>
    <row r="180" spans="1:7" s="52" customFormat="1" ht="15" thickBot="1" x14ac:dyDescent="0.35">
      <c r="A180" s="111" t="s">
        <v>27</v>
      </c>
      <c r="B180" s="84">
        <f>SUM(B172:B179)</f>
        <v>36</v>
      </c>
      <c r="C180" s="111" t="str">
        <f xml:space="preserve"> setValueToTime(B180)</f>
        <v>3h</v>
      </c>
      <c r="D180" s="120"/>
      <c r="E180" s="236"/>
      <c r="F180" s="237"/>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27</v>
      </c>
      <c r="C182" s="163"/>
      <c r="D182" s="82" t="s">
        <v>15</v>
      </c>
      <c r="E182" s="94">
        <v>45345</v>
      </c>
      <c r="F182" s="126"/>
      <c r="G182" s="46"/>
    </row>
    <row r="183" spans="1:7" s="47" customFormat="1" ht="30" customHeight="1" thickBot="1" x14ac:dyDescent="0.3">
      <c r="A183" s="80" t="s">
        <v>5</v>
      </c>
      <c r="B183" s="150" t="s">
        <v>38</v>
      </c>
      <c r="C183" s="151"/>
      <c r="D183" s="80" t="s">
        <v>13</v>
      </c>
      <c r="E183" s="238" t="s">
        <v>14</v>
      </c>
      <c r="F183" s="239"/>
      <c r="G183" s="46"/>
    </row>
    <row r="184" spans="1:7" s="52" customFormat="1" ht="27" x14ac:dyDescent="0.3">
      <c r="A184" s="48" t="s">
        <v>54</v>
      </c>
      <c r="B184" s="49">
        <v>45</v>
      </c>
      <c r="C184" s="152" t="str">
        <f xml:space="preserve"> IF(B184="","",setValueToTime(B184))</f>
        <v>3h45min</v>
      </c>
      <c r="D184" s="50"/>
      <c r="E184" s="240"/>
      <c r="F184" s="241"/>
      <c r="G184" s="51"/>
    </row>
    <row r="185" spans="1:7" s="52" customFormat="1" x14ac:dyDescent="0.3">
      <c r="A185" s="53"/>
      <c r="B185" s="54"/>
      <c r="C185" s="153" t="str">
        <f t="shared" ref="C185:C191" si="15" xml:space="preserve"> IF(B185="","",setValueToTime(B185))</f>
        <v/>
      </c>
      <c r="D185" s="55"/>
      <c r="E185" s="242"/>
      <c r="F185" s="243"/>
      <c r="G185" s="51"/>
    </row>
    <row r="186" spans="1:7" s="52" customFormat="1" x14ac:dyDescent="0.3">
      <c r="A186" s="53"/>
      <c r="B186" s="54"/>
      <c r="C186" s="153" t="str">
        <f t="shared" si="15"/>
        <v/>
      </c>
      <c r="D186" s="55"/>
      <c r="E186" s="242"/>
      <c r="F186" s="243"/>
      <c r="G186" s="51"/>
    </row>
    <row r="187" spans="1:7" s="52" customFormat="1" x14ac:dyDescent="0.3">
      <c r="A187" s="53"/>
      <c r="B187" s="54"/>
      <c r="C187" s="153" t="str">
        <f t="shared" si="15"/>
        <v/>
      </c>
      <c r="D187" s="55"/>
      <c r="E187" s="242"/>
      <c r="F187" s="243"/>
      <c r="G187" s="51"/>
    </row>
    <row r="188" spans="1:7" s="52" customFormat="1" x14ac:dyDescent="0.3">
      <c r="A188" s="54"/>
      <c r="B188" s="54"/>
      <c r="C188" s="154" t="str">
        <f t="shared" si="15"/>
        <v/>
      </c>
      <c r="D188" s="55"/>
      <c r="E188" s="242"/>
      <c r="F188" s="243"/>
      <c r="G188" s="51"/>
    </row>
    <row r="189" spans="1:7" s="52" customFormat="1" x14ac:dyDescent="0.3">
      <c r="A189" s="54"/>
      <c r="B189" s="54"/>
      <c r="C189" s="154" t="str">
        <f t="shared" si="15"/>
        <v/>
      </c>
      <c r="D189" s="55"/>
      <c r="E189" s="242"/>
      <c r="F189" s="243"/>
      <c r="G189" s="51"/>
    </row>
    <row r="190" spans="1:7" s="52" customFormat="1" x14ac:dyDescent="0.3">
      <c r="A190" s="54"/>
      <c r="B190" s="54"/>
      <c r="C190" s="154" t="str">
        <f t="shared" si="15"/>
        <v/>
      </c>
      <c r="D190" s="55"/>
      <c r="E190" s="242"/>
      <c r="F190" s="243"/>
      <c r="G190" s="51"/>
    </row>
    <row r="191" spans="1:7" s="52" customFormat="1" ht="15" thickBot="1" x14ac:dyDescent="0.35">
      <c r="A191" s="56"/>
      <c r="B191" s="56"/>
      <c r="C191" s="155" t="str">
        <f t="shared" si="15"/>
        <v/>
      </c>
      <c r="D191" s="57"/>
      <c r="E191" s="244"/>
      <c r="F191" s="245"/>
      <c r="G191" s="51"/>
    </row>
    <row r="192" spans="1:7" s="52" customFormat="1" ht="15" thickBot="1" x14ac:dyDescent="0.35">
      <c r="A192" s="111" t="s">
        <v>27</v>
      </c>
      <c r="B192" s="84">
        <f>SUM(B184:B191)</f>
        <v>45</v>
      </c>
      <c r="C192" s="111" t="str">
        <f xml:space="preserve"> setValueToTime(B192)</f>
        <v>3h45min</v>
      </c>
      <c r="D192" s="120"/>
      <c r="E192" s="236"/>
      <c r="F192" s="237"/>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3">
        <v>26</v>
      </c>
      <c r="C194" s="163"/>
      <c r="D194" s="82" t="s">
        <v>15</v>
      </c>
      <c r="E194" s="94">
        <v>45344</v>
      </c>
      <c r="F194" s="126"/>
      <c r="G194" s="46"/>
    </row>
    <row r="195" spans="1:7" s="47" customFormat="1" ht="30" customHeight="1" thickBot="1" x14ac:dyDescent="0.3">
      <c r="A195" s="80" t="s">
        <v>5</v>
      </c>
      <c r="B195" s="150" t="s">
        <v>38</v>
      </c>
      <c r="C195" s="151"/>
      <c r="D195" s="80" t="s">
        <v>13</v>
      </c>
      <c r="E195" s="238" t="s">
        <v>14</v>
      </c>
      <c r="F195" s="239"/>
      <c r="G195" s="46"/>
    </row>
    <row r="196" spans="1:7" s="52" customFormat="1" ht="27" x14ac:dyDescent="0.3">
      <c r="A196" s="48" t="s">
        <v>54</v>
      </c>
      <c r="B196" s="49">
        <v>36</v>
      </c>
      <c r="C196" s="152" t="str">
        <f xml:space="preserve"> IF(B196="","",setValueToTime(B196))</f>
        <v>3h</v>
      </c>
      <c r="D196" s="50"/>
      <c r="E196" s="240"/>
      <c r="F196" s="241"/>
      <c r="G196" s="51"/>
    </row>
    <row r="197" spans="1:7" s="52" customFormat="1" x14ac:dyDescent="0.3">
      <c r="A197" s="53"/>
      <c r="B197" s="54"/>
      <c r="C197" s="153" t="str">
        <f t="shared" ref="C197:C203" si="16" xml:space="preserve"> IF(B197="","",setValueToTime(B197))</f>
        <v/>
      </c>
      <c r="D197" s="55"/>
      <c r="E197" s="242"/>
      <c r="F197" s="243"/>
      <c r="G197" s="51"/>
    </row>
    <row r="198" spans="1:7" s="52" customFormat="1" x14ac:dyDescent="0.3">
      <c r="A198" s="53"/>
      <c r="B198" s="54"/>
      <c r="C198" s="153" t="str">
        <f t="shared" si="16"/>
        <v/>
      </c>
      <c r="D198" s="55"/>
      <c r="E198" s="242"/>
      <c r="F198" s="243"/>
      <c r="G198" s="51"/>
    </row>
    <row r="199" spans="1:7" s="52" customFormat="1" x14ac:dyDescent="0.3">
      <c r="A199" s="53"/>
      <c r="B199" s="54"/>
      <c r="C199" s="153" t="str">
        <f t="shared" si="16"/>
        <v/>
      </c>
      <c r="D199" s="55"/>
      <c r="E199" s="242"/>
      <c r="F199" s="243"/>
      <c r="G199" s="51"/>
    </row>
    <row r="200" spans="1:7" s="52" customFormat="1" x14ac:dyDescent="0.3">
      <c r="A200" s="54"/>
      <c r="B200" s="54"/>
      <c r="C200" s="154" t="str">
        <f t="shared" si="16"/>
        <v/>
      </c>
      <c r="D200" s="55"/>
      <c r="E200" s="242"/>
      <c r="F200" s="243"/>
      <c r="G200" s="51"/>
    </row>
    <row r="201" spans="1:7" s="52" customFormat="1" x14ac:dyDescent="0.3">
      <c r="A201" s="54"/>
      <c r="B201" s="54"/>
      <c r="C201" s="154" t="str">
        <f t="shared" si="16"/>
        <v/>
      </c>
      <c r="D201" s="55"/>
      <c r="E201" s="242"/>
      <c r="F201" s="243"/>
      <c r="G201" s="51"/>
    </row>
    <row r="202" spans="1:7" s="52" customFormat="1" x14ac:dyDescent="0.3">
      <c r="A202" s="54"/>
      <c r="B202" s="54"/>
      <c r="C202" s="154" t="str">
        <f t="shared" si="16"/>
        <v/>
      </c>
      <c r="D202" s="55"/>
      <c r="E202" s="242"/>
      <c r="F202" s="243"/>
      <c r="G202" s="51"/>
    </row>
    <row r="203" spans="1:7" s="52" customFormat="1" ht="15" thickBot="1" x14ac:dyDescent="0.35">
      <c r="A203" s="56"/>
      <c r="B203" s="56"/>
      <c r="C203" s="155" t="str">
        <f t="shared" si="16"/>
        <v/>
      </c>
      <c r="D203" s="57"/>
      <c r="E203" s="244"/>
      <c r="F203" s="245"/>
      <c r="G203" s="51"/>
    </row>
    <row r="204" spans="1:7" s="52" customFormat="1" ht="15" thickBot="1" x14ac:dyDescent="0.35">
      <c r="A204" s="111" t="s">
        <v>27</v>
      </c>
      <c r="B204" s="84">
        <f>SUM(B196:B203)</f>
        <v>36</v>
      </c>
      <c r="C204" s="111" t="str">
        <f xml:space="preserve"> setValueToTime(B204)</f>
        <v>3h</v>
      </c>
      <c r="D204" s="120"/>
      <c r="E204" s="236"/>
      <c r="F204" s="237"/>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3">
        <v>25</v>
      </c>
      <c r="C206" s="163"/>
      <c r="D206" s="82" t="s">
        <v>15</v>
      </c>
      <c r="E206" s="94">
        <v>45343</v>
      </c>
      <c r="F206" s="126"/>
      <c r="G206" s="46"/>
    </row>
    <row r="207" spans="1:7" s="47" customFormat="1" ht="30" customHeight="1" thickBot="1" x14ac:dyDescent="0.3">
      <c r="A207" s="80" t="s">
        <v>5</v>
      </c>
      <c r="B207" s="150" t="s">
        <v>38</v>
      </c>
      <c r="C207" s="151"/>
      <c r="D207" s="80" t="s">
        <v>13</v>
      </c>
      <c r="E207" s="238" t="s">
        <v>14</v>
      </c>
      <c r="F207" s="239"/>
      <c r="G207" s="46"/>
    </row>
    <row r="208" spans="1:7" s="52" customFormat="1" ht="27" x14ac:dyDescent="0.3">
      <c r="A208" s="48" t="s">
        <v>54</v>
      </c>
      <c r="B208" s="49">
        <v>36</v>
      </c>
      <c r="C208" s="152" t="str">
        <f xml:space="preserve"> IF(B208="","",setValueToTime(B208))</f>
        <v>3h</v>
      </c>
      <c r="D208" s="50"/>
      <c r="E208" s="240"/>
      <c r="F208" s="241"/>
      <c r="G208" s="51"/>
    </row>
    <row r="209" spans="1:7" s="52" customFormat="1" x14ac:dyDescent="0.3">
      <c r="A209" s="53"/>
      <c r="B209" s="54"/>
      <c r="C209" s="153" t="str">
        <f t="shared" ref="C209:C215" si="17" xml:space="preserve"> IF(B209="","",setValueToTime(B209))</f>
        <v/>
      </c>
      <c r="D209" s="55"/>
      <c r="E209" s="242"/>
      <c r="F209" s="243"/>
      <c r="G209" s="51"/>
    </row>
    <row r="210" spans="1:7" s="52" customFormat="1" x14ac:dyDescent="0.3">
      <c r="A210" s="53"/>
      <c r="B210" s="54"/>
      <c r="C210" s="153" t="str">
        <f t="shared" si="17"/>
        <v/>
      </c>
      <c r="D210" s="55"/>
      <c r="E210" s="242"/>
      <c r="F210" s="243"/>
      <c r="G210" s="51"/>
    </row>
    <row r="211" spans="1:7" s="52" customFormat="1" x14ac:dyDescent="0.3">
      <c r="A211" s="53"/>
      <c r="B211" s="54"/>
      <c r="C211" s="153" t="str">
        <f t="shared" si="17"/>
        <v/>
      </c>
      <c r="D211" s="55"/>
      <c r="E211" s="242"/>
      <c r="F211" s="243"/>
      <c r="G211" s="51"/>
    </row>
    <row r="212" spans="1:7" s="52" customFormat="1" x14ac:dyDescent="0.3">
      <c r="A212" s="54"/>
      <c r="B212" s="54"/>
      <c r="C212" s="154" t="str">
        <f t="shared" si="17"/>
        <v/>
      </c>
      <c r="D212" s="55"/>
      <c r="E212" s="242"/>
      <c r="F212" s="243"/>
      <c r="G212" s="51"/>
    </row>
    <row r="213" spans="1:7" s="52" customFormat="1" x14ac:dyDescent="0.3">
      <c r="A213" s="54"/>
      <c r="B213" s="54"/>
      <c r="C213" s="154" t="str">
        <f t="shared" si="17"/>
        <v/>
      </c>
      <c r="D213" s="55"/>
      <c r="E213" s="242"/>
      <c r="F213" s="243"/>
      <c r="G213" s="51"/>
    </row>
    <row r="214" spans="1:7" s="52" customFormat="1" x14ac:dyDescent="0.3">
      <c r="A214" s="54"/>
      <c r="B214" s="54"/>
      <c r="C214" s="154" t="str">
        <f t="shared" si="17"/>
        <v/>
      </c>
      <c r="D214" s="55"/>
      <c r="E214" s="242"/>
      <c r="F214" s="243"/>
      <c r="G214" s="51"/>
    </row>
    <row r="215" spans="1:7" s="52" customFormat="1" ht="15" thickBot="1" x14ac:dyDescent="0.35">
      <c r="A215" s="56"/>
      <c r="B215" s="56"/>
      <c r="C215" s="155" t="str">
        <f t="shared" si="17"/>
        <v/>
      </c>
      <c r="D215" s="57"/>
      <c r="E215" s="244"/>
      <c r="F215" s="245"/>
      <c r="G215" s="51"/>
    </row>
    <row r="216" spans="1:7" s="52" customFormat="1" ht="15" thickBot="1" x14ac:dyDescent="0.35">
      <c r="A216" s="111" t="s">
        <v>27</v>
      </c>
      <c r="B216" s="84">
        <f>SUM(B208:B215)</f>
        <v>36</v>
      </c>
      <c r="C216" s="111" t="str">
        <f xml:space="preserve"> setValueToTime(B216)</f>
        <v>3h</v>
      </c>
      <c r="D216" s="120"/>
      <c r="E216" s="236"/>
      <c r="F216" s="237"/>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3">
        <v>24</v>
      </c>
      <c r="C218" s="163"/>
      <c r="D218" s="82" t="s">
        <v>15</v>
      </c>
      <c r="E218" s="94">
        <v>45343</v>
      </c>
      <c r="F218" s="126"/>
      <c r="G218" s="46"/>
    </row>
    <row r="219" spans="1:7" s="47" customFormat="1" ht="30" customHeight="1" thickBot="1" x14ac:dyDescent="0.3">
      <c r="A219" s="80" t="s">
        <v>5</v>
      </c>
      <c r="B219" s="150" t="s">
        <v>38</v>
      </c>
      <c r="C219" s="151"/>
      <c r="D219" s="80" t="s">
        <v>13</v>
      </c>
      <c r="E219" s="238" t="s">
        <v>14</v>
      </c>
      <c r="F219" s="239"/>
      <c r="G219" s="46"/>
    </row>
    <row r="220" spans="1:7" s="52" customFormat="1" ht="27" x14ac:dyDescent="0.3">
      <c r="A220" s="48" t="s">
        <v>54</v>
      </c>
      <c r="B220" s="49">
        <v>36</v>
      </c>
      <c r="C220" s="152" t="str">
        <f xml:space="preserve"> IF(B220="","",setValueToTime(B220))</f>
        <v>3h</v>
      </c>
      <c r="D220" s="50"/>
      <c r="E220" s="240"/>
      <c r="F220" s="241"/>
      <c r="G220" s="51"/>
    </row>
    <row r="221" spans="1:7" s="52" customFormat="1" x14ac:dyDescent="0.3">
      <c r="A221" s="53"/>
      <c r="B221" s="54"/>
      <c r="C221" s="153" t="str">
        <f t="shared" ref="C221:C227" si="18" xml:space="preserve"> IF(B221="","",setValueToTime(B221))</f>
        <v/>
      </c>
      <c r="D221" s="55"/>
      <c r="E221" s="242"/>
      <c r="F221" s="243"/>
      <c r="G221" s="51"/>
    </row>
    <row r="222" spans="1:7" s="52" customFormat="1" x14ac:dyDescent="0.3">
      <c r="A222" s="53"/>
      <c r="B222" s="54"/>
      <c r="C222" s="153" t="str">
        <f t="shared" si="18"/>
        <v/>
      </c>
      <c r="D222" s="55"/>
      <c r="E222" s="242"/>
      <c r="F222" s="243"/>
      <c r="G222" s="51"/>
    </row>
    <row r="223" spans="1:7" s="52" customFormat="1" x14ac:dyDescent="0.3">
      <c r="A223" s="53"/>
      <c r="B223" s="54"/>
      <c r="C223" s="153" t="str">
        <f t="shared" si="18"/>
        <v/>
      </c>
      <c r="D223" s="55"/>
      <c r="E223" s="242"/>
      <c r="F223" s="243"/>
      <c r="G223" s="51"/>
    </row>
    <row r="224" spans="1:7" s="52" customFormat="1" x14ac:dyDescent="0.3">
      <c r="A224" s="54"/>
      <c r="B224" s="54"/>
      <c r="C224" s="154" t="str">
        <f t="shared" si="18"/>
        <v/>
      </c>
      <c r="D224" s="55"/>
      <c r="E224" s="242"/>
      <c r="F224" s="243"/>
      <c r="G224" s="51"/>
    </row>
    <row r="225" spans="1:7" s="52" customFormat="1" x14ac:dyDescent="0.3">
      <c r="A225" s="54"/>
      <c r="B225" s="54"/>
      <c r="C225" s="154" t="str">
        <f t="shared" si="18"/>
        <v/>
      </c>
      <c r="D225" s="55"/>
      <c r="E225" s="242"/>
      <c r="F225" s="243"/>
      <c r="G225" s="51"/>
    </row>
    <row r="226" spans="1:7" s="52" customFormat="1" x14ac:dyDescent="0.3">
      <c r="A226" s="54"/>
      <c r="B226" s="54"/>
      <c r="C226" s="154" t="str">
        <f t="shared" si="18"/>
        <v/>
      </c>
      <c r="D226" s="55"/>
      <c r="E226" s="242"/>
      <c r="F226" s="243"/>
      <c r="G226" s="51"/>
    </row>
    <row r="227" spans="1:7" s="52" customFormat="1" ht="15" thickBot="1" x14ac:dyDescent="0.35">
      <c r="A227" s="56"/>
      <c r="B227" s="56"/>
      <c r="C227" s="155" t="str">
        <f t="shared" si="18"/>
        <v/>
      </c>
      <c r="D227" s="57"/>
      <c r="E227" s="244"/>
      <c r="F227" s="245"/>
      <c r="G227" s="51"/>
    </row>
    <row r="228" spans="1:7" s="52" customFormat="1" ht="15" thickBot="1" x14ac:dyDescent="0.35">
      <c r="A228" s="111" t="s">
        <v>27</v>
      </c>
      <c r="B228" s="84">
        <f>SUM(B220:B227)</f>
        <v>36</v>
      </c>
      <c r="C228" s="111" t="str">
        <f xml:space="preserve"> setValueToTime(B228)</f>
        <v>3h</v>
      </c>
      <c r="D228" s="120"/>
      <c r="E228" s="236"/>
      <c r="F228" s="237"/>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3">
        <v>23</v>
      </c>
      <c r="C230" s="163"/>
      <c r="D230" s="82" t="s">
        <v>15</v>
      </c>
      <c r="E230" s="94">
        <v>45341</v>
      </c>
      <c r="F230" s="126"/>
      <c r="G230" s="46"/>
    </row>
    <row r="231" spans="1:7" s="47" customFormat="1" ht="30" customHeight="1" thickBot="1" x14ac:dyDescent="0.3">
      <c r="A231" s="80" t="s">
        <v>5</v>
      </c>
      <c r="B231" s="150" t="s">
        <v>38</v>
      </c>
      <c r="C231" s="151"/>
      <c r="D231" s="80" t="s">
        <v>13</v>
      </c>
      <c r="E231" s="238" t="s">
        <v>14</v>
      </c>
      <c r="F231" s="239"/>
      <c r="G231" s="46"/>
    </row>
    <row r="232" spans="1:7" s="52" customFormat="1" ht="40.5" x14ac:dyDescent="0.3">
      <c r="A232" s="48" t="s">
        <v>50</v>
      </c>
      <c r="B232" s="49">
        <v>27</v>
      </c>
      <c r="C232" s="152" t="str">
        <f xml:space="preserve"> IF(B232="","",setValueToTime(B232))</f>
        <v>2h15min</v>
      </c>
      <c r="D232" s="50"/>
      <c r="E232" s="240"/>
      <c r="F232" s="241"/>
      <c r="G232" s="51"/>
    </row>
    <row r="233" spans="1:7" s="52" customFormat="1" x14ac:dyDescent="0.3">
      <c r="A233" s="53"/>
      <c r="B233" s="54"/>
      <c r="C233" s="153" t="str">
        <f t="shared" ref="C233:C239" si="19" xml:space="preserve"> IF(B233="","",setValueToTime(B233))</f>
        <v/>
      </c>
      <c r="D233" s="55"/>
      <c r="E233" s="242"/>
      <c r="F233" s="243"/>
      <c r="G233" s="51"/>
    </row>
    <row r="234" spans="1:7" s="52" customFormat="1" x14ac:dyDescent="0.3">
      <c r="A234" s="53"/>
      <c r="B234" s="54"/>
      <c r="C234" s="153" t="str">
        <f t="shared" si="19"/>
        <v/>
      </c>
      <c r="D234" s="55"/>
      <c r="E234" s="242"/>
      <c r="F234" s="243"/>
      <c r="G234" s="51"/>
    </row>
    <row r="235" spans="1:7" s="52" customFormat="1" x14ac:dyDescent="0.3">
      <c r="A235" s="53"/>
      <c r="B235" s="54"/>
      <c r="C235" s="153" t="str">
        <f t="shared" si="19"/>
        <v/>
      </c>
      <c r="D235" s="55"/>
      <c r="E235" s="242"/>
      <c r="F235" s="243"/>
      <c r="G235" s="51"/>
    </row>
    <row r="236" spans="1:7" s="52" customFormat="1" x14ac:dyDescent="0.3">
      <c r="A236" s="54"/>
      <c r="B236" s="54"/>
      <c r="C236" s="154" t="str">
        <f t="shared" si="19"/>
        <v/>
      </c>
      <c r="D236" s="55"/>
      <c r="E236" s="242"/>
      <c r="F236" s="243"/>
      <c r="G236" s="51"/>
    </row>
    <row r="237" spans="1:7" s="52" customFormat="1" x14ac:dyDescent="0.3">
      <c r="A237" s="54"/>
      <c r="B237" s="54"/>
      <c r="C237" s="154" t="str">
        <f t="shared" si="19"/>
        <v/>
      </c>
      <c r="D237" s="55"/>
      <c r="E237" s="242"/>
      <c r="F237" s="243"/>
      <c r="G237" s="51"/>
    </row>
    <row r="238" spans="1:7" s="52" customFormat="1" x14ac:dyDescent="0.3">
      <c r="A238" s="54"/>
      <c r="B238" s="54"/>
      <c r="C238" s="154" t="str">
        <f t="shared" si="19"/>
        <v/>
      </c>
      <c r="D238" s="55"/>
      <c r="E238" s="242"/>
      <c r="F238" s="243"/>
      <c r="G238" s="51"/>
    </row>
    <row r="239" spans="1:7" s="52" customFormat="1" ht="15" thickBot="1" x14ac:dyDescent="0.35">
      <c r="A239" s="56"/>
      <c r="B239" s="56"/>
      <c r="C239" s="155" t="str">
        <f t="shared" si="19"/>
        <v/>
      </c>
      <c r="D239" s="57"/>
      <c r="E239" s="244"/>
      <c r="F239" s="245"/>
      <c r="G239" s="51"/>
    </row>
    <row r="240" spans="1:7" s="52" customFormat="1" ht="15" thickBot="1" x14ac:dyDescent="0.35">
      <c r="A240" s="111" t="s">
        <v>27</v>
      </c>
      <c r="B240" s="84">
        <f>SUM(B232:B239)</f>
        <v>27</v>
      </c>
      <c r="C240" s="111" t="str">
        <f xml:space="preserve"> setValueToTime(B240)</f>
        <v>2h15min</v>
      </c>
      <c r="D240" s="120"/>
      <c r="E240" s="236"/>
      <c r="F240" s="237"/>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3">
        <v>22</v>
      </c>
      <c r="C242" s="163"/>
      <c r="D242" s="82" t="s">
        <v>15</v>
      </c>
      <c r="E242" s="94">
        <v>45341</v>
      </c>
      <c r="F242" s="126"/>
      <c r="G242" s="46"/>
    </row>
    <row r="243" spans="1:7" s="47" customFormat="1" ht="30" customHeight="1" thickBot="1" x14ac:dyDescent="0.3">
      <c r="A243" s="80" t="s">
        <v>5</v>
      </c>
      <c r="B243" s="150" t="s">
        <v>38</v>
      </c>
      <c r="C243" s="151"/>
      <c r="D243" s="80" t="s">
        <v>13</v>
      </c>
      <c r="E243" s="238" t="s">
        <v>14</v>
      </c>
      <c r="F243" s="239"/>
      <c r="G243" s="46"/>
    </row>
    <row r="244" spans="1:7" s="52" customFormat="1" ht="40.5" x14ac:dyDescent="0.3">
      <c r="A244" s="48" t="s">
        <v>50</v>
      </c>
      <c r="B244" s="49">
        <v>45</v>
      </c>
      <c r="C244" s="152" t="str">
        <f xml:space="preserve"> IF(B244="","",setValueToTime(B244))</f>
        <v>3h45min</v>
      </c>
      <c r="D244" s="50"/>
      <c r="E244" s="240"/>
      <c r="F244" s="241"/>
      <c r="G244" s="51"/>
    </row>
    <row r="245" spans="1:7" s="52" customFormat="1" x14ac:dyDescent="0.3">
      <c r="A245" s="53"/>
      <c r="B245" s="54"/>
      <c r="C245" s="153" t="str">
        <f t="shared" ref="C245:C251" si="20" xml:space="preserve"> IF(B245="","",setValueToTime(B245))</f>
        <v/>
      </c>
      <c r="D245" s="55"/>
      <c r="E245" s="242"/>
      <c r="F245" s="243"/>
      <c r="G245" s="51"/>
    </row>
    <row r="246" spans="1:7" s="52" customFormat="1" x14ac:dyDescent="0.3">
      <c r="A246" s="53"/>
      <c r="B246" s="54"/>
      <c r="C246" s="153" t="str">
        <f t="shared" si="20"/>
        <v/>
      </c>
      <c r="D246" s="55"/>
      <c r="E246" s="242"/>
      <c r="F246" s="243"/>
      <c r="G246" s="51"/>
    </row>
    <row r="247" spans="1:7" s="52" customFormat="1" x14ac:dyDescent="0.3">
      <c r="A247" s="53"/>
      <c r="B247" s="54"/>
      <c r="C247" s="153" t="str">
        <f t="shared" si="20"/>
        <v/>
      </c>
      <c r="D247" s="55"/>
      <c r="E247" s="242"/>
      <c r="F247" s="243"/>
      <c r="G247" s="51"/>
    </row>
    <row r="248" spans="1:7" s="52" customFormat="1" x14ac:dyDescent="0.3">
      <c r="A248" s="54"/>
      <c r="B248" s="54"/>
      <c r="C248" s="154" t="str">
        <f t="shared" si="20"/>
        <v/>
      </c>
      <c r="D248" s="55"/>
      <c r="E248" s="242"/>
      <c r="F248" s="243"/>
      <c r="G248" s="51"/>
    </row>
    <row r="249" spans="1:7" s="52" customFormat="1" x14ac:dyDescent="0.3">
      <c r="A249" s="54"/>
      <c r="B249" s="54"/>
      <c r="C249" s="154" t="str">
        <f t="shared" si="20"/>
        <v/>
      </c>
      <c r="D249" s="55"/>
      <c r="E249" s="242"/>
      <c r="F249" s="243"/>
      <c r="G249" s="51"/>
    </row>
    <row r="250" spans="1:7" s="52" customFormat="1" x14ac:dyDescent="0.3">
      <c r="A250" s="54"/>
      <c r="B250" s="54"/>
      <c r="C250" s="154" t="str">
        <f t="shared" si="20"/>
        <v/>
      </c>
      <c r="D250" s="55"/>
      <c r="E250" s="242"/>
      <c r="F250" s="243"/>
      <c r="G250" s="51"/>
    </row>
    <row r="251" spans="1:7" s="52" customFormat="1" ht="15" thickBot="1" x14ac:dyDescent="0.35">
      <c r="A251" s="56"/>
      <c r="B251" s="56"/>
      <c r="C251" s="155" t="str">
        <f t="shared" si="20"/>
        <v/>
      </c>
      <c r="D251" s="57"/>
      <c r="E251" s="244"/>
      <c r="F251" s="245"/>
      <c r="G251" s="51"/>
    </row>
    <row r="252" spans="1:7" s="52" customFormat="1" ht="15" thickBot="1" x14ac:dyDescent="0.35">
      <c r="A252" s="111" t="s">
        <v>27</v>
      </c>
      <c r="B252" s="84">
        <f>SUM(B244:B251)</f>
        <v>45</v>
      </c>
      <c r="C252" s="111" t="str">
        <f xml:space="preserve"> setValueToTime(B252)</f>
        <v>3h45min</v>
      </c>
      <c r="D252" s="120"/>
      <c r="E252" s="236"/>
      <c r="F252" s="237"/>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3">
        <v>21</v>
      </c>
      <c r="C254" s="163"/>
      <c r="D254" s="82" t="s">
        <v>15</v>
      </c>
      <c r="E254" s="94">
        <v>45331</v>
      </c>
      <c r="F254" s="126"/>
      <c r="G254" s="46"/>
    </row>
    <row r="255" spans="1:7" s="47" customFormat="1" ht="30" customHeight="1" thickBot="1" x14ac:dyDescent="0.3">
      <c r="A255" s="80" t="s">
        <v>5</v>
      </c>
      <c r="B255" s="150" t="s">
        <v>38</v>
      </c>
      <c r="C255" s="151"/>
      <c r="D255" s="80" t="s">
        <v>13</v>
      </c>
      <c r="E255" s="238" t="s">
        <v>14</v>
      </c>
      <c r="F255" s="239"/>
      <c r="G255" s="46"/>
    </row>
    <row r="256" spans="1:7" s="52" customFormat="1" ht="40.5" x14ac:dyDescent="0.3">
      <c r="A256" s="48" t="s">
        <v>50</v>
      </c>
      <c r="B256" s="49">
        <v>36</v>
      </c>
      <c r="C256" s="152" t="str">
        <f xml:space="preserve"> IF(B256="","",setValueToTime(B256))</f>
        <v>3h</v>
      </c>
      <c r="D256" s="50"/>
      <c r="E256" s="240"/>
      <c r="F256" s="241"/>
      <c r="G256" s="51"/>
    </row>
    <row r="257" spans="1:7" s="52" customFormat="1" x14ac:dyDescent="0.3">
      <c r="A257" s="53"/>
      <c r="B257" s="54"/>
      <c r="C257" s="153" t="str">
        <f t="shared" ref="C257:C263" si="21" xml:space="preserve"> IF(B257="","",setValueToTime(B257))</f>
        <v/>
      </c>
      <c r="D257" s="55"/>
      <c r="E257" s="242"/>
      <c r="F257" s="243"/>
      <c r="G257" s="51"/>
    </row>
    <row r="258" spans="1:7" s="52" customFormat="1" x14ac:dyDescent="0.3">
      <c r="A258" s="53"/>
      <c r="B258" s="54"/>
      <c r="C258" s="153" t="str">
        <f t="shared" si="21"/>
        <v/>
      </c>
      <c r="D258" s="55"/>
      <c r="E258" s="242"/>
      <c r="F258" s="243"/>
      <c r="G258" s="51"/>
    </row>
    <row r="259" spans="1:7" s="52" customFormat="1" x14ac:dyDescent="0.3">
      <c r="A259" s="53"/>
      <c r="B259" s="54"/>
      <c r="C259" s="153" t="str">
        <f t="shared" si="21"/>
        <v/>
      </c>
      <c r="D259" s="55"/>
      <c r="E259" s="242"/>
      <c r="F259" s="243"/>
      <c r="G259" s="51"/>
    </row>
    <row r="260" spans="1:7" s="52" customFormat="1" x14ac:dyDescent="0.3">
      <c r="A260" s="54"/>
      <c r="B260" s="54"/>
      <c r="C260" s="154" t="str">
        <f t="shared" si="21"/>
        <v/>
      </c>
      <c r="D260" s="55"/>
      <c r="E260" s="242"/>
      <c r="F260" s="243"/>
      <c r="G260" s="51"/>
    </row>
    <row r="261" spans="1:7" s="52" customFormat="1" x14ac:dyDescent="0.3">
      <c r="A261" s="54"/>
      <c r="B261" s="54"/>
      <c r="C261" s="154" t="str">
        <f t="shared" si="21"/>
        <v/>
      </c>
      <c r="D261" s="55"/>
      <c r="E261" s="242"/>
      <c r="F261" s="243"/>
      <c r="G261" s="51"/>
    </row>
    <row r="262" spans="1:7" s="52" customFormat="1" x14ac:dyDescent="0.3">
      <c r="A262" s="54"/>
      <c r="B262" s="54"/>
      <c r="C262" s="154" t="str">
        <f t="shared" si="21"/>
        <v/>
      </c>
      <c r="D262" s="55"/>
      <c r="E262" s="242"/>
      <c r="F262" s="243"/>
      <c r="G262" s="51"/>
    </row>
    <row r="263" spans="1:7" s="52" customFormat="1" ht="15" thickBot="1" x14ac:dyDescent="0.35">
      <c r="A263" s="56"/>
      <c r="B263" s="56"/>
      <c r="C263" s="155" t="str">
        <f t="shared" si="21"/>
        <v/>
      </c>
      <c r="D263" s="57"/>
      <c r="E263" s="244"/>
      <c r="F263" s="245"/>
      <c r="G263" s="51"/>
    </row>
    <row r="264" spans="1:7" s="52" customFormat="1" ht="15" thickBot="1" x14ac:dyDescent="0.35">
      <c r="A264" s="111" t="s">
        <v>27</v>
      </c>
      <c r="B264" s="84">
        <f>SUM(B256:B263)</f>
        <v>36</v>
      </c>
      <c r="C264" s="111" t="str">
        <f xml:space="preserve"> setValueToTime(B264)</f>
        <v>3h</v>
      </c>
      <c r="D264" s="120"/>
      <c r="E264" s="236"/>
      <c r="F264" s="237"/>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3">
        <v>20</v>
      </c>
      <c r="C266" s="163"/>
      <c r="D266" s="82" t="s">
        <v>15</v>
      </c>
      <c r="E266" s="94">
        <v>45331</v>
      </c>
      <c r="F266" s="126"/>
      <c r="G266" s="46"/>
    </row>
    <row r="267" spans="1:7" s="47" customFormat="1" ht="30" customHeight="1" thickBot="1" x14ac:dyDescent="0.3">
      <c r="A267" s="80" t="s">
        <v>5</v>
      </c>
      <c r="B267" s="150" t="s">
        <v>38</v>
      </c>
      <c r="C267" s="151"/>
      <c r="D267" s="80" t="s">
        <v>13</v>
      </c>
      <c r="E267" s="238" t="s">
        <v>14</v>
      </c>
      <c r="F267" s="239"/>
      <c r="G267" s="46"/>
    </row>
    <row r="268" spans="1:7" s="52" customFormat="1" ht="40.5" x14ac:dyDescent="0.3">
      <c r="A268" s="48" t="s">
        <v>50</v>
      </c>
      <c r="B268" s="49">
        <v>45</v>
      </c>
      <c r="C268" s="152" t="str">
        <f xml:space="preserve"> IF(B268="","",setValueToTime(B268))</f>
        <v>3h45min</v>
      </c>
      <c r="D268" s="50"/>
      <c r="E268" s="240"/>
      <c r="F268" s="241"/>
      <c r="G268" s="51"/>
    </row>
    <row r="269" spans="1:7" s="52" customFormat="1" x14ac:dyDescent="0.3">
      <c r="A269" s="53"/>
      <c r="B269" s="54"/>
      <c r="C269" s="153" t="str">
        <f t="shared" ref="C269:C275" si="22" xml:space="preserve"> IF(B269="","",setValueToTime(B269))</f>
        <v/>
      </c>
      <c r="D269" s="55"/>
      <c r="E269" s="242"/>
      <c r="F269" s="243"/>
      <c r="G269" s="51"/>
    </row>
    <row r="270" spans="1:7" s="52" customFormat="1" x14ac:dyDescent="0.3">
      <c r="A270" s="53"/>
      <c r="B270" s="54"/>
      <c r="C270" s="153" t="str">
        <f t="shared" si="22"/>
        <v/>
      </c>
      <c r="D270" s="55"/>
      <c r="E270" s="242"/>
      <c r="F270" s="243"/>
      <c r="G270" s="51"/>
    </row>
    <row r="271" spans="1:7" s="52" customFormat="1" x14ac:dyDescent="0.3">
      <c r="A271" s="53"/>
      <c r="B271" s="54"/>
      <c r="C271" s="153" t="str">
        <f t="shared" si="22"/>
        <v/>
      </c>
      <c r="D271" s="55"/>
      <c r="E271" s="242"/>
      <c r="F271" s="243"/>
      <c r="G271" s="51"/>
    </row>
    <row r="272" spans="1:7" s="52" customFormat="1" x14ac:dyDescent="0.3">
      <c r="A272" s="54"/>
      <c r="B272" s="54"/>
      <c r="C272" s="154" t="str">
        <f t="shared" si="22"/>
        <v/>
      </c>
      <c r="D272" s="55"/>
      <c r="E272" s="242"/>
      <c r="F272" s="243"/>
      <c r="G272" s="51"/>
    </row>
    <row r="273" spans="1:7" s="52" customFormat="1" x14ac:dyDescent="0.3">
      <c r="A273" s="54"/>
      <c r="B273" s="54"/>
      <c r="C273" s="154" t="str">
        <f t="shared" si="22"/>
        <v/>
      </c>
      <c r="D273" s="55"/>
      <c r="E273" s="242"/>
      <c r="F273" s="243"/>
      <c r="G273" s="51"/>
    </row>
    <row r="274" spans="1:7" s="52" customFormat="1" x14ac:dyDescent="0.3">
      <c r="A274" s="54"/>
      <c r="B274" s="54"/>
      <c r="C274" s="154" t="str">
        <f t="shared" si="22"/>
        <v/>
      </c>
      <c r="D274" s="55"/>
      <c r="E274" s="242"/>
      <c r="F274" s="243"/>
      <c r="G274" s="51"/>
    </row>
    <row r="275" spans="1:7" s="52" customFormat="1" ht="15" thickBot="1" x14ac:dyDescent="0.35">
      <c r="A275" s="56"/>
      <c r="B275" s="56"/>
      <c r="C275" s="155" t="str">
        <f t="shared" si="22"/>
        <v/>
      </c>
      <c r="D275" s="57"/>
      <c r="E275" s="244"/>
      <c r="F275" s="245"/>
      <c r="G275" s="51"/>
    </row>
    <row r="276" spans="1:7" s="52" customFormat="1" ht="15" thickBot="1" x14ac:dyDescent="0.35">
      <c r="A276" s="111" t="s">
        <v>27</v>
      </c>
      <c r="B276" s="84">
        <f>SUM(B268:B275)</f>
        <v>45</v>
      </c>
      <c r="C276" s="111" t="str">
        <f xml:space="preserve"> setValueToTime(B276)</f>
        <v>3h45min</v>
      </c>
      <c r="D276" s="120"/>
      <c r="E276" s="236"/>
      <c r="F276" s="237"/>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3">
        <v>19</v>
      </c>
      <c r="C278" s="163"/>
      <c r="D278" s="82" t="s">
        <v>15</v>
      </c>
      <c r="E278" s="94">
        <v>45330</v>
      </c>
      <c r="F278" s="126"/>
      <c r="G278" s="46"/>
    </row>
    <row r="279" spans="1:7" s="47" customFormat="1" ht="30" customHeight="1" thickBot="1" x14ac:dyDescent="0.3">
      <c r="A279" s="80" t="s">
        <v>5</v>
      </c>
      <c r="B279" s="150" t="s">
        <v>38</v>
      </c>
      <c r="C279" s="151"/>
      <c r="D279" s="80" t="s">
        <v>13</v>
      </c>
      <c r="E279" s="238" t="s">
        <v>14</v>
      </c>
      <c r="F279" s="239"/>
      <c r="G279" s="46"/>
    </row>
    <row r="280" spans="1:7" s="52" customFormat="1" ht="40.5" x14ac:dyDescent="0.3">
      <c r="A280" s="48" t="s">
        <v>50</v>
      </c>
      <c r="B280" s="49">
        <v>36</v>
      </c>
      <c r="C280" s="152" t="str">
        <f xml:space="preserve"> IF(B280="","",setValueToTime(B280))</f>
        <v>3h</v>
      </c>
      <c r="D280" s="50"/>
      <c r="E280" s="240"/>
      <c r="F280" s="241"/>
      <c r="G280" s="51"/>
    </row>
    <row r="281" spans="1:7" s="52" customFormat="1" x14ac:dyDescent="0.3">
      <c r="A281" s="53"/>
      <c r="B281" s="54"/>
      <c r="C281" s="153" t="str">
        <f t="shared" ref="C281:C287" si="23" xml:space="preserve"> IF(B281="","",setValueToTime(B281))</f>
        <v/>
      </c>
      <c r="D281" s="55"/>
      <c r="E281" s="242"/>
      <c r="F281" s="243"/>
      <c r="G281" s="51"/>
    </row>
    <row r="282" spans="1:7" s="52" customFormat="1" x14ac:dyDescent="0.3">
      <c r="A282" s="53"/>
      <c r="B282" s="54"/>
      <c r="C282" s="153" t="str">
        <f t="shared" si="23"/>
        <v/>
      </c>
      <c r="D282" s="55"/>
      <c r="E282" s="242"/>
      <c r="F282" s="243"/>
      <c r="G282" s="51"/>
    </row>
    <row r="283" spans="1:7" s="52" customFormat="1" x14ac:dyDescent="0.3">
      <c r="A283" s="53"/>
      <c r="B283" s="54"/>
      <c r="C283" s="153" t="str">
        <f t="shared" si="23"/>
        <v/>
      </c>
      <c r="D283" s="55"/>
      <c r="E283" s="242"/>
      <c r="F283" s="243"/>
      <c r="G283" s="51"/>
    </row>
    <row r="284" spans="1:7" s="52" customFormat="1" x14ac:dyDescent="0.3">
      <c r="A284" s="54"/>
      <c r="B284" s="54"/>
      <c r="C284" s="154" t="str">
        <f t="shared" si="23"/>
        <v/>
      </c>
      <c r="D284" s="55"/>
      <c r="E284" s="242"/>
      <c r="F284" s="243"/>
      <c r="G284" s="51"/>
    </row>
    <row r="285" spans="1:7" s="52" customFormat="1" x14ac:dyDescent="0.3">
      <c r="A285" s="54"/>
      <c r="B285" s="54"/>
      <c r="C285" s="154" t="str">
        <f t="shared" si="23"/>
        <v/>
      </c>
      <c r="D285" s="55"/>
      <c r="E285" s="242"/>
      <c r="F285" s="243"/>
      <c r="G285" s="51"/>
    </row>
    <row r="286" spans="1:7" s="52" customFormat="1" x14ac:dyDescent="0.3">
      <c r="A286" s="54"/>
      <c r="B286" s="54"/>
      <c r="C286" s="154" t="str">
        <f t="shared" si="23"/>
        <v/>
      </c>
      <c r="D286" s="55"/>
      <c r="E286" s="242"/>
      <c r="F286" s="243"/>
      <c r="G286" s="51"/>
    </row>
    <row r="287" spans="1:7" s="52" customFormat="1" ht="15" thickBot="1" x14ac:dyDescent="0.35">
      <c r="A287" s="56"/>
      <c r="B287" s="56"/>
      <c r="C287" s="155" t="str">
        <f t="shared" si="23"/>
        <v/>
      </c>
      <c r="D287" s="57"/>
      <c r="E287" s="244"/>
      <c r="F287" s="245"/>
      <c r="G287" s="51"/>
    </row>
    <row r="288" spans="1:7" s="52" customFormat="1" ht="15" thickBot="1" x14ac:dyDescent="0.35">
      <c r="A288" s="111" t="s">
        <v>27</v>
      </c>
      <c r="B288" s="84">
        <f>SUM(B280:B287)</f>
        <v>36</v>
      </c>
      <c r="C288" s="111" t="str">
        <f xml:space="preserve"> setValueToTime(B288)</f>
        <v>3h</v>
      </c>
      <c r="D288" s="120"/>
      <c r="E288" s="236"/>
      <c r="F288" s="237"/>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3">
        <v>18</v>
      </c>
      <c r="C290" s="163"/>
      <c r="D290" s="82" t="s">
        <v>15</v>
      </c>
      <c r="E290" s="94">
        <v>45329</v>
      </c>
      <c r="F290" s="126"/>
      <c r="G290" s="46"/>
    </row>
    <row r="291" spans="1:7" s="47" customFormat="1" ht="30" customHeight="1" thickBot="1" x14ac:dyDescent="0.3">
      <c r="A291" s="80" t="s">
        <v>5</v>
      </c>
      <c r="B291" s="150" t="s">
        <v>38</v>
      </c>
      <c r="C291" s="151"/>
      <c r="D291" s="80" t="s">
        <v>13</v>
      </c>
      <c r="E291" s="238" t="s">
        <v>14</v>
      </c>
      <c r="F291" s="239"/>
      <c r="G291" s="46"/>
    </row>
    <row r="292" spans="1:7" s="52" customFormat="1" ht="40.5" x14ac:dyDescent="0.3">
      <c r="A292" s="48" t="s">
        <v>50</v>
      </c>
      <c r="B292" s="49">
        <v>36</v>
      </c>
      <c r="C292" s="152" t="str">
        <f xml:space="preserve"> IF(B292="","",setValueToTime(B292))</f>
        <v>3h</v>
      </c>
      <c r="D292" s="50"/>
      <c r="E292" s="240"/>
      <c r="F292" s="241"/>
      <c r="G292" s="51"/>
    </row>
    <row r="293" spans="1:7" s="52" customFormat="1" x14ac:dyDescent="0.3">
      <c r="A293" s="53"/>
      <c r="B293" s="54"/>
      <c r="C293" s="153" t="str">
        <f t="shared" ref="C293:C299" si="24" xml:space="preserve"> IF(B293="","",setValueToTime(B293))</f>
        <v/>
      </c>
      <c r="D293" s="55"/>
      <c r="E293" s="242"/>
      <c r="F293" s="243"/>
      <c r="G293" s="51"/>
    </row>
    <row r="294" spans="1:7" s="52" customFormat="1" x14ac:dyDescent="0.3">
      <c r="A294" s="53"/>
      <c r="B294" s="54"/>
      <c r="C294" s="153" t="str">
        <f t="shared" si="24"/>
        <v/>
      </c>
      <c r="D294" s="55"/>
      <c r="E294" s="242"/>
      <c r="F294" s="243"/>
      <c r="G294" s="51"/>
    </row>
    <row r="295" spans="1:7" s="52" customFormat="1" x14ac:dyDescent="0.3">
      <c r="A295" s="53"/>
      <c r="B295" s="54"/>
      <c r="C295" s="153" t="str">
        <f t="shared" si="24"/>
        <v/>
      </c>
      <c r="D295" s="55"/>
      <c r="E295" s="242"/>
      <c r="F295" s="243"/>
      <c r="G295" s="51"/>
    </row>
    <row r="296" spans="1:7" s="52" customFormat="1" x14ac:dyDescent="0.3">
      <c r="A296" s="54"/>
      <c r="B296" s="54"/>
      <c r="C296" s="154" t="str">
        <f t="shared" si="24"/>
        <v/>
      </c>
      <c r="D296" s="55"/>
      <c r="E296" s="242"/>
      <c r="F296" s="243"/>
      <c r="G296" s="51"/>
    </row>
    <row r="297" spans="1:7" s="52" customFormat="1" x14ac:dyDescent="0.3">
      <c r="A297" s="54"/>
      <c r="B297" s="54"/>
      <c r="C297" s="154" t="str">
        <f t="shared" si="24"/>
        <v/>
      </c>
      <c r="D297" s="55"/>
      <c r="E297" s="242"/>
      <c r="F297" s="243"/>
      <c r="G297" s="51"/>
    </row>
    <row r="298" spans="1:7" s="52" customFormat="1" x14ac:dyDescent="0.3">
      <c r="A298" s="54"/>
      <c r="B298" s="54"/>
      <c r="C298" s="154" t="str">
        <f t="shared" si="24"/>
        <v/>
      </c>
      <c r="D298" s="55"/>
      <c r="E298" s="242"/>
      <c r="F298" s="243"/>
      <c r="G298" s="51"/>
    </row>
    <row r="299" spans="1:7" s="52" customFormat="1" ht="15" thickBot="1" x14ac:dyDescent="0.35">
      <c r="A299" s="56"/>
      <c r="B299" s="56"/>
      <c r="C299" s="155" t="str">
        <f t="shared" si="24"/>
        <v/>
      </c>
      <c r="D299" s="57"/>
      <c r="E299" s="244"/>
      <c r="F299" s="245"/>
      <c r="G299" s="51"/>
    </row>
    <row r="300" spans="1:7" s="52" customFormat="1" ht="15" thickBot="1" x14ac:dyDescent="0.35">
      <c r="A300" s="111" t="s">
        <v>27</v>
      </c>
      <c r="B300" s="84">
        <f>SUM(B292:B299)</f>
        <v>36</v>
      </c>
      <c r="C300" s="111" t="str">
        <f xml:space="preserve"> setValueToTime(B300)</f>
        <v>3h</v>
      </c>
      <c r="D300" s="120"/>
      <c r="E300" s="236"/>
      <c r="F300" s="237"/>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3">
        <v>17</v>
      </c>
      <c r="C302" s="163"/>
      <c r="D302" s="82" t="s">
        <v>15</v>
      </c>
      <c r="E302" s="94">
        <v>45329</v>
      </c>
      <c r="F302" s="126"/>
      <c r="G302" s="46"/>
    </row>
    <row r="303" spans="1:7" s="47" customFormat="1" ht="30" customHeight="1" thickBot="1" x14ac:dyDescent="0.3">
      <c r="A303" s="80" t="s">
        <v>5</v>
      </c>
      <c r="B303" s="150" t="s">
        <v>38</v>
      </c>
      <c r="C303" s="151"/>
      <c r="D303" s="80" t="s">
        <v>13</v>
      </c>
      <c r="E303" s="238" t="s">
        <v>14</v>
      </c>
      <c r="F303" s="239"/>
      <c r="G303" s="46"/>
    </row>
    <row r="304" spans="1:7" s="52" customFormat="1" ht="27" x14ac:dyDescent="0.3">
      <c r="A304" s="48" t="s">
        <v>49</v>
      </c>
      <c r="B304" s="49">
        <v>18</v>
      </c>
      <c r="C304" s="152" t="str">
        <f xml:space="preserve"> IF(B304="","",setValueToTime(B304))</f>
        <v>1h30min</v>
      </c>
      <c r="D304" s="50"/>
      <c r="E304" s="240"/>
      <c r="F304" s="241"/>
      <c r="G304" s="51"/>
    </row>
    <row r="305" spans="1:7" s="52" customFormat="1" ht="40.5" x14ac:dyDescent="0.3">
      <c r="A305" s="53" t="s">
        <v>50</v>
      </c>
      <c r="B305" s="54">
        <v>18</v>
      </c>
      <c r="C305" s="153" t="str">
        <f t="shared" ref="C305:C311" si="25" xml:space="preserve"> IF(B305="","",setValueToTime(B305))</f>
        <v>1h30min</v>
      </c>
      <c r="D305" s="55"/>
      <c r="E305" s="242"/>
      <c r="F305" s="243"/>
      <c r="G305" s="51"/>
    </row>
    <row r="306" spans="1:7" s="52" customFormat="1" x14ac:dyDescent="0.3">
      <c r="A306" s="53"/>
      <c r="B306" s="54"/>
      <c r="C306" s="153" t="str">
        <f t="shared" si="25"/>
        <v/>
      </c>
      <c r="D306" s="55"/>
      <c r="E306" s="242"/>
      <c r="F306" s="243"/>
      <c r="G306" s="51"/>
    </row>
    <row r="307" spans="1:7" s="52" customFormat="1" x14ac:dyDescent="0.3">
      <c r="A307" s="53"/>
      <c r="B307" s="54"/>
      <c r="C307" s="153" t="str">
        <f t="shared" si="25"/>
        <v/>
      </c>
      <c r="D307" s="55"/>
      <c r="E307" s="242"/>
      <c r="F307" s="243"/>
      <c r="G307" s="51"/>
    </row>
    <row r="308" spans="1:7" s="52" customFormat="1" x14ac:dyDescent="0.3">
      <c r="A308" s="54"/>
      <c r="B308" s="54"/>
      <c r="C308" s="154" t="str">
        <f t="shared" si="25"/>
        <v/>
      </c>
      <c r="D308" s="55"/>
      <c r="E308" s="242"/>
      <c r="F308" s="243"/>
      <c r="G308" s="51"/>
    </row>
    <row r="309" spans="1:7" s="52" customFormat="1" x14ac:dyDescent="0.3">
      <c r="A309" s="54"/>
      <c r="B309" s="54"/>
      <c r="C309" s="154" t="str">
        <f t="shared" si="25"/>
        <v/>
      </c>
      <c r="D309" s="55"/>
      <c r="E309" s="242"/>
      <c r="F309" s="243"/>
      <c r="G309" s="51"/>
    </row>
    <row r="310" spans="1:7" s="52" customFormat="1" x14ac:dyDescent="0.3">
      <c r="A310" s="54"/>
      <c r="B310" s="54"/>
      <c r="C310" s="154" t="str">
        <f t="shared" si="25"/>
        <v/>
      </c>
      <c r="D310" s="55"/>
      <c r="E310" s="242"/>
      <c r="F310" s="243"/>
      <c r="G310" s="51"/>
    </row>
    <row r="311" spans="1:7" s="52" customFormat="1" ht="15" thickBot="1" x14ac:dyDescent="0.35">
      <c r="A311" s="56"/>
      <c r="B311" s="56"/>
      <c r="C311" s="155" t="str">
        <f t="shared" si="25"/>
        <v/>
      </c>
      <c r="D311" s="57"/>
      <c r="E311" s="244"/>
      <c r="F311" s="245"/>
      <c r="G311" s="51"/>
    </row>
    <row r="312" spans="1:7" s="52" customFormat="1" ht="15" thickBot="1" x14ac:dyDescent="0.35">
      <c r="A312" s="111" t="s">
        <v>27</v>
      </c>
      <c r="B312" s="84">
        <f>SUM(B304:B311)</f>
        <v>36</v>
      </c>
      <c r="C312" s="111" t="str">
        <f xml:space="preserve"> setValueToTime(B312)</f>
        <v>3h</v>
      </c>
      <c r="D312" s="120"/>
      <c r="E312" s="236"/>
      <c r="F312" s="237"/>
      <c r="G312" s="51"/>
    </row>
    <row r="313" spans="1:7" s="59" customFormat="1" ht="15" thickBot="1" x14ac:dyDescent="0.35">
      <c r="A313" s="79"/>
      <c r="B313" s="79"/>
      <c r="C313" s="79"/>
      <c r="D313" s="79"/>
      <c r="E313" s="79"/>
      <c r="F313" s="79"/>
      <c r="G313" s="58"/>
    </row>
    <row r="314" spans="1:7" s="47" customFormat="1" ht="30" customHeight="1" thickBot="1" x14ac:dyDescent="0.3">
      <c r="A314" s="81" t="s">
        <v>12</v>
      </c>
      <c r="B314" s="163">
        <v>16</v>
      </c>
      <c r="C314" s="163"/>
      <c r="D314" s="82" t="s">
        <v>15</v>
      </c>
      <c r="E314" s="94">
        <v>45327</v>
      </c>
      <c r="F314" s="126"/>
      <c r="G314" s="46"/>
    </row>
    <row r="315" spans="1:7" s="47" customFormat="1" ht="30" customHeight="1" thickBot="1" x14ac:dyDescent="0.3">
      <c r="A315" s="80" t="s">
        <v>5</v>
      </c>
      <c r="B315" s="150" t="s">
        <v>38</v>
      </c>
      <c r="C315" s="151"/>
      <c r="D315" s="80" t="s">
        <v>13</v>
      </c>
      <c r="E315" s="238" t="s">
        <v>14</v>
      </c>
      <c r="F315" s="239"/>
      <c r="G315" s="46"/>
    </row>
    <row r="316" spans="1:7" s="52" customFormat="1" ht="40.5" x14ac:dyDescent="0.3">
      <c r="A316" s="48" t="s">
        <v>48</v>
      </c>
      <c r="B316" s="49">
        <v>27</v>
      </c>
      <c r="C316" s="152" t="str">
        <f xml:space="preserve"> IF(B316="","",setValueToTime(B316))</f>
        <v>2h15min</v>
      </c>
      <c r="D316" s="50" t="s">
        <v>97</v>
      </c>
      <c r="E316" s="240"/>
      <c r="F316" s="241"/>
      <c r="G316" s="51"/>
    </row>
    <row r="317" spans="1:7" s="52" customFormat="1" x14ac:dyDescent="0.3">
      <c r="A317" s="53"/>
      <c r="B317" s="54"/>
      <c r="C317" s="153" t="str">
        <f t="shared" ref="C317:C323" si="26" xml:space="preserve"> IF(B317="","",setValueToTime(B317))</f>
        <v/>
      </c>
      <c r="D317" s="55"/>
      <c r="E317" s="242"/>
      <c r="F317" s="243"/>
      <c r="G317" s="51"/>
    </row>
    <row r="318" spans="1:7" s="52" customFormat="1" x14ac:dyDescent="0.3">
      <c r="A318" s="53"/>
      <c r="B318" s="54"/>
      <c r="C318" s="153" t="str">
        <f t="shared" si="26"/>
        <v/>
      </c>
      <c r="D318" s="55"/>
      <c r="E318" s="242"/>
      <c r="F318" s="243"/>
      <c r="G318" s="51"/>
    </row>
    <row r="319" spans="1:7" s="52" customFormat="1" x14ac:dyDescent="0.3">
      <c r="A319" s="53"/>
      <c r="B319" s="54"/>
      <c r="C319" s="153" t="str">
        <f t="shared" si="26"/>
        <v/>
      </c>
      <c r="D319" s="55"/>
      <c r="E319" s="242"/>
      <c r="F319" s="243"/>
      <c r="G319" s="51"/>
    </row>
    <row r="320" spans="1:7" s="52" customFormat="1" x14ac:dyDescent="0.3">
      <c r="A320" s="54"/>
      <c r="B320" s="54"/>
      <c r="C320" s="154" t="str">
        <f t="shared" si="26"/>
        <v/>
      </c>
      <c r="D320" s="55"/>
      <c r="E320" s="242"/>
      <c r="F320" s="243"/>
      <c r="G320" s="51"/>
    </row>
    <row r="321" spans="1:7" s="52" customFormat="1" x14ac:dyDescent="0.3">
      <c r="A321" s="54"/>
      <c r="B321" s="54"/>
      <c r="C321" s="154" t="str">
        <f t="shared" si="26"/>
        <v/>
      </c>
      <c r="D321" s="55"/>
      <c r="E321" s="242"/>
      <c r="F321" s="243"/>
      <c r="G321" s="51"/>
    </row>
    <row r="322" spans="1:7" s="52" customFormat="1" x14ac:dyDescent="0.3">
      <c r="A322" s="54"/>
      <c r="B322" s="54"/>
      <c r="C322" s="154" t="str">
        <f t="shared" si="26"/>
        <v/>
      </c>
      <c r="D322" s="55"/>
      <c r="E322" s="242"/>
      <c r="F322" s="243"/>
      <c r="G322" s="51"/>
    </row>
    <row r="323" spans="1:7" s="52" customFormat="1" ht="15" thickBot="1" x14ac:dyDescent="0.35">
      <c r="A323" s="56"/>
      <c r="B323" s="56"/>
      <c r="C323" s="155" t="str">
        <f t="shared" si="26"/>
        <v/>
      </c>
      <c r="D323" s="57"/>
      <c r="E323" s="244"/>
      <c r="F323" s="245"/>
      <c r="G323" s="51"/>
    </row>
    <row r="324" spans="1:7" s="52" customFormat="1" ht="15" thickBot="1" x14ac:dyDescent="0.35">
      <c r="A324" s="111" t="s">
        <v>27</v>
      </c>
      <c r="B324" s="84">
        <f>SUM(B316:B323)</f>
        <v>27</v>
      </c>
      <c r="C324" s="111" t="str">
        <f xml:space="preserve"> setValueToTime(B324)</f>
        <v>2h15min</v>
      </c>
      <c r="D324" s="120"/>
      <c r="E324" s="236"/>
      <c r="F324" s="237"/>
      <c r="G324" s="51"/>
    </row>
    <row r="325" spans="1:7" s="59" customFormat="1" ht="15" thickBot="1" x14ac:dyDescent="0.35">
      <c r="A325" s="79"/>
      <c r="B325" s="79"/>
      <c r="C325" s="79"/>
      <c r="D325" s="79"/>
      <c r="E325" s="79"/>
      <c r="F325" s="79"/>
      <c r="G325" s="58"/>
    </row>
    <row r="326" spans="1:7" s="47" customFormat="1" ht="30" customHeight="1" thickBot="1" x14ac:dyDescent="0.3">
      <c r="A326" s="81" t="s">
        <v>12</v>
      </c>
      <c r="B326" s="163">
        <v>15</v>
      </c>
      <c r="C326" s="163"/>
      <c r="D326" s="82" t="s">
        <v>15</v>
      </c>
      <c r="E326" s="94">
        <v>45327</v>
      </c>
      <c r="F326" s="126"/>
      <c r="G326" s="46"/>
    </row>
    <row r="327" spans="1:7" s="47" customFormat="1" ht="30" customHeight="1" thickBot="1" x14ac:dyDescent="0.3">
      <c r="A327" s="80" t="s">
        <v>5</v>
      </c>
      <c r="B327" s="150" t="s">
        <v>38</v>
      </c>
      <c r="C327" s="151"/>
      <c r="D327" s="80" t="s">
        <v>13</v>
      </c>
      <c r="E327" s="238" t="s">
        <v>14</v>
      </c>
      <c r="F327" s="239"/>
      <c r="G327" s="46"/>
    </row>
    <row r="328" spans="1:7" s="52" customFormat="1" ht="40.5" x14ac:dyDescent="0.3">
      <c r="A328" s="48" t="s">
        <v>48</v>
      </c>
      <c r="B328" s="49">
        <v>45</v>
      </c>
      <c r="C328" s="152" t="str">
        <f xml:space="preserve"> IF(B328="","",setValueToTime(B328))</f>
        <v>3h45min</v>
      </c>
      <c r="D328" s="50" t="s">
        <v>77</v>
      </c>
      <c r="E328" s="240"/>
      <c r="F328" s="241"/>
      <c r="G328" s="51"/>
    </row>
    <row r="329" spans="1:7" s="52" customFormat="1" x14ac:dyDescent="0.3">
      <c r="A329" s="53"/>
      <c r="B329" s="54"/>
      <c r="C329" s="153" t="str">
        <f t="shared" ref="C329:C335" si="27" xml:space="preserve"> IF(B329="","",setValueToTime(B329))</f>
        <v/>
      </c>
      <c r="D329" s="55"/>
      <c r="E329" s="242"/>
      <c r="F329" s="243"/>
      <c r="G329" s="51"/>
    </row>
    <row r="330" spans="1:7" s="52" customFormat="1" x14ac:dyDescent="0.3">
      <c r="A330" s="53"/>
      <c r="B330" s="54"/>
      <c r="C330" s="153" t="str">
        <f t="shared" si="27"/>
        <v/>
      </c>
      <c r="D330" s="55"/>
      <c r="E330" s="242"/>
      <c r="F330" s="243"/>
      <c r="G330" s="51"/>
    </row>
    <row r="331" spans="1:7" s="52" customFormat="1" x14ac:dyDescent="0.3">
      <c r="A331" s="53"/>
      <c r="B331" s="54"/>
      <c r="C331" s="153" t="str">
        <f t="shared" si="27"/>
        <v/>
      </c>
      <c r="D331" s="55"/>
      <c r="E331" s="242"/>
      <c r="F331" s="243"/>
      <c r="G331" s="51"/>
    </row>
    <row r="332" spans="1:7" s="52" customFormat="1" x14ac:dyDescent="0.3">
      <c r="A332" s="54"/>
      <c r="B332" s="54"/>
      <c r="C332" s="154" t="str">
        <f t="shared" si="27"/>
        <v/>
      </c>
      <c r="D332" s="55"/>
      <c r="E332" s="242"/>
      <c r="F332" s="243"/>
      <c r="G332" s="51"/>
    </row>
    <row r="333" spans="1:7" s="52" customFormat="1" x14ac:dyDescent="0.3">
      <c r="A333" s="54"/>
      <c r="B333" s="54"/>
      <c r="C333" s="154" t="str">
        <f t="shared" si="27"/>
        <v/>
      </c>
      <c r="D333" s="55"/>
      <c r="E333" s="242"/>
      <c r="F333" s="243"/>
      <c r="G333" s="51"/>
    </row>
    <row r="334" spans="1:7" s="52" customFormat="1" x14ac:dyDescent="0.3">
      <c r="A334" s="54"/>
      <c r="B334" s="54"/>
      <c r="C334" s="154" t="str">
        <f t="shared" si="27"/>
        <v/>
      </c>
      <c r="D334" s="55"/>
      <c r="E334" s="242"/>
      <c r="F334" s="243"/>
      <c r="G334" s="51"/>
    </row>
    <row r="335" spans="1:7" s="52" customFormat="1" ht="15" thickBot="1" x14ac:dyDescent="0.35">
      <c r="A335" s="56"/>
      <c r="B335" s="56"/>
      <c r="C335" s="155" t="str">
        <f t="shared" si="27"/>
        <v/>
      </c>
      <c r="D335" s="57"/>
      <c r="E335" s="244"/>
      <c r="F335" s="245"/>
      <c r="G335" s="51"/>
    </row>
    <row r="336" spans="1:7" s="52" customFormat="1" ht="15" thickBot="1" x14ac:dyDescent="0.35">
      <c r="A336" s="111" t="s">
        <v>27</v>
      </c>
      <c r="B336" s="84">
        <f>SUM(B328:B335)</f>
        <v>45</v>
      </c>
      <c r="C336" s="111" t="str">
        <f xml:space="preserve"> setValueToTime(B336)</f>
        <v>3h45min</v>
      </c>
      <c r="D336" s="120"/>
      <c r="E336" s="236"/>
      <c r="F336" s="237"/>
      <c r="G336" s="51"/>
    </row>
    <row r="337" spans="1:7" s="59" customFormat="1" ht="15" thickBot="1" x14ac:dyDescent="0.35">
      <c r="A337" s="79"/>
      <c r="B337" s="79"/>
      <c r="C337" s="79"/>
      <c r="D337" s="79"/>
      <c r="E337" s="79"/>
      <c r="F337" s="79"/>
      <c r="G337" s="58"/>
    </row>
    <row r="338" spans="1:7" s="47" customFormat="1" ht="30" customHeight="1" thickBot="1" x14ac:dyDescent="0.3">
      <c r="A338" s="81" t="s">
        <v>12</v>
      </c>
      <c r="B338" s="163">
        <v>14</v>
      </c>
      <c r="C338" s="163"/>
      <c r="D338" s="82" t="s">
        <v>15</v>
      </c>
      <c r="E338" s="94">
        <v>45324</v>
      </c>
      <c r="F338" s="126"/>
      <c r="G338" s="46"/>
    </row>
    <row r="339" spans="1:7" s="47" customFormat="1" ht="30" customHeight="1" thickBot="1" x14ac:dyDescent="0.3">
      <c r="A339" s="80" t="s">
        <v>5</v>
      </c>
      <c r="B339" s="150" t="s">
        <v>38</v>
      </c>
      <c r="C339" s="151"/>
      <c r="D339" s="80" t="s">
        <v>13</v>
      </c>
      <c r="E339" s="238" t="s">
        <v>14</v>
      </c>
      <c r="F339" s="239"/>
      <c r="G339" s="46"/>
    </row>
    <row r="340" spans="1:7" s="52" customFormat="1" ht="40.5" x14ac:dyDescent="0.3">
      <c r="A340" s="48" t="s">
        <v>48</v>
      </c>
      <c r="B340" s="49">
        <v>36</v>
      </c>
      <c r="C340" s="152" t="str">
        <f xml:space="preserve"> IF(B340="","",setValueToTime(B340))</f>
        <v>3h</v>
      </c>
      <c r="D340" s="50" t="s">
        <v>77</v>
      </c>
      <c r="E340" s="240"/>
      <c r="F340" s="241"/>
      <c r="G340" s="51"/>
    </row>
    <row r="341" spans="1:7" s="52" customFormat="1" x14ac:dyDescent="0.3">
      <c r="A341" s="53"/>
      <c r="B341" s="54"/>
      <c r="C341" s="153" t="str">
        <f t="shared" ref="C341:C347" si="28" xml:space="preserve"> IF(B341="","",setValueToTime(B341))</f>
        <v/>
      </c>
      <c r="D341" s="55"/>
      <c r="E341" s="242"/>
      <c r="F341" s="243"/>
      <c r="G341" s="51"/>
    </row>
    <row r="342" spans="1:7" s="52" customFormat="1" x14ac:dyDescent="0.3">
      <c r="A342" s="53"/>
      <c r="B342" s="54"/>
      <c r="C342" s="153" t="str">
        <f t="shared" si="28"/>
        <v/>
      </c>
      <c r="D342" s="55"/>
      <c r="E342" s="242"/>
      <c r="F342" s="243"/>
      <c r="G342" s="51"/>
    </row>
    <row r="343" spans="1:7" s="52" customFormat="1" x14ac:dyDescent="0.3">
      <c r="A343" s="53"/>
      <c r="B343" s="54"/>
      <c r="C343" s="153" t="str">
        <f t="shared" si="28"/>
        <v/>
      </c>
      <c r="D343" s="55"/>
      <c r="E343" s="242"/>
      <c r="F343" s="243"/>
      <c r="G343" s="51"/>
    </row>
    <row r="344" spans="1:7" s="52" customFormat="1" x14ac:dyDescent="0.3">
      <c r="A344" s="54"/>
      <c r="B344" s="54"/>
      <c r="C344" s="154" t="str">
        <f t="shared" si="28"/>
        <v/>
      </c>
      <c r="D344" s="55"/>
      <c r="E344" s="242"/>
      <c r="F344" s="243"/>
      <c r="G344" s="51"/>
    </row>
    <row r="345" spans="1:7" s="52" customFormat="1" x14ac:dyDescent="0.3">
      <c r="A345" s="54"/>
      <c r="B345" s="54"/>
      <c r="C345" s="154" t="str">
        <f t="shared" si="28"/>
        <v/>
      </c>
      <c r="D345" s="55"/>
      <c r="E345" s="242"/>
      <c r="F345" s="243"/>
      <c r="G345" s="51"/>
    </row>
    <row r="346" spans="1:7" s="52" customFormat="1" x14ac:dyDescent="0.3">
      <c r="A346" s="54"/>
      <c r="B346" s="54"/>
      <c r="C346" s="154" t="str">
        <f t="shared" si="28"/>
        <v/>
      </c>
      <c r="D346" s="55"/>
      <c r="E346" s="242"/>
      <c r="F346" s="243"/>
      <c r="G346" s="51"/>
    </row>
    <row r="347" spans="1:7" s="52" customFormat="1" ht="15" thickBot="1" x14ac:dyDescent="0.35">
      <c r="A347" s="56"/>
      <c r="B347" s="56"/>
      <c r="C347" s="155" t="str">
        <f t="shared" si="28"/>
        <v/>
      </c>
      <c r="D347" s="57"/>
      <c r="E347" s="244"/>
      <c r="F347" s="245"/>
      <c r="G347" s="51"/>
    </row>
    <row r="348" spans="1:7" s="52" customFormat="1" ht="15" thickBot="1" x14ac:dyDescent="0.35">
      <c r="A348" s="111" t="s">
        <v>27</v>
      </c>
      <c r="B348" s="84">
        <f>SUM(B340:B347)</f>
        <v>36</v>
      </c>
      <c r="C348" s="111" t="str">
        <f xml:space="preserve"> setValueToTime(B348)</f>
        <v>3h</v>
      </c>
      <c r="D348" s="120"/>
      <c r="E348" s="236"/>
      <c r="F348" s="237"/>
      <c r="G348" s="51"/>
    </row>
    <row r="349" spans="1:7" s="59" customFormat="1" ht="15" thickBot="1" x14ac:dyDescent="0.35">
      <c r="A349" s="79"/>
      <c r="B349" s="79"/>
      <c r="C349" s="79"/>
      <c r="D349" s="79"/>
      <c r="E349" s="79"/>
      <c r="F349" s="79"/>
      <c r="G349" s="58"/>
    </row>
    <row r="350" spans="1:7" s="47" customFormat="1" ht="30" customHeight="1" thickBot="1" x14ac:dyDescent="0.3">
      <c r="A350" s="81" t="s">
        <v>12</v>
      </c>
      <c r="B350" s="163">
        <v>13</v>
      </c>
      <c r="C350" s="163"/>
      <c r="D350" s="82" t="s">
        <v>15</v>
      </c>
      <c r="E350" s="94">
        <v>45324</v>
      </c>
      <c r="F350" s="126"/>
      <c r="G350" s="46"/>
    </row>
    <row r="351" spans="1:7" s="47" customFormat="1" ht="30" customHeight="1" thickBot="1" x14ac:dyDescent="0.3">
      <c r="A351" s="80" t="s">
        <v>5</v>
      </c>
      <c r="B351" s="150" t="s">
        <v>38</v>
      </c>
      <c r="C351" s="151"/>
      <c r="D351" s="80" t="s">
        <v>13</v>
      </c>
      <c r="E351" s="238" t="s">
        <v>14</v>
      </c>
      <c r="F351" s="239"/>
      <c r="G351" s="46"/>
    </row>
    <row r="352" spans="1:7" s="52" customFormat="1" x14ac:dyDescent="0.3">
      <c r="A352" s="48" t="s">
        <v>4</v>
      </c>
      <c r="B352" s="49">
        <v>45</v>
      </c>
      <c r="C352" s="152" t="str">
        <f xml:space="preserve"> IF(B352="","",setValueToTime(B352))</f>
        <v>3h45min</v>
      </c>
      <c r="D352" s="50" t="s">
        <v>76</v>
      </c>
      <c r="E352" s="240"/>
      <c r="F352" s="241"/>
      <c r="G352" s="51"/>
    </row>
    <row r="353" spans="1:7" s="52" customFormat="1" x14ac:dyDescent="0.3">
      <c r="A353" s="53"/>
      <c r="B353" s="54"/>
      <c r="C353" s="153" t="str">
        <f t="shared" ref="C353:C359" si="29" xml:space="preserve"> IF(B353="","",setValueToTime(B353))</f>
        <v/>
      </c>
      <c r="D353" s="55"/>
      <c r="E353" s="242"/>
      <c r="F353" s="243"/>
      <c r="G353" s="51"/>
    </row>
    <row r="354" spans="1:7" s="52" customFormat="1" x14ac:dyDescent="0.3">
      <c r="A354" s="53"/>
      <c r="B354" s="54"/>
      <c r="C354" s="153" t="str">
        <f t="shared" si="29"/>
        <v/>
      </c>
      <c r="D354" s="55"/>
      <c r="E354" s="242"/>
      <c r="F354" s="243"/>
      <c r="G354" s="51"/>
    </row>
    <row r="355" spans="1:7" s="52" customFormat="1" x14ac:dyDescent="0.3">
      <c r="A355" s="53"/>
      <c r="B355" s="54"/>
      <c r="C355" s="153" t="str">
        <f t="shared" si="29"/>
        <v/>
      </c>
      <c r="D355" s="55"/>
      <c r="E355" s="242"/>
      <c r="F355" s="243"/>
      <c r="G355" s="51"/>
    </row>
    <row r="356" spans="1:7" s="52" customFormat="1" x14ac:dyDescent="0.3">
      <c r="A356" s="54"/>
      <c r="B356" s="54"/>
      <c r="C356" s="154" t="str">
        <f t="shared" si="29"/>
        <v/>
      </c>
      <c r="D356" s="55"/>
      <c r="E356" s="242"/>
      <c r="F356" s="243"/>
      <c r="G356" s="51"/>
    </row>
    <row r="357" spans="1:7" s="52" customFormat="1" x14ac:dyDescent="0.3">
      <c r="A357" s="54"/>
      <c r="B357" s="54"/>
      <c r="C357" s="154" t="str">
        <f t="shared" si="29"/>
        <v/>
      </c>
      <c r="D357" s="55"/>
      <c r="E357" s="242"/>
      <c r="F357" s="243"/>
      <c r="G357" s="51"/>
    </row>
    <row r="358" spans="1:7" s="52" customFormat="1" x14ac:dyDescent="0.3">
      <c r="A358" s="54"/>
      <c r="B358" s="54"/>
      <c r="C358" s="154" t="str">
        <f t="shared" si="29"/>
        <v/>
      </c>
      <c r="D358" s="55"/>
      <c r="E358" s="242"/>
      <c r="F358" s="243"/>
      <c r="G358" s="51"/>
    </row>
    <row r="359" spans="1:7" s="52" customFormat="1" ht="15" thickBot="1" x14ac:dyDescent="0.35">
      <c r="A359" s="56"/>
      <c r="B359" s="56"/>
      <c r="C359" s="155" t="str">
        <f t="shared" si="29"/>
        <v/>
      </c>
      <c r="D359" s="57"/>
      <c r="E359" s="244"/>
      <c r="F359" s="245"/>
      <c r="G359" s="51"/>
    </row>
    <row r="360" spans="1:7" s="52" customFormat="1" ht="15" thickBot="1" x14ac:dyDescent="0.35">
      <c r="A360" s="111" t="s">
        <v>27</v>
      </c>
      <c r="B360" s="84">
        <f>SUM(B352:B359)</f>
        <v>45</v>
      </c>
      <c r="C360" s="111" t="str">
        <f xml:space="preserve"> setValueToTime(B360)</f>
        <v>3h45min</v>
      </c>
      <c r="D360" s="120"/>
      <c r="E360" s="236"/>
      <c r="F360" s="237"/>
      <c r="G360" s="51"/>
    </row>
    <row r="361" spans="1:7" s="59" customFormat="1" ht="15" thickBot="1" x14ac:dyDescent="0.35">
      <c r="A361" s="79"/>
      <c r="B361" s="79"/>
      <c r="C361" s="79"/>
      <c r="D361" s="79"/>
      <c r="E361" s="79"/>
      <c r="F361" s="79"/>
      <c r="G361" s="58"/>
    </row>
    <row r="362" spans="1:7" s="47" customFormat="1" ht="30" customHeight="1" thickBot="1" x14ac:dyDescent="0.3">
      <c r="A362" s="81" t="s">
        <v>12</v>
      </c>
      <c r="B362" s="163">
        <v>12</v>
      </c>
      <c r="C362" s="163"/>
      <c r="D362" s="82" t="s">
        <v>15</v>
      </c>
      <c r="E362" s="94">
        <v>45323</v>
      </c>
      <c r="F362" s="126"/>
      <c r="G362" s="46"/>
    </row>
    <row r="363" spans="1:7" s="47" customFormat="1" ht="30" customHeight="1" thickBot="1" x14ac:dyDescent="0.3">
      <c r="A363" s="80" t="s">
        <v>5</v>
      </c>
      <c r="B363" s="150" t="s">
        <v>38</v>
      </c>
      <c r="C363" s="151"/>
      <c r="D363" s="80" t="s">
        <v>13</v>
      </c>
      <c r="E363" s="238" t="s">
        <v>14</v>
      </c>
      <c r="F363" s="239"/>
      <c r="G363" s="46"/>
    </row>
    <row r="364" spans="1:7" s="52" customFormat="1" x14ac:dyDescent="0.3">
      <c r="A364" s="48" t="s">
        <v>44</v>
      </c>
      <c r="B364" s="49">
        <v>36</v>
      </c>
      <c r="C364" s="152" t="str">
        <f xml:space="preserve"> IF(B364="","",setValueToTime(B364))</f>
        <v>3h</v>
      </c>
      <c r="D364" s="50" t="s">
        <v>75</v>
      </c>
      <c r="E364" s="240"/>
      <c r="F364" s="241"/>
      <c r="G364" s="51"/>
    </row>
    <row r="365" spans="1:7" s="52" customFormat="1" x14ac:dyDescent="0.3">
      <c r="A365" s="53"/>
      <c r="B365" s="54"/>
      <c r="C365" s="153" t="str">
        <f t="shared" ref="C365:C371" si="30" xml:space="preserve"> IF(B365="","",setValueToTime(B365))</f>
        <v/>
      </c>
      <c r="D365" s="55"/>
      <c r="E365" s="242"/>
      <c r="F365" s="243"/>
      <c r="G365" s="51"/>
    </row>
    <row r="366" spans="1:7" s="52" customFormat="1" x14ac:dyDescent="0.3">
      <c r="A366" s="53"/>
      <c r="B366" s="54"/>
      <c r="C366" s="153" t="str">
        <f t="shared" si="30"/>
        <v/>
      </c>
      <c r="D366" s="55"/>
      <c r="E366" s="242"/>
      <c r="F366" s="243"/>
      <c r="G366" s="51"/>
    </row>
    <row r="367" spans="1:7" s="52" customFormat="1" x14ac:dyDescent="0.3">
      <c r="A367" s="53"/>
      <c r="B367" s="54"/>
      <c r="C367" s="153" t="str">
        <f t="shared" si="30"/>
        <v/>
      </c>
      <c r="D367" s="55"/>
      <c r="E367" s="242"/>
      <c r="F367" s="243"/>
      <c r="G367" s="51"/>
    </row>
    <row r="368" spans="1:7" s="52" customFormat="1" x14ac:dyDescent="0.3">
      <c r="A368" s="54"/>
      <c r="B368" s="54"/>
      <c r="C368" s="154" t="str">
        <f t="shared" si="30"/>
        <v/>
      </c>
      <c r="D368" s="55"/>
      <c r="E368" s="242"/>
      <c r="F368" s="243"/>
      <c r="G368" s="51"/>
    </row>
    <row r="369" spans="1:7" s="52" customFormat="1" x14ac:dyDescent="0.3">
      <c r="A369" s="54"/>
      <c r="B369" s="54"/>
      <c r="C369" s="154" t="str">
        <f t="shared" si="30"/>
        <v/>
      </c>
      <c r="D369" s="55"/>
      <c r="E369" s="242"/>
      <c r="F369" s="243"/>
      <c r="G369" s="51"/>
    </row>
    <row r="370" spans="1:7" s="52" customFormat="1" x14ac:dyDescent="0.3">
      <c r="A370" s="54"/>
      <c r="B370" s="54"/>
      <c r="C370" s="154" t="str">
        <f t="shared" si="30"/>
        <v/>
      </c>
      <c r="D370" s="55"/>
      <c r="E370" s="242"/>
      <c r="F370" s="243"/>
      <c r="G370" s="51"/>
    </row>
    <row r="371" spans="1:7" s="52" customFormat="1" ht="15" thickBot="1" x14ac:dyDescent="0.35">
      <c r="A371" s="56"/>
      <c r="B371" s="56"/>
      <c r="C371" s="155" t="str">
        <f t="shared" si="30"/>
        <v/>
      </c>
      <c r="D371" s="57"/>
      <c r="E371" s="244"/>
      <c r="F371" s="245"/>
      <c r="G371" s="51"/>
    </row>
    <row r="372" spans="1:7" s="52" customFormat="1" ht="15" thickBot="1" x14ac:dyDescent="0.35">
      <c r="A372" s="111" t="s">
        <v>27</v>
      </c>
      <c r="B372" s="84">
        <f>SUM(B364:B371)</f>
        <v>36</v>
      </c>
      <c r="C372" s="111" t="str">
        <f xml:space="preserve"> setValueToTime(B372)</f>
        <v>3h</v>
      </c>
      <c r="D372" s="120"/>
      <c r="E372" s="236"/>
      <c r="F372" s="237"/>
      <c r="G372" s="51"/>
    </row>
    <row r="373" spans="1:7" s="59" customFormat="1" ht="15" thickBot="1" x14ac:dyDescent="0.35">
      <c r="A373" s="79"/>
      <c r="B373" s="79"/>
      <c r="C373" s="79"/>
      <c r="D373" s="79"/>
      <c r="E373" s="79"/>
      <c r="F373" s="79"/>
      <c r="G373" s="58"/>
    </row>
    <row r="374" spans="1:7" s="47" customFormat="1" ht="30" customHeight="1" thickBot="1" x14ac:dyDescent="0.3">
      <c r="A374" s="81" t="s">
        <v>12</v>
      </c>
      <c r="B374" s="163">
        <v>11</v>
      </c>
      <c r="C374" s="163"/>
      <c r="D374" s="82" t="s">
        <v>15</v>
      </c>
      <c r="E374" s="94">
        <v>45322</v>
      </c>
      <c r="F374" s="126"/>
      <c r="G374" s="46"/>
    </row>
    <row r="375" spans="1:7" s="47" customFormat="1" ht="30" customHeight="1" thickBot="1" x14ac:dyDescent="0.3">
      <c r="A375" s="80" t="s">
        <v>5</v>
      </c>
      <c r="B375" s="150" t="s">
        <v>38</v>
      </c>
      <c r="C375" s="151"/>
      <c r="D375" s="80" t="s">
        <v>13</v>
      </c>
      <c r="E375" s="238" t="s">
        <v>14</v>
      </c>
      <c r="F375" s="239"/>
      <c r="G375" s="46"/>
    </row>
    <row r="376" spans="1:7" s="52" customFormat="1" ht="27" x14ac:dyDescent="0.3">
      <c r="A376" s="48" t="s">
        <v>45</v>
      </c>
      <c r="B376" s="49">
        <v>36</v>
      </c>
      <c r="C376" s="152" t="str">
        <f xml:space="preserve"> IF(B376="","",setValueToTime(B376))</f>
        <v>3h</v>
      </c>
      <c r="D376" s="50" t="s">
        <v>74</v>
      </c>
      <c r="E376" s="240"/>
      <c r="F376" s="241"/>
      <c r="G376" s="51"/>
    </row>
    <row r="377" spans="1:7" s="52" customFormat="1" x14ac:dyDescent="0.3">
      <c r="A377" s="53"/>
      <c r="B377" s="54"/>
      <c r="C377" s="153" t="str">
        <f t="shared" ref="C377:C383" si="31" xml:space="preserve"> IF(B377="","",setValueToTime(B377))</f>
        <v/>
      </c>
      <c r="D377" s="55"/>
      <c r="E377" s="242"/>
      <c r="F377" s="243"/>
      <c r="G377" s="51"/>
    </row>
    <row r="378" spans="1:7" s="52" customFormat="1" x14ac:dyDescent="0.3">
      <c r="A378" s="53"/>
      <c r="B378" s="54"/>
      <c r="C378" s="153" t="str">
        <f t="shared" si="31"/>
        <v/>
      </c>
      <c r="D378" s="55"/>
      <c r="E378" s="242"/>
      <c r="F378" s="243"/>
      <c r="G378" s="51"/>
    </row>
    <row r="379" spans="1:7" s="52" customFormat="1" x14ac:dyDescent="0.3">
      <c r="A379" s="53"/>
      <c r="B379" s="54"/>
      <c r="C379" s="153" t="str">
        <f t="shared" si="31"/>
        <v/>
      </c>
      <c r="D379" s="55"/>
      <c r="E379" s="242"/>
      <c r="F379" s="243"/>
      <c r="G379" s="51"/>
    </row>
    <row r="380" spans="1:7" s="52" customFormat="1" x14ac:dyDescent="0.3">
      <c r="A380" s="54"/>
      <c r="B380" s="54"/>
      <c r="C380" s="154" t="str">
        <f t="shared" si="31"/>
        <v/>
      </c>
      <c r="D380" s="55"/>
      <c r="E380" s="242"/>
      <c r="F380" s="243"/>
      <c r="G380" s="51"/>
    </row>
    <row r="381" spans="1:7" s="52" customFormat="1" x14ac:dyDescent="0.3">
      <c r="A381" s="54"/>
      <c r="B381" s="54"/>
      <c r="C381" s="154" t="str">
        <f t="shared" si="31"/>
        <v/>
      </c>
      <c r="D381" s="55"/>
      <c r="E381" s="242"/>
      <c r="F381" s="243"/>
      <c r="G381" s="51"/>
    </row>
    <row r="382" spans="1:7" s="52" customFormat="1" x14ac:dyDescent="0.3">
      <c r="A382" s="54"/>
      <c r="B382" s="54"/>
      <c r="C382" s="154" t="str">
        <f t="shared" si="31"/>
        <v/>
      </c>
      <c r="D382" s="55"/>
      <c r="E382" s="242"/>
      <c r="F382" s="243"/>
      <c r="G382" s="51"/>
    </row>
    <row r="383" spans="1:7" s="52" customFormat="1" ht="15" thickBot="1" x14ac:dyDescent="0.35">
      <c r="A383" s="56"/>
      <c r="B383" s="56"/>
      <c r="C383" s="155" t="str">
        <f t="shared" si="31"/>
        <v/>
      </c>
      <c r="D383" s="57"/>
      <c r="E383" s="244"/>
      <c r="F383" s="245"/>
      <c r="G383" s="51"/>
    </row>
    <row r="384" spans="1:7" s="52" customFormat="1" ht="15" thickBot="1" x14ac:dyDescent="0.35">
      <c r="A384" s="111" t="s">
        <v>27</v>
      </c>
      <c r="B384" s="84">
        <f>SUM(B376:B383)</f>
        <v>36</v>
      </c>
      <c r="C384" s="111" t="str">
        <f xml:space="preserve"> setValueToTime(B384)</f>
        <v>3h</v>
      </c>
      <c r="D384" s="120"/>
      <c r="E384" s="236"/>
      <c r="F384" s="237"/>
      <c r="G384" s="51"/>
    </row>
    <row r="385" spans="1:7" s="59" customFormat="1" ht="15" thickBot="1" x14ac:dyDescent="0.35">
      <c r="A385" s="79"/>
      <c r="B385" s="79"/>
      <c r="C385" s="79"/>
      <c r="D385" s="79"/>
      <c r="E385" s="79"/>
      <c r="F385" s="79"/>
      <c r="G385" s="58"/>
    </row>
    <row r="386" spans="1:7" s="47" customFormat="1" ht="30" customHeight="1" thickBot="1" x14ac:dyDescent="0.3">
      <c r="A386" s="81" t="s">
        <v>12</v>
      </c>
      <c r="B386" s="163">
        <v>10</v>
      </c>
      <c r="C386" s="163"/>
      <c r="D386" s="82" t="s">
        <v>15</v>
      </c>
      <c r="E386" s="94">
        <v>45322</v>
      </c>
      <c r="F386" s="126"/>
      <c r="G386" s="46"/>
    </row>
    <row r="387" spans="1:7" s="47" customFormat="1" ht="30" customHeight="1" thickBot="1" x14ac:dyDescent="0.3">
      <c r="A387" s="80" t="s">
        <v>5</v>
      </c>
      <c r="B387" s="150" t="s">
        <v>38</v>
      </c>
      <c r="C387" s="151"/>
      <c r="D387" s="80" t="s">
        <v>13</v>
      </c>
      <c r="E387" s="238" t="s">
        <v>14</v>
      </c>
      <c r="F387" s="239"/>
      <c r="G387" s="46"/>
    </row>
    <row r="388" spans="1:7" s="52" customFormat="1" ht="27" x14ac:dyDescent="0.3">
      <c r="A388" s="48" t="s">
        <v>45</v>
      </c>
      <c r="B388" s="49">
        <v>36</v>
      </c>
      <c r="C388" s="152" t="str">
        <f xml:space="preserve"> IF(B388="","",setValueToTime(B388))</f>
        <v>3h</v>
      </c>
      <c r="D388" s="50" t="s">
        <v>74</v>
      </c>
      <c r="E388" s="240"/>
      <c r="F388" s="241"/>
      <c r="G388" s="51"/>
    </row>
    <row r="389" spans="1:7" s="52" customFormat="1" x14ac:dyDescent="0.3">
      <c r="A389" s="53"/>
      <c r="B389" s="54"/>
      <c r="C389" s="153" t="str">
        <f t="shared" ref="C389:C395" si="32" xml:space="preserve"> IF(B389="","",setValueToTime(B389))</f>
        <v/>
      </c>
      <c r="D389" s="55"/>
      <c r="E389" s="242"/>
      <c r="F389" s="243"/>
      <c r="G389" s="51"/>
    </row>
    <row r="390" spans="1:7" s="52" customFormat="1" x14ac:dyDescent="0.3">
      <c r="A390" s="53"/>
      <c r="B390" s="54"/>
      <c r="C390" s="153" t="str">
        <f t="shared" si="32"/>
        <v/>
      </c>
      <c r="D390" s="55"/>
      <c r="E390" s="242"/>
      <c r="F390" s="243"/>
      <c r="G390" s="51"/>
    </row>
    <row r="391" spans="1:7" s="52" customFormat="1" x14ac:dyDescent="0.3">
      <c r="A391" s="53"/>
      <c r="B391" s="54"/>
      <c r="C391" s="153" t="str">
        <f t="shared" si="32"/>
        <v/>
      </c>
      <c r="D391" s="55"/>
      <c r="E391" s="242"/>
      <c r="F391" s="243"/>
      <c r="G391" s="51"/>
    </row>
    <row r="392" spans="1:7" s="52" customFormat="1" x14ac:dyDescent="0.3">
      <c r="A392" s="54"/>
      <c r="B392" s="54"/>
      <c r="C392" s="154" t="str">
        <f t="shared" si="32"/>
        <v/>
      </c>
      <c r="D392" s="55"/>
      <c r="E392" s="242"/>
      <c r="F392" s="243"/>
      <c r="G392" s="51"/>
    </row>
    <row r="393" spans="1:7" s="52" customFormat="1" x14ac:dyDescent="0.3">
      <c r="A393" s="54"/>
      <c r="B393" s="54"/>
      <c r="C393" s="154" t="str">
        <f t="shared" si="32"/>
        <v/>
      </c>
      <c r="D393" s="55"/>
      <c r="E393" s="242"/>
      <c r="F393" s="243"/>
      <c r="G393" s="51"/>
    </row>
    <row r="394" spans="1:7" s="52" customFormat="1" x14ac:dyDescent="0.3">
      <c r="A394" s="54"/>
      <c r="B394" s="54"/>
      <c r="C394" s="154" t="str">
        <f t="shared" si="32"/>
        <v/>
      </c>
      <c r="D394" s="55"/>
      <c r="E394" s="242"/>
      <c r="F394" s="243"/>
      <c r="G394" s="51"/>
    </row>
    <row r="395" spans="1:7" s="52" customFormat="1" ht="15" thickBot="1" x14ac:dyDescent="0.35">
      <c r="A395" s="56"/>
      <c r="B395" s="56"/>
      <c r="C395" s="155" t="str">
        <f t="shared" si="32"/>
        <v/>
      </c>
      <c r="D395" s="57"/>
      <c r="E395" s="244"/>
      <c r="F395" s="245"/>
      <c r="G395" s="51"/>
    </row>
    <row r="396" spans="1:7" s="52" customFormat="1" ht="15" thickBot="1" x14ac:dyDescent="0.35">
      <c r="A396" s="111" t="s">
        <v>27</v>
      </c>
      <c r="B396" s="84">
        <f>SUM(B388:B395)</f>
        <v>36</v>
      </c>
      <c r="C396" s="111" t="str">
        <f xml:space="preserve"> setValueToTime(B396)</f>
        <v>3h</v>
      </c>
      <c r="D396" s="120"/>
      <c r="E396" s="236"/>
      <c r="F396" s="237"/>
      <c r="G396" s="51"/>
    </row>
    <row r="397" spans="1:7" s="59" customFormat="1" ht="15" thickBot="1" x14ac:dyDescent="0.35">
      <c r="A397" s="79"/>
      <c r="B397" s="79"/>
      <c r="C397" s="79"/>
      <c r="D397" s="79"/>
      <c r="E397" s="79"/>
      <c r="F397" s="79"/>
      <c r="G397" s="58"/>
    </row>
    <row r="398" spans="1:7" s="47" customFormat="1" ht="30" customHeight="1" thickBot="1" x14ac:dyDescent="0.3">
      <c r="A398" s="81" t="s">
        <v>12</v>
      </c>
      <c r="B398" s="163">
        <v>9</v>
      </c>
      <c r="C398" s="163"/>
      <c r="D398" s="82" t="s">
        <v>15</v>
      </c>
      <c r="E398" s="94">
        <v>45320</v>
      </c>
      <c r="F398" s="126"/>
      <c r="G398" s="46"/>
    </row>
    <row r="399" spans="1:7" s="47" customFormat="1" ht="30" customHeight="1" thickBot="1" x14ac:dyDescent="0.3">
      <c r="A399" s="80" t="s">
        <v>5</v>
      </c>
      <c r="B399" s="150" t="s">
        <v>38</v>
      </c>
      <c r="C399" s="151"/>
      <c r="D399" s="80" t="s">
        <v>13</v>
      </c>
      <c r="E399" s="238" t="s">
        <v>14</v>
      </c>
      <c r="F399" s="239"/>
      <c r="G399" s="46"/>
    </row>
    <row r="400" spans="1:7" s="52" customFormat="1" ht="27" x14ac:dyDescent="0.3">
      <c r="A400" s="48" t="s">
        <v>45</v>
      </c>
      <c r="B400" s="49">
        <v>36</v>
      </c>
      <c r="C400" s="152" t="str">
        <f xml:space="preserve"> IF(B400="","",setValueToTime(B400))</f>
        <v>3h</v>
      </c>
      <c r="D400" s="50" t="s">
        <v>74</v>
      </c>
      <c r="E400" s="240"/>
      <c r="F400" s="241"/>
      <c r="G400" s="51"/>
    </row>
    <row r="401" spans="1:7" s="52" customFormat="1" x14ac:dyDescent="0.3">
      <c r="A401" s="53"/>
      <c r="B401" s="54"/>
      <c r="C401" s="153" t="str">
        <f t="shared" ref="C401:C407" si="33" xml:space="preserve"> IF(B401="","",setValueToTime(B401))</f>
        <v/>
      </c>
      <c r="D401" s="55"/>
      <c r="E401" s="242"/>
      <c r="F401" s="243"/>
      <c r="G401" s="51"/>
    </row>
    <row r="402" spans="1:7" s="52" customFormat="1" x14ac:dyDescent="0.3">
      <c r="A402" s="53"/>
      <c r="B402" s="54"/>
      <c r="C402" s="153" t="str">
        <f t="shared" si="33"/>
        <v/>
      </c>
      <c r="D402" s="55"/>
      <c r="E402" s="242"/>
      <c r="F402" s="243"/>
      <c r="G402" s="51"/>
    </row>
    <row r="403" spans="1:7" s="52" customFormat="1" x14ac:dyDescent="0.3">
      <c r="A403" s="53"/>
      <c r="B403" s="54"/>
      <c r="C403" s="153" t="str">
        <f t="shared" si="33"/>
        <v/>
      </c>
      <c r="D403" s="55"/>
      <c r="E403" s="242"/>
      <c r="F403" s="243"/>
      <c r="G403" s="51"/>
    </row>
    <row r="404" spans="1:7" s="52" customFormat="1" x14ac:dyDescent="0.3">
      <c r="A404" s="54"/>
      <c r="B404" s="54"/>
      <c r="C404" s="154" t="str">
        <f t="shared" si="33"/>
        <v/>
      </c>
      <c r="D404" s="55"/>
      <c r="E404" s="242"/>
      <c r="F404" s="243"/>
      <c r="G404" s="51"/>
    </row>
    <row r="405" spans="1:7" s="52" customFormat="1" x14ac:dyDescent="0.3">
      <c r="A405" s="54"/>
      <c r="B405" s="54"/>
      <c r="C405" s="154" t="str">
        <f t="shared" si="33"/>
        <v/>
      </c>
      <c r="D405" s="55"/>
      <c r="E405" s="242"/>
      <c r="F405" s="243"/>
      <c r="G405" s="51"/>
    </row>
    <row r="406" spans="1:7" s="52" customFormat="1" x14ac:dyDescent="0.3">
      <c r="A406" s="54"/>
      <c r="B406" s="54"/>
      <c r="C406" s="154" t="str">
        <f t="shared" si="33"/>
        <v/>
      </c>
      <c r="D406" s="55"/>
      <c r="E406" s="242"/>
      <c r="F406" s="243"/>
      <c r="G406" s="51"/>
    </row>
    <row r="407" spans="1:7" s="52" customFormat="1" ht="15" thickBot="1" x14ac:dyDescent="0.35">
      <c r="A407" s="56"/>
      <c r="B407" s="56"/>
      <c r="C407" s="155" t="str">
        <f t="shared" si="33"/>
        <v/>
      </c>
      <c r="D407" s="57"/>
      <c r="E407" s="244"/>
      <c r="F407" s="245"/>
      <c r="G407" s="51"/>
    </row>
    <row r="408" spans="1:7" s="52" customFormat="1" ht="15" thickBot="1" x14ac:dyDescent="0.35">
      <c r="A408" s="111" t="s">
        <v>27</v>
      </c>
      <c r="B408" s="84">
        <f>SUM(B400:B407)</f>
        <v>36</v>
      </c>
      <c r="C408" s="111" t="str">
        <f xml:space="preserve"> setValueToTime(B408)</f>
        <v>3h</v>
      </c>
      <c r="D408" s="120"/>
      <c r="E408" s="236"/>
      <c r="F408" s="237"/>
      <c r="G408" s="51"/>
    </row>
    <row r="409" spans="1:7" s="59" customFormat="1" ht="15" thickBot="1" x14ac:dyDescent="0.35">
      <c r="A409" s="79"/>
      <c r="B409" s="79"/>
      <c r="C409" s="79"/>
      <c r="D409" s="79"/>
      <c r="E409" s="79"/>
      <c r="F409" s="79"/>
      <c r="G409" s="58"/>
    </row>
    <row r="410" spans="1:7" s="47" customFormat="1" ht="30" customHeight="1" thickBot="1" x14ac:dyDescent="0.3">
      <c r="A410" s="81" t="s">
        <v>12</v>
      </c>
      <c r="B410" s="163">
        <v>8</v>
      </c>
      <c r="C410" s="163"/>
      <c r="D410" s="82" t="s">
        <v>15</v>
      </c>
      <c r="E410" s="94">
        <v>45320</v>
      </c>
      <c r="F410" s="126"/>
      <c r="G410" s="46"/>
    </row>
    <row r="411" spans="1:7" s="47" customFormat="1" ht="30" customHeight="1" thickBot="1" x14ac:dyDescent="0.3">
      <c r="A411" s="80" t="s">
        <v>5</v>
      </c>
      <c r="B411" s="150" t="s">
        <v>38</v>
      </c>
      <c r="C411" s="151"/>
      <c r="D411" s="80" t="s">
        <v>13</v>
      </c>
      <c r="E411" s="238" t="s">
        <v>14</v>
      </c>
      <c r="F411" s="239"/>
      <c r="G411" s="46"/>
    </row>
    <row r="412" spans="1:7" s="52" customFormat="1" ht="27" x14ac:dyDescent="0.3">
      <c r="A412" s="48" t="s">
        <v>45</v>
      </c>
      <c r="B412" s="49">
        <v>45</v>
      </c>
      <c r="C412" s="152" t="str">
        <f xml:space="preserve"> IF(B412="","",setValueToTime(B412))</f>
        <v>3h45min</v>
      </c>
      <c r="D412" s="50" t="s">
        <v>74</v>
      </c>
      <c r="E412" s="240"/>
      <c r="F412" s="241"/>
      <c r="G412" s="51"/>
    </row>
    <row r="413" spans="1:7" s="52" customFormat="1" x14ac:dyDescent="0.3">
      <c r="A413" s="53"/>
      <c r="B413" s="54"/>
      <c r="C413" s="153" t="str">
        <f t="shared" ref="C413:C419" si="34" xml:space="preserve"> IF(B413="","",setValueToTime(B413))</f>
        <v/>
      </c>
      <c r="D413" s="55"/>
      <c r="E413" s="242"/>
      <c r="F413" s="243"/>
      <c r="G413" s="51"/>
    </row>
    <row r="414" spans="1:7" s="52" customFormat="1" x14ac:dyDescent="0.3">
      <c r="A414" s="53"/>
      <c r="B414" s="54"/>
      <c r="C414" s="153" t="str">
        <f t="shared" si="34"/>
        <v/>
      </c>
      <c r="D414" s="55"/>
      <c r="E414" s="242"/>
      <c r="F414" s="243"/>
      <c r="G414" s="51"/>
    </row>
    <row r="415" spans="1:7" s="52" customFormat="1" x14ac:dyDescent="0.3">
      <c r="A415" s="53"/>
      <c r="B415" s="54"/>
      <c r="C415" s="153" t="str">
        <f t="shared" si="34"/>
        <v/>
      </c>
      <c r="D415" s="55"/>
      <c r="E415" s="242"/>
      <c r="F415" s="243"/>
      <c r="G415" s="51"/>
    </row>
    <row r="416" spans="1:7" s="52" customFormat="1" x14ac:dyDescent="0.3">
      <c r="A416" s="54"/>
      <c r="B416" s="54"/>
      <c r="C416" s="154" t="str">
        <f t="shared" si="34"/>
        <v/>
      </c>
      <c r="D416" s="55"/>
      <c r="E416" s="242"/>
      <c r="F416" s="243"/>
      <c r="G416" s="51"/>
    </row>
    <row r="417" spans="1:7" s="52" customFormat="1" x14ac:dyDescent="0.3">
      <c r="A417" s="54"/>
      <c r="B417" s="54"/>
      <c r="C417" s="154" t="str">
        <f t="shared" si="34"/>
        <v/>
      </c>
      <c r="D417" s="55"/>
      <c r="E417" s="242"/>
      <c r="F417" s="243"/>
      <c r="G417" s="51"/>
    </row>
    <row r="418" spans="1:7" s="52" customFormat="1" x14ac:dyDescent="0.3">
      <c r="A418" s="54"/>
      <c r="B418" s="54"/>
      <c r="C418" s="154" t="str">
        <f t="shared" si="34"/>
        <v/>
      </c>
      <c r="D418" s="55"/>
      <c r="E418" s="242"/>
      <c r="F418" s="243"/>
      <c r="G418" s="51"/>
    </row>
    <row r="419" spans="1:7" s="52" customFormat="1" ht="15" thickBot="1" x14ac:dyDescent="0.35">
      <c r="A419" s="56"/>
      <c r="B419" s="56"/>
      <c r="C419" s="155" t="str">
        <f t="shared" si="34"/>
        <v/>
      </c>
      <c r="D419" s="57"/>
      <c r="E419" s="244"/>
      <c r="F419" s="245"/>
      <c r="G419" s="51"/>
    </row>
    <row r="420" spans="1:7" s="52" customFormat="1" ht="15" thickBot="1" x14ac:dyDescent="0.35">
      <c r="A420" s="111" t="s">
        <v>27</v>
      </c>
      <c r="B420" s="84">
        <f>SUM(B412:B419)</f>
        <v>45</v>
      </c>
      <c r="C420" s="111" t="str">
        <f xml:space="preserve"> setValueToTime(B420)</f>
        <v>3h45min</v>
      </c>
      <c r="D420" s="120"/>
      <c r="E420" s="236"/>
      <c r="F420" s="237"/>
      <c r="G420" s="51"/>
    </row>
    <row r="421" spans="1:7" s="59" customFormat="1" ht="15" thickBot="1" x14ac:dyDescent="0.35">
      <c r="A421" s="79"/>
      <c r="B421" s="79"/>
      <c r="C421" s="79"/>
      <c r="D421" s="79"/>
      <c r="E421" s="79"/>
      <c r="F421" s="79"/>
      <c r="G421" s="58"/>
    </row>
    <row r="422" spans="1:7" s="47" customFormat="1" ht="30" customHeight="1" thickBot="1" x14ac:dyDescent="0.3">
      <c r="A422" s="81" t="s">
        <v>12</v>
      </c>
      <c r="B422" s="163">
        <v>7</v>
      </c>
      <c r="C422" s="163"/>
      <c r="D422" s="82" t="s">
        <v>15</v>
      </c>
      <c r="E422" s="94">
        <v>45317</v>
      </c>
      <c r="F422" s="126"/>
      <c r="G422" s="46"/>
    </row>
    <row r="423" spans="1:7" s="47" customFormat="1" ht="30" customHeight="1" thickBot="1" x14ac:dyDescent="0.3">
      <c r="A423" s="80" t="s">
        <v>5</v>
      </c>
      <c r="B423" s="150" t="s">
        <v>38</v>
      </c>
      <c r="C423" s="151"/>
      <c r="D423" s="80" t="s">
        <v>13</v>
      </c>
      <c r="E423" s="238" t="s">
        <v>14</v>
      </c>
      <c r="F423" s="239"/>
      <c r="G423" s="46"/>
    </row>
    <row r="424" spans="1:7" s="52" customFormat="1" ht="27" x14ac:dyDescent="0.3">
      <c r="A424" s="48" t="s">
        <v>45</v>
      </c>
      <c r="B424" s="49">
        <v>36</v>
      </c>
      <c r="C424" s="152" t="str">
        <f xml:space="preserve"> IF(B424="","",setValueToTime(B424))</f>
        <v>3h</v>
      </c>
      <c r="D424" s="50" t="s">
        <v>74</v>
      </c>
      <c r="E424" s="240"/>
      <c r="F424" s="241"/>
      <c r="G424" s="51"/>
    </row>
    <row r="425" spans="1:7" s="52" customFormat="1" x14ac:dyDescent="0.3">
      <c r="A425" s="53"/>
      <c r="B425" s="54"/>
      <c r="C425" s="153" t="str">
        <f t="shared" ref="C425:C431" si="35" xml:space="preserve"> IF(B425="","",setValueToTime(B425))</f>
        <v/>
      </c>
      <c r="D425" s="55"/>
      <c r="E425" s="242"/>
      <c r="F425" s="243"/>
      <c r="G425" s="51"/>
    </row>
    <row r="426" spans="1:7" s="52" customFormat="1" x14ac:dyDescent="0.3">
      <c r="A426" s="53"/>
      <c r="B426" s="54"/>
      <c r="C426" s="153" t="str">
        <f t="shared" si="35"/>
        <v/>
      </c>
      <c r="D426" s="55"/>
      <c r="E426" s="242"/>
      <c r="F426" s="243"/>
      <c r="G426" s="51"/>
    </row>
    <row r="427" spans="1:7" s="52" customFormat="1" x14ac:dyDescent="0.3">
      <c r="A427" s="53"/>
      <c r="B427" s="54"/>
      <c r="C427" s="153" t="str">
        <f t="shared" si="35"/>
        <v/>
      </c>
      <c r="D427" s="55"/>
      <c r="E427" s="242"/>
      <c r="F427" s="243"/>
      <c r="G427" s="51"/>
    </row>
    <row r="428" spans="1:7" s="52" customFormat="1" x14ac:dyDescent="0.3">
      <c r="A428" s="54"/>
      <c r="B428" s="54"/>
      <c r="C428" s="154" t="str">
        <f t="shared" si="35"/>
        <v/>
      </c>
      <c r="D428" s="55"/>
      <c r="E428" s="242"/>
      <c r="F428" s="243"/>
      <c r="G428" s="51"/>
    </row>
    <row r="429" spans="1:7" s="52" customFormat="1" x14ac:dyDescent="0.3">
      <c r="A429" s="54"/>
      <c r="B429" s="54"/>
      <c r="C429" s="154" t="str">
        <f t="shared" si="35"/>
        <v/>
      </c>
      <c r="D429" s="55"/>
      <c r="E429" s="242"/>
      <c r="F429" s="243"/>
      <c r="G429" s="51"/>
    </row>
    <row r="430" spans="1:7" s="52" customFormat="1" x14ac:dyDescent="0.3">
      <c r="A430" s="54"/>
      <c r="B430" s="54"/>
      <c r="C430" s="154" t="str">
        <f t="shared" si="35"/>
        <v/>
      </c>
      <c r="D430" s="55"/>
      <c r="E430" s="242"/>
      <c r="F430" s="243"/>
      <c r="G430" s="51"/>
    </row>
    <row r="431" spans="1:7" s="52" customFormat="1" ht="15" thickBot="1" x14ac:dyDescent="0.35">
      <c r="A431" s="56"/>
      <c r="B431" s="56"/>
      <c r="C431" s="155" t="str">
        <f t="shared" si="35"/>
        <v/>
      </c>
      <c r="D431" s="57"/>
      <c r="E431" s="244"/>
      <c r="F431" s="245"/>
      <c r="G431" s="51"/>
    </row>
    <row r="432" spans="1:7" s="52" customFormat="1" ht="15" thickBot="1" x14ac:dyDescent="0.35">
      <c r="A432" s="111" t="s">
        <v>27</v>
      </c>
      <c r="B432" s="84">
        <f>SUM(B424:B431)</f>
        <v>36</v>
      </c>
      <c r="C432" s="111" t="str">
        <f xml:space="preserve"> setValueToTime(B432)</f>
        <v>3h</v>
      </c>
      <c r="D432" s="120"/>
      <c r="E432" s="236"/>
      <c r="F432" s="237"/>
      <c r="G432" s="51"/>
    </row>
    <row r="433" spans="1:7" s="59" customFormat="1" ht="15" thickBot="1" x14ac:dyDescent="0.35">
      <c r="A433" s="79"/>
      <c r="B433" s="79"/>
      <c r="C433" s="79"/>
      <c r="D433" s="79"/>
      <c r="E433" s="79"/>
      <c r="F433" s="79"/>
      <c r="G433" s="58"/>
    </row>
    <row r="434" spans="1:7" s="47" customFormat="1" ht="30" customHeight="1" thickBot="1" x14ac:dyDescent="0.3">
      <c r="A434" s="81" t="s">
        <v>12</v>
      </c>
      <c r="B434" s="163">
        <v>6</v>
      </c>
      <c r="C434" s="163"/>
      <c r="D434" s="82" t="s">
        <v>15</v>
      </c>
      <c r="E434" s="94">
        <v>45317</v>
      </c>
      <c r="F434" s="126"/>
      <c r="G434" s="46"/>
    </row>
    <row r="435" spans="1:7" s="47" customFormat="1" ht="30" customHeight="1" thickBot="1" x14ac:dyDescent="0.3">
      <c r="A435" s="80" t="s">
        <v>5</v>
      </c>
      <c r="B435" s="150" t="s">
        <v>38</v>
      </c>
      <c r="C435" s="151"/>
      <c r="D435" s="80" t="s">
        <v>13</v>
      </c>
      <c r="E435" s="238" t="s">
        <v>14</v>
      </c>
      <c r="F435" s="239"/>
      <c r="G435" s="46"/>
    </row>
    <row r="436" spans="1:7" s="52" customFormat="1" ht="27" x14ac:dyDescent="0.3">
      <c r="A436" s="48" t="s">
        <v>43</v>
      </c>
      <c r="B436" s="49">
        <v>30</v>
      </c>
      <c r="C436" s="152" t="str">
        <f xml:space="preserve"> IF(B436="","",setValueToTime(B436))</f>
        <v>2h30min</v>
      </c>
      <c r="D436" s="50" t="s">
        <v>72</v>
      </c>
      <c r="E436" s="240"/>
      <c r="F436" s="241"/>
      <c r="G436" s="51"/>
    </row>
    <row r="437" spans="1:7" s="52" customFormat="1" x14ac:dyDescent="0.3">
      <c r="A437" s="53" t="s">
        <v>43</v>
      </c>
      <c r="B437" s="54">
        <v>15</v>
      </c>
      <c r="C437" s="153" t="str">
        <f t="shared" ref="C437" si="36" xml:space="preserve"> IF(B437="","",setValueToTime(B437))</f>
        <v>1h15min</v>
      </c>
      <c r="D437" s="55" t="s">
        <v>73</v>
      </c>
      <c r="E437" s="242"/>
      <c r="F437" s="243"/>
      <c r="G437" s="51"/>
    </row>
    <row r="438" spans="1:7" s="52" customFormat="1" x14ac:dyDescent="0.3">
      <c r="A438" s="53"/>
      <c r="B438" s="54"/>
      <c r="C438" s="153" t="str">
        <f t="shared" ref="C438:C443" si="37" xml:space="preserve"> IF(B438="","",setValueToTime(B438))</f>
        <v/>
      </c>
      <c r="D438" s="55"/>
      <c r="E438" s="242"/>
      <c r="F438" s="243"/>
      <c r="G438" s="51"/>
    </row>
    <row r="439" spans="1:7" s="52" customFormat="1" x14ac:dyDescent="0.3">
      <c r="A439" s="53"/>
      <c r="B439" s="54"/>
      <c r="C439" s="153" t="str">
        <f t="shared" si="37"/>
        <v/>
      </c>
      <c r="D439" s="55"/>
      <c r="E439" s="242"/>
      <c r="F439" s="243"/>
      <c r="G439" s="51"/>
    </row>
    <row r="440" spans="1:7" s="52" customFormat="1" x14ac:dyDescent="0.3">
      <c r="A440" s="54"/>
      <c r="B440" s="54"/>
      <c r="C440" s="154" t="str">
        <f t="shared" si="37"/>
        <v/>
      </c>
      <c r="D440" s="55"/>
      <c r="E440" s="242"/>
      <c r="F440" s="243"/>
      <c r="G440" s="51"/>
    </row>
    <row r="441" spans="1:7" s="52" customFormat="1" x14ac:dyDescent="0.3">
      <c r="A441" s="54"/>
      <c r="B441" s="54"/>
      <c r="C441" s="154" t="str">
        <f t="shared" si="37"/>
        <v/>
      </c>
      <c r="D441" s="55"/>
      <c r="E441" s="242"/>
      <c r="F441" s="243"/>
      <c r="G441" s="51"/>
    </row>
    <row r="442" spans="1:7" s="52" customFormat="1" x14ac:dyDescent="0.3">
      <c r="A442" s="54"/>
      <c r="B442" s="54"/>
      <c r="C442" s="154" t="str">
        <f t="shared" si="37"/>
        <v/>
      </c>
      <c r="D442" s="55"/>
      <c r="E442" s="242"/>
      <c r="F442" s="243"/>
      <c r="G442" s="51"/>
    </row>
    <row r="443" spans="1:7" s="52" customFormat="1" ht="15" thickBot="1" x14ac:dyDescent="0.35">
      <c r="A443" s="56"/>
      <c r="B443" s="56"/>
      <c r="C443" s="155" t="str">
        <f t="shared" si="37"/>
        <v/>
      </c>
      <c r="D443" s="57"/>
      <c r="E443" s="244"/>
      <c r="F443" s="245"/>
      <c r="G443" s="51"/>
    </row>
    <row r="444" spans="1:7" s="52" customFormat="1" ht="15" thickBot="1" x14ac:dyDescent="0.35">
      <c r="A444" s="111" t="s">
        <v>27</v>
      </c>
      <c r="B444" s="84">
        <f>SUM(B436:B443)</f>
        <v>45</v>
      </c>
      <c r="C444" s="111" t="str">
        <f xml:space="preserve"> setValueToTime(B444)</f>
        <v>3h45min</v>
      </c>
      <c r="D444" s="120"/>
      <c r="E444" s="236"/>
      <c r="F444" s="237"/>
      <c r="G444" s="51"/>
    </row>
    <row r="445" spans="1:7" s="59" customFormat="1" ht="15" thickBot="1" x14ac:dyDescent="0.35">
      <c r="A445" s="79"/>
      <c r="B445" s="79"/>
      <c r="C445" s="79"/>
      <c r="D445" s="79"/>
      <c r="E445" s="79"/>
      <c r="F445" s="79"/>
      <c r="G445" s="58"/>
    </row>
    <row r="446" spans="1:7" s="47" customFormat="1" ht="30" customHeight="1" thickBot="1" x14ac:dyDescent="0.3">
      <c r="A446" s="81" t="s">
        <v>12</v>
      </c>
      <c r="B446" s="163">
        <v>5</v>
      </c>
      <c r="C446" s="163"/>
      <c r="D446" s="82" t="s">
        <v>15</v>
      </c>
      <c r="E446" s="94">
        <v>45316</v>
      </c>
      <c r="F446" s="126"/>
      <c r="G446" s="46"/>
    </row>
    <row r="447" spans="1:7" s="47" customFormat="1" ht="30" customHeight="1" thickBot="1" x14ac:dyDescent="0.3">
      <c r="A447" s="80" t="s">
        <v>5</v>
      </c>
      <c r="B447" s="150" t="s">
        <v>38</v>
      </c>
      <c r="C447" s="151"/>
      <c r="D447" s="80" t="s">
        <v>13</v>
      </c>
      <c r="E447" s="238" t="s">
        <v>14</v>
      </c>
      <c r="F447" s="239"/>
      <c r="G447" s="46"/>
    </row>
    <row r="448" spans="1:7" s="52" customFormat="1" x14ac:dyDescent="0.3">
      <c r="A448" s="48" t="s">
        <v>43</v>
      </c>
      <c r="B448" s="49">
        <v>36</v>
      </c>
      <c r="C448" s="152" t="str">
        <f xml:space="preserve"> IF(B448="","",setValueToTime(B448))</f>
        <v>3h</v>
      </c>
      <c r="D448" s="50" t="s">
        <v>71</v>
      </c>
      <c r="E448" s="240"/>
      <c r="F448" s="241"/>
      <c r="G448" s="51"/>
    </row>
    <row r="449" spans="1:7" s="52" customFormat="1" x14ac:dyDescent="0.3">
      <c r="A449" s="53"/>
      <c r="B449" s="54"/>
      <c r="C449" s="153"/>
      <c r="D449" s="55"/>
      <c r="E449" s="242"/>
      <c r="F449" s="243"/>
      <c r="G449" s="51"/>
    </row>
    <row r="450" spans="1:7" s="52" customFormat="1" x14ac:dyDescent="0.3">
      <c r="A450" s="53"/>
      <c r="B450" s="54"/>
      <c r="C450" s="153" t="str">
        <f t="shared" ref="C450:C455" si="38" xml:space="preserve"> IF(B450="","",setValueToTime(B450))</f>
        <v/>
      </c>
      <c r="D450" s="55"/>
      <c r="E450" s="242"/>
      <c r="F450" s="243"/>
      <c r="G450" s="51"/>
    </row>
    <row r="451" spans="1:7" s="52" customFormat="1" x14ac:dyDescent="0.3">
      <c r="A451" s="53"/>
      <c r="B451" s="54"/>
      <c r="C451" s="153" t="str">
        <f t="shared" si="38"/>
        <v/>
      </c>
      <c r="D451" s="55"/>
      <c r="E451" s="242"/>
      <c r="F451" s="243"/>
      <c r="G451" s="51"/>
    </row>
    <row r="452" spans="1:7" s="52" customFormat="1" x14ac:dyDescent="0.3">
      <c r="A452" s="54"/>
      <c r="B452" s="54"/>
      <c r="C452" s="154" t="str">
        <f t="shared" si="38"/>
        <v/>
      </c>
      <c r="D452" s="55"/>
      <c r="E452" s="242"/>
      <c r="F452" s="243"/>
      <c r="G452" s="51"/>
    </row>
    <row r="453" spans="1:7" s="52" customFormat="1" x14ac:dyDescent="0.3">
      <c r="A453" s="54"/>
      <c r="B453" s="54"/>
      <c r="C453" s="154" t="str">
        <f t="shared" si="38"/>
        <v/>
      </c>
      <c r="D453" s="55"/>
      <c r="E453" s="242"/>
      <c r="F453" s="243"/>
      <c r="G453" s="51"/>
    </row>
    <row r="454" spans="1:7" s="52" customFormat="1" x14ac:dyDescent="0.3">
      <c r="A454" s="54"/>
      <c r="B454" s="54"/>
      <c r="C454" s="154" t="str">
        <f t="shared" si="38"/>
        <v/>
      </c>
      <c r="D454" s="55"/>
      <c r="E454" s="242"/>
      <c r="F454" s="243"/>
      <c r="G454" s="51"/>
    </row>
    <row r="455" spans="1:7" s="52" customFormat="1" ht="15" thickBot="1" x14ac:dyDescent="0.35">
      <c r="A455" s="56"/>
      <c r="B455" s="56"/>
      <c r="C455" s="155" t="str">
        <f t="shared" si="38"/>
        <v/>
      </c>
      <c r="D455" s="57"/>
      <c r="E455" s="244"/>
      <c r="F455" s="245"/>
      <c r="G455" s="51"/>
    </row>
    <row r="456" spans="1:7" s="52" customFormat="1" ht="15" thickBot="1" x14ac:dyDescent="0.35">
      <c r="A456" s="111" t="s">
        <v>27</v>
      </c>
      <c r="B456" s="84">
        <f>SUM(B448:B455)</f>
        <v>36</v>
      </c>
      <c r="C456" s="111" t="str">
        <f xml:space="preserve"> setValueToTime(B456)</f>
        <v>3h</v>
      </c>
      <c r="D456" s="120"/>
      <c r="E456" s="236"/>
      <c r="F456" s="237"/>
      <c r="G456" s="51"/>
    </row>
    <row r="457" spans="1:7" s="59" customFormat="1" ht="15" thickBot="1" x14ac:dyDescent="0.35">
      <c r="A457" s="79"/>
      <c r="B457" s="79"/>
      <c r="C457" s="79"/>
      <c r="D457" s="79"/>
      <c r="E457" s="79"/>
      <c r="F457" s="79"/>
      <c r="G457" s="58"/>
    </row>
    <row r="458" spans="1:7" s="47" customFormat="1" ht="30" customHeight="1" thickBot="1" x14ac:dyDescent="0.3">
      <c r="A458" s="81" t="s">
        <v>12</v>
      </c>
      <c r="B458" s="163">
        <v>4</v>
      </c>
      <c r="C458" s="163"/>
      <c r="D458" s="82" t="s">
        <v>15</v>
      </c>
      <c r="E458" s="94">
        <v>45315</v>
      </c>
      <c r="F458" s="126"/>
      <c r="G458" s="46"/>
    </row>
    <row r="459" spans="1:7" s="47" customFormat="1" ht="30" customHeight="1" thickBot="1" x14ac:dyDescent="0.3">
      <c r="A459" s="80" t="s">
        <v>5</v>
      </c>
      <c r="B459" s="150" t="s">
        <v>38</v>
      </c>
      <c r="C459" s="151"/>
      <c r="D459" s="80" t="s">
        <v>13</v>
      </c>
      <c r="E459" s="238" t="s">
        <v>14</v>
      </c>
      <c r="F459" s="239"/>
      <c r="G459" s="46"/>
    </row>
    <row r="460" spans="1:7" s="52" customFormat="1" x14ac:dyDescent="0.3">
      <c r="A460" s="48" t="s">
        <v>43</v>
      </c>
      <c r="B460" s="49">
        <v>36</v>
      </c>
      <c r="C460" s="152" t="str">
        <f xml:space="preserve"> IF(B460="","",setValueToTime(B460))</f>
        <v>3h</v>
      </c>
      <c r="D460" s="50" t="s">
        <v>71</v>
      </c>
      <c r="E460" s="240"/>
      <c r="F460" s="241"/>
      <c r="G460" s="51"/>
    </row>
    <row r="461" spans="1:7" s="52" customFormat="1" x14ac:dyDescent="0.3">
      <c r="A461" s="53"/>
      <c r="B461" s="54"/>
      <c r="C461" s="153"/>
      <c r="D461" s="55"/>
      <c r="E461" s="242"/>
      <c r="F461" s="243"/>
      <c r="G461" s="51"/>
    </row>
    <row r="462" spans="1:7" s="52" customFormat="1" x14ac:dyDescent="0.3">
      <c r="A462" s="53"/>
      <c r="B462" s="54"/>
      <c r="C462" s="153"/>
      <c r="D462"/>
      <c r="E462" s="242"/>
      <c r="F462" s="243"/>
      <c r="G462" s="51"/>
    </row>
    <row r="463" spans="1:7" s="52" customFormat="1" x14ac:dyDescent="0.3">
      <c r="A463" s="53"/>
      <c r="B463" s="54"/>
      <c r="C463" s="153" t="str">
        <f t="shared" ref="C463:C467" si="39" xml:space="preserve"> IF(B463="","",setValueToTime(B463))</f>
        <v/>
      </c>
      <c r="D463" s="55"/>
      <c r="E463" s="242"/>
      <c r="F463" s="243"/>
      <c r="G463" s="51"/>
    </row>
    <row r="464" spans="1:7" s="52" customFormat="1" x14ac:dyDescent="0.3">
      <c r="A464" s="54"/>
      <c r="B464" s="54"/>
      <c r="C464" s="154" t="str">
        <f t="shared" si="39"/>
        <v/>
      </c>
      <c r="D464" s="55"/>
      <c r="E464" s="242"/>
      <c r="F464" s="243"/>
      <c r="G464" s="51"/>
    </row>
    <row r="465" spans="1:7" s="52" customFormat="1" x14ac:dyDescent="0.3">
      <c r="A465" s="54"/>
      <c r="B465" s="54"/>
      <c r="C465" s="154" t="str">
        <f t="shared" si="39"/>
        <v/>
      </c>
      <c r="D465" s="55"/>
      <c r="E465" s="242"/>
      <c r="F465" s="243"/>
      <c r="G465" s="51"/>
    </row>
    <row r="466" spans="1:7" s="52" customFormat="1" x14ac:dyDescent="0.3">
      <c r="A466" s="54"/>
      <c r="B466" s="54"/>
      <c r="C466" s="154" t="str">
        <f t="shared" si="39"/>
        <v/>
      </c>
      <c r="D466" s="55"/>
      <c r="E466" s="242"/>
      <c r="F466" s="243"/>
      <c r="G466" s="51"/>
    </row>
    <row r="467" spans="1:7" s="52" customFormat="1" ht="15" thickBot="1" x14ac:dyDescent="0.35">
      <c r="A467" s="56"/>
      <c r="B467" s="56"/>
      <c r="C467" s="155" t="str">
        <f t="shared" si="39"/>
        <v/>
      </c>
      <c r="D467" s="57"/>
      <c r="E467" s="244"/>
      <c r="F467" s="245"/>
      <c r="G467" s="51"/>
    </row>
    <row r="468" spans="1:7" s="52" customFormat="1" ht="15" thickBot="1" x14ac:dyDescent="0.35">
      <c r="A468" s="111" t="s">
        <v>27</v>
      </c>
      <c r="B468" s="84">
        <f>SUM(B460:B467)</f>
        <v>36</v>
      </c>
      <c r="C468" s="111" t="str">
        <f xml:space="preserve"> setValueToTime(B468)</f>
        <v>3h</v>
      </c>
      <c r="D468" s="120"/>
      <c r="E468" s="236"/>
      <c r="F468" s="237"/>
      <c r="G468" s="51"/>
    </row>
    <row r="469" spans="1:7" s="59" customFormat="1" ht="15" thickBot="1" x14ac:dyDescent="0.35">
      <c r="A469" s="79"/>
      <c r="B469" s="79"/>
      <c r="C469" s="79"/>
      <c r="D469" s="79"/>
      <c r="E469" s="79"/>
      <c r="F469" s="79"/>
      <c r="G469" s="58"/>
    </row>
    <row r="470" spans="1:7" s="47" customFormat="1" ht="30" customHeight="1" thickBot="1" x14ac:dyDescent="0.3">
      <c r="A470" s="81" t="s">
        <v>12</v>
      </c>
      <c r="B470" s="163">
        <v>3</v>
      </c>
      <c r="C470" s="163"/>
      <c r="D470" s="82" t="s">
        <v>15</v>
      </c>
      <c r="E470" s="94">
        <v>45315</v>
      </c>
      <c r="F470" s="126"/>
      <c r="G470" s="46"/>
    </row>
    <row r="471" spans="1:7" s="47" customFormat="1" ht="30" customHeight="1" thickBot="1" x14ac:dyDescent="0.3">
      <c r="A471" s="80" t="s">
        <v>5</v>
      </c>
      <c r="B471" s="150" t="s">
        <v>38</v>
      </c>
      <c r="C471" s="151"/>
      <c r="D471" s="80" t="s">
        <v>13</v>
      </c>
      <c r="E471" s="238" t="s">
        <v>14</v>
      </c>
      <c r="F471" s="239"/>
      <c r="G471" s="46"/>
    </row>
    <row r="472" spans="1:7" s="52" customFormat="1" ht="27" x14ac:dyDescent="0.3">
      <c r="A472" s="48" t="s">
        <v>41</v>
      </c>
      <c r="B472" s="49">
        <v>9</v>
      </c>
      <c r="C472" s="152" t="str">
        <f xml:space="preserve"> IF(B472="","",setValueToTime(B472))</f>
        <v>0h45min</v>
      </c>
      <c r="D472" s="50" t="s">
        <v>68</v>
      </c>
      <c r="E472" s="240"/>
      <c r="F472" s="241"/>
      <c r="G472" s="51"/>
    </row>
    <row r="473" spans="1:7" s="52" customFormat="1" ht="27" x14ac:dyDescent="0.3">
      <c r="A473" s="53" t="s">
        <v>42</v>
      </c>
      <c r="B473" s="54">
        <v>9</v>
      </c>
      <c r="C473" s="153" t="str">
        <f t="shared" ref="C473:C479" si="40" xml:space="preserve"> IF(B473="","",setValueToTime(B473))</f>
        <v>0h45min</v>
      </c>
      <c r="D473" s="55" t="s">
        <v>69</v>
      </c>
      <c r="E473" s="242"/>
      <c r="F473" s="243"/>
      <c r="G473" s="51"/>
    </row>
    <row r="474" spans="1:7" s="52" customFormat="1" ht="27" x14ac:dyDescent="0.3">
      <c r="A474" s="53" t="s">
        <v>46</v>
      </c>
      <c r="B474" s="54">
        <v>18</v>
      </c>
      <c r="C474" s="153" t="str">
        <f t="shared" si="40"/>
        <v>1h30min</v>
      </c>
      <c r="D474" t="s">
        <v>70</v>
      </c>
      <c r="E474" s="242"/>
      <c r="F474" s="243"/>
      <c r="G474" s="51"/>
    </row>
    <row r="475" spans="1:7" s="52" customFormat="1" x14ac:dyDescent="0.3">
      <c r="A475" s="53"/>
      <c r="B475" s="54"/>
      <c r="C475" s="153" t="str">
        <f t="shared" si="40"/>
        <v/>
      </c>
      <c r="D475" s="55"/>
      <c r="E475" s="242"/>
      <c r="F475" s="243"/>
      <c r="G475" s="51"/>
    </row>
    <row r="476" spans="1:7" s="52" customFormat="1" x14ac:dyDescent="0.3">
      <c r="A476" s="54"/>
      <c r="B476" s="54"/>
      <c r="C476" s="154" t="str">
        <f t="shared" si="40"/>
        <v/>
      </c>
      <c r="D476" s="55"/>
      <c r="E476" s="242"/>
      <c r="F476" s="243"/>
      <c r="G476" s="51"/>
    </row>
    <row r="477" spans="1:7" s="52" customFormat="1" x14ac:dyDescent="0.3">
      <c r="A477" s="54"/>
      <c r="B477" s="54"/>
      <c r="C477" s="154" t="str">
        <f t="shared" si="40"/>
        <v/>
      </c>
      <c r="D477" s="55"/>
      <c r="E477" s="242"/>
      <c r="F477" s="243"/>
      <c r="G477" s="51"/>
    </row>
    <row r="478" spans="1:7" s="52" customFormat="1" x14ac:dyDescent="0.3">
      <c r="A478" s="54"/>
      <c r="B478" s="54"/>
      <c r="C478" s="154" t="str">
        <f t="shared" si="40"/>
        <v/>
      </c>
      <c r="D478" s="55"/>
      <c r="E478" s="242"/>
      <c r="F478" s="243"/>
      <c r="G478" s="51"/>
    </row>
    <row r="479" spans="1:7" s="52" customFormat="1" ht="15" thickBot="1" x14ac:dyDescent="0.35">
      <c r="A479" s="56"/>
      <c r="B479" s="56"/>
      <c r="C479" s="155" t="str">
        <f t="shared" si="40"/>
        <v/>
      </c>
      <c r="D479" s="57"/>
      <c r="E479" s="244"/>
      <c r="F479" s="245"/>
      <c r="G479" s="51"/>
    </row>
    <row r="480" spans="1:7" s="52" customFormat="1" ht="15" thickBot="1" x14ac:dyDescent="0.35">
      <c r="A480" s="111" t="s">
        <v>27</v>
      </c>
      <c r="B480" s="84">
        <f>SUM(B472:B479)</f>
        <v>36</v>
      </c>
      <c r="C480" s="111" t="str">
        <f xml:space="preserve"> setValueToTime(B480)</f>
        <v>3h</v>
      </c>
      <c r="D480" s="120"/>
      <c r="E480" s="236"/>
      <c r="F480" s="237"/>
      <c r="G480" s="51"/>
    </row>
    <row r="481" spans="1:7" s="59" customFormat="1" ht="15" thickBot="1" x14ac:dyDescent="0.35">
      <c r="A481" s="79"/>
      <c r="B481" s="79"/>
      <c r="C481" s="79"/>
      <c r="D481" s="79"/>
      <c r="E481" s="79"/>
      <c r="F481" s="79"/>
      <c r="G481" s="58"/>
    </row>
    <row r="482" spans="1:7" s="47" customFormat="1" ht="30" customHeight="1" thickBot="1" x14ac:dyDescent="0.3">
      <c r="A482" s="81" t="s">
        <v>12</v>
      </c>
      <c r="B482" s="163">
        <v>2</v>
      </c>
      <c r="C482" s="163"/>
      <c r="D482" s="82" t="s">
        <v>15</v>
      </c>
      <c r="E482" s="94">
        <v>45313</v>
      </c>
      <c r="F482" s="126"/>
      <c r="G482" s="46"/>
    </row>
    <row r="483" spans="1:7" s="47" customFormat="1" ht="30" customHeight="1" thickBot="1" x14ac:dyDescent="0.3">
      <c r="A483" s="80" t="s">
        <v>5</v>
      </c>
      <c r="B483" s="150" t="s">
        <v>38</v>
      </c>
      <c r="C483" s="151"/>
      <c r="D483" s="80" t="s">
        <v>13</v>
      </c>
      <c r="E483" s="238" t="s">
        <v>14</v>
      </c>
      <c r="F483" s="239"/>
      <c r="G483" s="46"/>
    </row>
    <row r="484" spans="1:7" s="52" customFormat="1" x14ac:dyDescent="0.3">
      <c r="A484" s="48" t="s">
        <v>64</v>
      </c>
      <c r="B484" s="49">
        <v>18</v>
      </c>
      <c r="C484" s="152" t="str">
        <f xml:space="preserve"> IF(B484="","",setValueToTime(B484))</f>
        <v>1h30min</v>
      </c>
      <c r="D484" s="50" t="s">
        <v>67</v>
      </c>
      <c r="E484" s="240"/>
      <c r="F484" s="241"/>
      <c r="G484" s="51"/>
    </row>
    <row r="485" spans="1:7" s="52" customFormat="1" ht="27" x14ac:dyDescent="0.3">
      <c r="A485" s="53" t="s">
        <v>41</v>
      </c>
      <c r="B485" s="54">
        <v>9</v>
      </c>
      <c r="C485" s="153" t="str">
        <f t="shared" ref="C485:C491" si="41" xml:space="preserve"> IF(B485="","",setValueToTime(B485))</f>
        <v>0h45min</v>
      </c>
      <c r="D485" s="55" t="s">
        <v>66</v>
      </c>
      <c r="E485" s="242"/>
      <c r="F485" s="243"/>
      <c r="G485" s="51"/>
    </row>
    <row r="486" spans="1:7" s="52" customFormat="1" x14ac:dyDescent="0.3">
      <c r="A486" s="53"/>
      <c r="B486" s="54"/>
      <c r="C486" s="153" t="str">
        <f t="shared" si="41"/>
        <v/>
      </c>
      <c r="D486" s="55"/>
      <c r="E486" s="242"/>
      <c r="F486" s="243"/>
      <c r="G486" s="51"/>
    </row>
    <row r="487" spans="1:7" s="52" customFormat="1" x14ac:dyDescent="0.3">
      <c r="A487" s="53"/>
      <c r="B487" s="54"/>
      <c r="C487" s="153" t="str">
        <f t="shared" si="41"/>
        <v/>
      </c>
      <c r="D487" s="55"/>
      <c r="E487" s="242"/>
      <c r="F487" s="243"/>
      <c r="G487" s="51"/>
    </row>
    <row r="488" spans="1:7" s="52" customFormat="1" x14ac:dyDescent="0.3">
      <c r="A488" s="54"/>
      <c r="B488" s="54"/>
      <c r="C488" s="154" t="str">
        <f t="shared" si="41"/>
        <v/>
      </c>
      <c r="D488" s="55"/>
      <c r="E488" s="242"/>
      <c r="F488" s="243"/>
      <c r="G488" s="51"/>
    </row>
    <row r="489" spans="1:7" s="52" customFormat="1" x14ac:dyDescent="0.3">
      <c r="A489" s="54"/>
      <c r="B489" s="54"/>
      <c r="C489" s="154" t="str">
        <f t="shared" si="41"/>
        <v/>
      </c>
      <c r="D489" s="55"/>
      <c r="E489" s="242"/>
      <c r="F489" s="243"/>
      <c r="G489" s="51"/>
    </row>
    <row r="490" spans="1:7" s="52" customFormat="1" x14ac:dyDescent="0.3">
      <c r="A490" s="54"/>
      <c r="B490" s="54"/>
      <c r="C490" s="154" t="str">
        <f t="shared" si="41"/>
        <v/>
      </c>
      <c r="D490" s="55"/>
      <c r="E490" s="242"/>
      <c r="F490" s="243"/>
      <c r="G490" s="51"/>
    </row>
    <row r="491" spans="1:7" s="52" customFormat="1" ht="15" thickBot="1" x14ac:dyDescent="0.35">
      <c r="A491" s="56"/>
      <c r="B491" s="56"/>
      <c r="C491" s="155" t="str">
        <f t="shared" si="41"/>
        <v/>
      </c>
      <c r="D491" s="57"/>
      <c r="E491" s="244"/>
      <c r="F491" s="245"/>
      <c r="G491" s="51"/>
    </row>
    <row r="492" spans="1:7" s="52" customFormat="1" ht="15" thickBot="1" x14ac:dyDescent="0.35">
      <c r="A492" s="111" t="s">
        <v>27</v>
      </c>
      <c r="B492" s="84">
        <f>SUM(B484:B491)</f>
        <v>27</v>
      </c>
      <c r="C492" s="111" t="str">
        <f xml:space="preserve"> setValueToTime(B492)</f>
        <v>2h15min</v>
      </c>
      <c r="D492" s="120"/>
      <c r="E492" s="236"/>
      <c r="F492" s="237"/>
      <c r="G492" s="51"/>
    </row>
    <row r="493" spans="1:7" s="59" customFormat="1" ht="15" thickBot="1" x14ac:dyDescent="0.35">
      <c r="A493" s="79"/>
      <c r="B493" s="79"/>
      <c r="C493" s="79"/>
      <c r="D493" s="79"/>
      <c r="E493" s="79"/>
      <c r="F493" s="79"/>
      <c r="G493" s="58"/>
    </row>
    <row r="494" spans="1:7" s="47" customFormat="1" ht="30" customHeight="1" thickBot="1" x14ac:dyDescent="0.3">
      <c r="A494" s="81" t="s">
        <v>12</v>
      </c>
      <c r="B494" s="163">
        <v>1</v>
      </c>
      <c r="C494" s="163"/>
      <c r="D494" s="82" t="s">
        <v>15</v>
      </c>
      <c r="E494" s="94">
        <v>45313</v>
      </c>
      <c r="F494" s="126"/>
      <c r="G494" s="46"/>
    </row>
    <row r="495" spans="1:7" s="47" customFormat="1" ht="30" customHeight="1" thickBot="1" x14ac:dyDescent="0.3">
      <c r="A495" s="80" t="s">
        <v>5</v>
      </c>
      <c r="B495" s="150" t="s">
        <v>38</v>
      </c>
      <c r="C495" s="151"/>
      <c r="D495" s="80" t="s">
        <v>13</v>
      </c>
      <c r="E495" s="238" t="s">
        <v>14</v>
      </c>
      <c r="F495" s="239"/>
      <c r="G495" s="46"/>
    </row>
    <row r="496" spans="1:7" s="52" customFormat="1" x14ac:dyDescent="0.3">
      <c r="A496" s="48" t="s">
        <v>4</v>
      </c>
      <c r="B496" s="49">
        <v>45</v>
      </c>
      <c r="C496" s="152" t="str">
        <f xml:space="preserve"> IF(B496="","",setValueToTime(B496))</f>
        <v>3h45min</v>
      </c>
      <c r="D496" s="50" t="s">
        <v>65</v>
      </c>
      <c r="E496" s="240"/>
      <c r="F496" s="241"/>
      <c r="G496" s="51"/>
    </row>
    <row r="497" spans="1:7" s="52" customFormat="1" x14ac:dyDescent="0.3">
      <c r="A497" s="53"/>
      <c r="B497" s="54"/>
      <c r="C497" s="153" t="str">
        <f t="shared" ref="C497:C503" si="42" xml:space="preserve"> IF(B497="","",setValueToTime(B497))</f>
        <v/>
      </c>
      <c r="D497" s="55"/>
      <c r="E497" s="242"/>
      <c r="F497" s="243"/>
      <c r="G497" s="51"/>
    </row>
    <row r="498" spans="1:7" s="52" customFormat="1" x14ac:dyDescent="0.3">
      <c r="A498" s="53"/>
      <c r="B498" s="54"/>
      <c r="C498" s="153" t="str">
        <f t="shared" si="42"/>
        <v/>
      </c>
      <c r="D498" s="55"/>
      <c r="E498" s="242"/>
      <c r="F498" s="243"/>
      <c r="G498" s="51"/>
    </row>
    <row r="499" spans="1:7" s="52" customFormat="1" x14ac:dyDescent="0.3">
      <c r="A499" s="53"/>
      <c r="B499" s="54"/>
      <c r="C499" s="153" t="str">
        <f t="shared" si="42"/>
        <v/>
      </c>
      <c r="D499" s="55"/>
      <c r="E499" s="242"/>
      <c r="F499" s="243"/>
      <c r="G499" s="51"/>
    </row>
    <row r="500" spans="1:7" s="52" customFormat="1" x14ac:dyDescent="0.3">
      <c r="A500" s="54"/>
      <c r="B500" s="54"/>
      <c r="C500" s="154" t="str">
        <f t="shared" si="42"/>
        <v/>
      </c>
      <c r="D500" s="55"/>
      <c r="E500" s="242"/>
      <c r="F500" s="243"/>
      <c r="G500" s="51"/>
    </row>
    <row r="501" spans="1:7" s="52" customFormat="1" x14ac:dyDescent="0.3">
      <c r="A501" s="54"/>
      <c r="B501" s="54"/>
      <c r="C501" s="154" t="str">
        <f t="shared" si="42"/>
        <v/>
      </c>
      <c r="D501" s="55"/>
      <c r="E501" s="242"/>
      <c r="F501" s="243"/>
      <c r="G501" s="51"/>
    </row>
    <row r="502" spans="1:7" s="52" customFormat="1" x14ac:dyDescent="0.3">
      <c r="A502" s="54"/>
      <c r="B502" s="54"/>
      <c r="C502" s="154" t="str">
        <f t="shared" si="42"/>
        <v/>
      </c>
      <c r="D502" s="55"/>
      <c r="E502" s="242"/>
      <c r="F502" s="243"/>
      <c r="G502" s="51"/>
    </row>
    <row r="503" spans="1:7" s="52" customFormat="1" ht="15" thickBot="1" x14ac:dyDescent="0.35">
      <c r="A503" s="56"/>
      <c r="B503" s="56"/>
      <c r="C503" s="155" t="str">
        <f t="shared" si="42"/>
        <v/>
      </c>
      <c r="D503" s="57"/>
      <c r="E503" s="244"/>
      <c r="F503" s="245"/>
      <c r="G503" s="51"/>
    </row>
    <row r="504" spans="1:7" s="52" customFormat="1" ht="15" thickBot="1" x14ac:dyDescent="0.35">
      <c r="A504" s="111" t="s">
        <v>27</v>
      </c>
      <c r="B504" s="84">
        <f>SUM(B496:B503)</f>
        <v>45</v>
      </c>
      <c r="C504" s="111" t="str">
        <f xml:space="preserve"> setValueToTime(B504)</f>
        <v>3h45min</v>
      </c>
      <c r="D504" s="120"/>
      <c r="E504" s="236"/>
      <c r="F504" s="237"/>
      <c r="G504" s="51"/>
    </row>
    <row r="505" spans="1:7" s="59" customFormat="1" x14ac:dyDescent="0.3">
      <c r="A505" s="79"/>
      <c r="B505" s="79"/>
      <c r="C505" s="79"/>
      <c r="D505" s="79"/>
      <c r="E505" s="79"/>
      <c r="F505" s="79"/>
      <c r="G505" s="58"/>
    </row>
  </sheetData>
  <sheetProtection formatRows="0" insertRows="0" insertHyperlinks="0" deleteRows="0" selectLockedCells="1"/>
  <mergeCells count="420">
    <mergeCell ref="E12:F12"/>
    <mergeCell ref="E3:F3"/>
    <mergeCell ref="E4:F4"/>
    <mergeCell ref="E5:F5"/>
    <mergeCell ref="E6:F6"/>
    <mergeCell ref="E7:F7"/>
    <mergeCell ref="E8:F8"/>
    <mergeCell ref="E9:F9"/>
    <mergeCell ref="E10:F10"/>
    <mergeCell ref="E11:F11"/>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4:F324"/>
    <mergeCell ref="E303:F303"/>
    <mergeCell ref="E304:F304"/>
    <mergeCell ref="E305:F305"/>
    <mergeCell ref="E306:F306"/>
    <mergeCell ref="E307:F307"/>
    <mergeCell ref="E308:F308"/>
    <mergeCell ref="E309:F309"/>
    <mergeCell ref="E310:F310"/>
    <mergeCell ref="E311:F311"/>
    <mergeCell ref="E312:F312"/>
    <mergeCell ref="E315:F315"/>
    <mergeCell ref="E316:F316"/>
    <mergeCell ref="E317:F317"/>
    <mergeCell ref="E318:F318"/>
    <mergeCell ref="E319:F319"/>
    <mergeCell ref="E320:F320"/>
    <mergeCell ref="E321:F321"/>
    <mergeCell ref="E322:F322"/>
    <mergeCell ref="E323:F323"/>
    <mergeCell ref="E502:F502"/>
    <mergeCell ref="E503:F503"/>
    <mergeCell ref="E504:F504"/>
    <mergeCell ref="E483:F483"/>
    <mergeCell ref="E484:F484"/>
    <mergeCell ref="E485:F485"/>
    <mergeCell ref="E486:F486"/>
    <mergeCell ref="E487:F487"/>
    <mergeCell ref="E488:F488"/>
    <mergeCell ref="E495:F495"/>
    <mergeCell ref="E496:F496"/>
    <mergeCell ref="E497:F497"/>
    <mergeCell ref="E498:F498"/>
    <mergeCell ref="E499:F499"/>
    <mergeCell ref="E500:F500"/>
    <mergeCell ref="E489:F489"/>
    <mergeCell ref="E490:F490"/>
    <mergeCell ref="E491:F491"/>
    <mergeCell ref="E492:F492"/>
    <mergeCell ref="E501:F501"/>
    <mergeCell ref="E476:F476"/>
    <mergeCell ref="E477:F477"/>
    <mergeCell ref="E478:F478"/>
    <mergeCell ref="E479:F479"/>
    <mergeCell ref="E480:F480"/>
    <mergeCell ref="E471:F471"/>
    <mergeCell ref="E472:F472"/>
    <mergeCell ref="E473:F473"/>
    <mergeCell ref="E474:F474"/>
    <mergeCell ref="E475:F475"/>
    <mergeCell ref="E464:F464"/>
    <mergeCell ref="E465:F465"/>
    <mergeCell ref="E466:F466"/>
    <mergeCell ref="E467:F467"/>
    <mergeCell ref="E468:F468"/>
    <mergeCell ref="E459:F459"/>
    <mergeCell ref="E460:F460"/>
    <mergeCell ref="E461:F461"/>
    <mergeCell ref="E462:F462"/>
    <mergeCell ref="E463:F463"/>
    <mergeCell ref="E452:F452"/>
    <mergeCell ref="E453:F453"/>
    <mergeCell ref="E454:F454"/>
    <mergeCell ref="E455:F455"/>
    <mergeCell ref="E456:F456"/>
    <mergeCell ref="E447:F447"/>
    <mergeCell ref="E448:F448"/>
    <mergeCell ref="E449:F449"/>
    <mergeCell ref="E450:F450"/>
    <mergeCell ref="E451:F451"/>
    <mergeCell ref="E440:F440"/>
    <mergeCell ref="E441:F441"/>
    <mergeCell ref="E442:F442"/>
    <mergeCell ref="E443:F443"/>
    <mergeCell ref="E444:F444"/>
    <mergeCell ref="E435:F435"/>
    <mergeCell ref="E436:F436"/>
    <mergeCell ref="E437:F437"/>
    <mergeCell ref="E438:F438"/>
    <mergeCell ref="E439:F439"/>
    <mergeCell ref="E428:F428"/>
    <mergeCell ref="E429:F429"/>
    <mergeCell ref="E430:F430"/>
    <mergeCell ref="E431:F431"/>
    <mergeCell ref="E432:F432"/>
    <mergeCell ref="E423:F423"/>
    <mergeCell ref="E424:F424"/>
    <mergeCell ref="E425:F425"/>
    <mergeCell ref="E426:F426"/>
    <mergeCell ref="E427:F427"/>
    <mergeCell ref="E416:F416"/>
    <mergeCell ref="E417:F417"/>
    <mergeCell ref="E418:F418"/>
    <mergeCell ref="E419:F419"/>
    <mergeCell ref="E420:F420"/>
    <mergeCell ref="E411:F411"/>
    <mergeCell ref="E412:F412"/>
    <mergeCell ref="E413:F413"/>
    <mergeCell ref="E414:F414"/>
    <mergeCell ref="E415:F415"/>
    <mergeCell ref="E404:F404"/>
    <mergeCell ref="E405:F405"/>
    <mergeCell ref="E406:F406"/>
    <mergeCell ref="E407:F407"/>
    <mergeCell ref="E408:F408"/>
    <mergeCell ref="E399:F399"/>
    <mergeCell ref="E400:F400"/>
    <mergeCell ref="E401:F401"/>
    <mergeCell ref="E402:F402"/>
    <mergeCell ref="E403:F403"/>
    <mergeCell ref="E392:F392"/>
    <mergeCell ref="E393:F393"/>
    <mergeCell ref="E394:F394"/>
    <mergeCell ref="E395:F395"/>
    <mergeCell ref="E396:F396"/>
    <mergeCell ref="E387:F387"/>
    <mergeCell ref="E388:F388"/>
    <mergeCell ref="E389:F389"/>
    <mergeCell ref="E390:F390"/>
    <mergeCell ref="E391:F391"/>
    <mergeCell ref="E380:F380"/>
    <mergeCell ref="E381:F381"/>
    <mergeCell ref="E382:F382"/>
    <mergeCell ref="E383:F383"/>
    <mergeCell ref="E384:F384"/>
    <mergeCell ref="E375:F375"/>
    <mergeCell ref="E376:F376"/>
    <mergeCell ref="E377:F377"/>
    <mergeCell ref="E378:F378"/>
    <mergeCell ref="E379:F379"/>
    <mergeCell ref="E368:F368"/>
    <mergeCell ref="E369:F369"/>
    <mergeCell ref="E370:F370"/>
    <mergeCell ref="E371:F371"/>
    <mergeCell ref="E372:F372"/>
    <mergeCell ref="E363:F363"/>
    <mergeCell ref="E364:F364"/>
    <mergeCell ref="E365:F365"/>
    <mergeCell ref="E366:F366"/>
    <mergeCell ref="E367:F367"/>
    <mergeCell ref="E356:F356"/>
    <mergeCell ref="E357:F357"/>
    <mergeCell ref="E358:F358"/>
    <mergeCell ref="E359:F359"/>
    <mergeCell ref="E360:F360"/>
    <mergeCell ref="E351:F351"/>
    <mergeCell ref="E352:F352"/>
    <mergeCell ref="E353:F353"/>
    <mergeCell ref="E354:F354"/>
    <mergeCell ref="E355:F355"/>
    <mergeCell ref="E344:F344"/>
    <mergeCell ref="E345:F345"/>
    <mergeCell ref="E346:F346"/>
    <mergeCell ref="E347:F347"/>
    <mergeCell ref="E348:F348"/>
    <mergeCell ref="E339:F339"/>
    <mergeCell ref="E340:F340"/>
    <mergeCell ref="E341:F341"/>
    <mergeCell ref="E342:F342"/>
    <mergeCell ref="E343:F343"/>
    <mergeCell ref="E332:F332"/>
    <mergeCell ref="E333:F333"/>
    <mergeCell ref="E334:F334"/>
    <mergeCell ref="E335:F335"/>
    <mergeCell ref="E336:F336"/>
    <mergeCell ref="E327:F327"/>
    <mergeCell ref="E328:F328"/>
    <mergeCell ref="E329:F329"/>
    <mergeCell ref="E330:F330"/>
    <mergeCell ref="E331:F33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s>
  <phoneticPr fontId="0" type="noConversion"/>
  <conditionalFormatting sqref="B504">
    <cfRule type="cellIs" dxfId="62" priority="42" operator="greaterThan">
      <formula>60</formula>
    </cfRule>
  </conditionalFormatting>
  <conditionalFormatting sqref="B492">
    <cfRule type="cellIs" dxfId="61" priority="41" operator="greaterThan">
      <formula>60</formula>
    </cfRule>
  </conditionalFormatting>
  <conditionalFormatting sqref="B480">
    <cfRule type="cellIs" dxfId="60" priority="40" operator="greaterThan">
      <formula>60</formula>
    </cfRule>
  </conditionalFormatting>
  <conditionalFormatting sqref="B468">
    <cfRule type="cellIs" dxfId="59" priority="39" operator="greaterThan">
      <formula>60</formula>
    </cfRule>
  </conditionalFormatting>
  <conditionalFormatting sqref="B456">
    <cfRule type="cellIs" dxfId="58" priority="38" operator="greaterThan">
      <formula>60</formula>
    </cfRule>
  </conditionalFormatting>
  <conditionalFormatting sqref="B444">
    <cfRule type="cellIs" dxfId="57" priority="37" operator="greaterThan">
      <formula>60</formula>
    </cfRule>
  </conditionalFormatting>
  <conditionalFormatting sqref="B432">
    <cfRule type="cellIs" dxfId="56" priority="36" operator="greaterThan">
      <formula>60</formula>
    </cfRule>
  </conditionalFormatting>
  <conditionalFormatting sqref="B420">
    <cfRule type="cellIs" dxfId="55" priority="35" operator="greaterThan">
      <formula>60</formula>
    </cfRule>
  </conditionalFormatting>
  <conditionalFormatting sqref="B408">
    <cfRule type="cellIs" dxfId="54" priority="34" operator="greaterThan">
      <formula>60</formula>
    </cfRule>
  </conditionalFormatting>
  <conditionalFormatting sqref="B396">
    <cfRule type="cellIs" dxfId="53" priority="33" operator="greaterThan">
      <formula>60</formula>
    </cfRule>
  </conditionalFormatting>
  <conditionalFormatting sqref="B384">
    <cfRule type="cellIs" dxfId="52" priority="32" operator="greaterThan">
      <formula>60</formula>
    </cfRule>
  </conditionalFormatting>
  <conditionalFormatting sqref="B372">
    <cfRule type="cellIs" dxfId="51" priority="31" operator="greaterThan">
      <formula>60</formula>
    </cfRule>
  </conditionalFormatting>
  <conditionalFormatting sqref="B360">
    <cfRule type="cellIs" dxfId="50" priority="30" operator="greaterThan">
      <formula>60</formula>
    </cfRule>
  </conditionalFormatting>
  <conditionalFormatting sqref="B348">
    <cfRule type="cellIs" dxfId="49" priority="29" operator="greaterThan">
      <formula>60</formula>
    </cfRule>
  </conditionalFormatting>
  <conditionalFormatting sqref="B336">
    <cfRule type="cellIs" dxfId="48" priority="28" operator="greaterThan">
      <formula>60</formula>
    </cfRule>
  </conditionalFormatting>
  <conditionalFormatting sqref="B324">
    <cfRule type="cellIs" dxfId="47" priority="27" operator="greaterThan">
      <formula>60</formula>
    </cfRule>
  </conditionalFormatting>
  <conditionalFormatting sqref="B312">
    <cfRule type="cellIs" dxfId="46" priority="26" operator="greaterThan">
      <formula>60</formula>
    </cfRule>
  </conditionalFormatting>
  <conditionalFormatting sqref="B300">
    <cfRule type="cellIs" dxfId="45" priority="25" operator="greaterThan">
      <formula>60</formula>
    </cfRule>
  </conditionalFormatting>
  <conditionalFormatting sqref="B288">
    <cfRule type="cellIs" dxfId="44" priority="24" operator="greaterThan">
      <formula>60</formula>
    </cfRule>
  </conditionalFormatting>
  <conditionalFormatting sqref="B276">
    <cfRule type="cellIs" dxfId="43" priority="23" operator="greaterThan">
      <formula>60</formula>
    </cfRule>
  </conditionalFormatting>
  <conditionalFormatting sqref="B264">
    <cfRule type="cellIs" dxfId="42" priority="22" operator="greaterThan">
      <formula>60</formula>
    </cfRule>
  </conditionalFormatting>
  <conditionalFormatting sqref="B252">
    <cfRule type="cellIs" dxfId="41" priority="21" operator="greaterThan">
      <formula>60</formula>
    </cfRule>
  </conditionalFormatting>
  <conditionalFormatting sqref="B240">
    <cfRule type="cellIs" dxfId="40" priority="20" operator="greaterThan">
      <formula>60</formula>
    </cfRule>
  </conditionalFormatting>
  <conditionalFormatting sqref="B228">
    <cfRule type="cellIs" dxfId="39" priority="19" operator="greaterThan">
      <formula>60</formula>
    </cfRule>
  </conditionalFormatting>
  <conditionalFormatting sqref="B216">
    <cfRule type="cellIs" dxfId="38" priority="18" operator="greaterThan">
      <formula>60</formula>
    </cfRule>
  </conditionalFormatting>
  <conditionalFormatting sqref="B204">
    <cfRule type="cellIs" dxfId="37" priority="17" operator="greaterThan">
      <formula>60</formula>
    </cfRule>
  </conditionalFormatting>
  <conditionalFormatting sqref="B192">
    <cfRule type="cellIs" dxfId="36" priority="16" operator="greaterThan">
      <formula>60</formula>
    </cfRule>
  </conditionalFormatting>
  <conditionalFormatting sqref="B180">
    <cfRule type="cellIs" dxfId="35" priority="15" operator="greaterThan">
      <formula>60</formula>
    </cfRule>
  </conditionalFormatting>
  <conditionalFormatting sqref="B168">
    <cfRule type="cellIs" dxfId="34" priority="14" operator="greaterThan">
      <formula>60</formula>
    </cfRule>
  </conditionalFormatting>
  <conditionalFormatting sqref="B156">
    <cfRule type="cellIs" dxfId="33" priority="13" operator="greaterThan">
      <formula>60</formula>
    </cfRule>
  </conditionalFormatting>
  <conditionalFormatting sqref="B144">
    <cfRule type="cellIs" dxfId="32" priority="12" operator="greaterThan">
      <formula>60</formula>
    </cfRule>
  </conditionalFormatting>
  <conditionalFormatting sqref="B132">
    <cfRule type="cellIs" dxfId="31" priority="11" operator="greaterThan">
      <formula>60</formula>
    </cfRule>
  </conditionalFormatting>
  <conditionalFormatting sqref="B120">
    <cfRule type="cellIs" dxfId="30" priority="10" operator="greaterThan">
      <formula>60</formula>
    </cfRule>
  </conditionalFormatting>
  <conditionalFormatting sqref="B108">
    <cfRule type="cellIs" dxfId="29" priority="9" operator="greaterThan">
      <formula>60</formula>
    </cfRule>
  </conditionalFormatting>
  <conditionalFormatting sqref="B96">
    <cfRule type="cellIs" dxfId="28" priority="8" operator="greaterThan">
      <formula>60</formula>
    </cfRule>
  </conditionalFormatting>
  <conditionalFormatting sqref="B84">
    <cfRule type="cellIs" dxfId="27" priority="7" operator="greaterThan">
      <formula>60</formula>
    </cfRule>
  </conditionalFormatting>
  <conditionalFormatting sqref="B72">
    <cfRule type="cellIs" dxfId="26" priority="6" operator="greaterThan">
      <formula>60</formula>
    </cfRule>
  </conditionalFormatting>
  <conditionalFormatting sqref="B60">
    <cfRule type="cellIs" dxfId="25" priority="5" operator="greaterThan">
      <formula>60</formula>
    </cfRule>
  </conditionalFormatting>
  <conditionalFormatting sqref="B48">
    <cfRule type="cellIs" dxfId="24" priority="4" operator="greaterThan">
      <formula>60</formula>
    </cfRule>
  </conditionalFormatting>
  <conditionalFormatting sqref="B36">
    <cfRule type="cellIs" dxfId="23" priority="3" operator="greaterThan">
      <formula>60</formula>
    </cfRule>
  </conditionalFormatting>
  <conditionalFormatting sqref="B24">
    <cfRule type="cellIs" dxfId="22" priority="2" operator="greaterThan">
      <formula>60</formula>
    </cfRule>
  </conditionalFormatting>
  <conditionalFormatting sqref="B12">
    <cfRule type="cellIs" dxfId="21"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04 B492 B480 B468 B456 B444 B432 B420 B408 B396 B384 B372 B360 B348 B336 B324 B312 B300 B288 B276 B264 B252 B240 B228 B216 B204 B192 B180 B168 B156 B144 B132 B120 B108 B96 B84 B72 B60 B48 B36 B24 B12" xr:uid="{27E418A0-C4C2-43C8-B9D7-4F2CE03D743F}">
      <formula1>0</formula1>
      <formula2>60</formula2>
    </dataValidation>
    <dataValidation type="whole" operator="greaterThan" allowBlank="1" showInputMessage="1" showErrorMessage="1" errorTitle="Durée par tranche de 10min" error="Le nombre doit être de type entier" sqref="B496:B503 B484:B491 B472:B479 B448:B455 B436:B443 B424:B431 B412:B419 B400:B407 B388:B395 B376:B383 B364:B371 B4:B11 B340:B347 B328:B335 B460:B467 B304:B311 B352:B359 B292:B299 B280:B287 B268:B275 B256:B263 B244:B251 B232:B239 B220:B227 B208:B215 B196:B203 B184:B191 B172:B179 B160:B167 B148:B155 B136:B143 B124:B131 B16:B23 B112:B119 B100:B107 B40:B47 B88:B95 B76:B83 B64:B71 B52:B59 B28:B35 B316:B323" xr:uid="{2C432F96-15FC-49B6-B49E-AA4EBEDAAC9C}">
      <formula1>0</formula1>
    </dataValidation>
    <dataValidation type="list" allowBlank="1" showInputMessage="1" showErrorMessage="1" sqref="A496:A503 A484:A491 A472:A479 A448:A455 A436:A443 A424:A431 A412:A419 A400:A407 A388:A395 A364:A371 A352:A359 A4:A11 A340:A347 A328:A335 A460:A467 A304:A311 A376:A383 A292:A299 A280:A287 A268:A275 A124:A131 A256:A263 A244:A251 A220:A227 A208:A215 A196:A203 A316:A323 A184:A191 A172:A179 A160:A167 A148:A155 A136:A143 A16:A23 A112:A119 A100:A107 A40:A47 A88:A95 A76:A83 A64:A71 A52:A59 A28:A35 A232:A239" xr:uid="{C966EA34-0EE8-4024-B23F-B2831B944C0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2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229"/>
  <sheetViews>
    <sheetView showGridLines="0" tabSelected="1" zoomScaleNormal="100" zoomScaleSheetLayoutView="98" workbookViewId="0">
      <pane ySplit="1" topLeftCell="A2" activePane="bottomLeft" state="frozen"/>
      <selection pane="bottomLeft" activeCell="D8" sqref="D8"/>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19</v>
      </c>
      <c r="C2" s="164"/>
      <c r="D2" s="157" t="s">
        <v>15</v>
      </c>
      <c r="E2" s="158" t="s">
        <v>146</v>
      </c>
      <c r="F2" s="159"/>
      <c r="G2" s="46"/>
    </row>
    <row r="3" spans="1:7" s="47" customFormat="1" ht="30" customHeight="1" thickBot="1" x14ac:dyDescent="0.3">
      <c r="A3" s="78" t="s">
        <v>5</v>
      </c>
      <c r="B3" s="161" t="s">
        <v>38</v>
      </c>
      <c r="C3" s="160"/>
      <c r="D3" s="78" t="s">
        <v>13</v>
      </c>
      <c r="E3" s="248" t="s">
        <v>14</v>
      </c>
      <c r="F3" s="249"/>
      <c r="G3" s="46"/>
    </row>
    <row r="4" spans="1:7" s="52" customFormat="1" ht="27" x14ac:dyDescent="0.3">
      <c r="A4" s="53" t="s">
        <v>58</v>
      </c>
      <c r="B4" s="54">
        <v>36</v>
      </c>
      <c r="C4" s="152" t="str">
        <f xml:space="preserve"> IF(B4="","",setValueToTime(B4))</f>
        <v>3h</v>
      </c>
      <c r="D4" s="50" t="s">
        <v>178</v>
      </c>
      <c r="E4" s="240"/>
      <c r="F4" s="241"/>
      <c r="G4" s="51"/>
    </row>
    <row r="5" spans="1:7" s="52" customFormat="1" x14ac:dyDescent="0.3">
      <c r="A5" s="53"/>
      <c r="B5" s="54"/>
      <c r="C5" s="153" t="str">
        <f t="shared" ref="C5:C11" si="0" xml:space="preserve"> IF(B5="","",setValueToTime(B5))</f>
        <v/>
      </c>
      <c r="D5" s="55"/>
      <c r="E5" s="242"/>
      <c r="F5" s="243"/>
      <c r="G5" s="51"/>
    </row>
    <row r="6" spans="1:7" s="52" customFormat="1" x14ac:dyDescent="0.3">
      <c r="A6" s="53"/>
      <c r="B6" s="54"/>
      <c r="C6" s="153" t="str">
        <f t="shared" si="0"/>
        <v/>
      </c>
      <c r="D6" s="55"/>
      <c r="E6" s="242"/>
      <c r="F6" s="243"/>
      <c r="G6" s="51"/>
    </row>
    <row r="7" spans="1:7" s="52" customFormat="1" x14ac:dyDescent="0.3">
      <c r="A7" s="53"/>
      <c r="B7" s="54"/>
      <c r="C7" s="153"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x14ac:dyDescent="0.3">
      <c r="A10" s="54"/>
      <c r="B10" s="54"/>
      <c r="C10" s="154" t="str">
        <f t="shared" si="0"/>
        <v/>
      </c>
      <c r="D10" s="55"/>
      <c r="E10" s="242"/>
      <c r="F10" s="243"/>
      <c r="G10" s="51"/>
    </row>
    <row r="11" spans="1:7" s="52" customFormat="1" ht="15" thickBot="1" x14ac:dyDescent="0.35">
      <c r="A11" s="56"/>
      <c r="B11" s="56"/>
      <c r="C11" s="155" t="str">
        <f t="shared" si="0"/>
        <v/>
      </c>
      <c r="D11" s="57"/>
      <c r="E11" s="244"/>
      <c r="F11" s="245"/>
      <c r="G11" s="51"/>
    </row>
    <row r="12" spans="1:7" s="52" customFormat="1" ht="15" thickBot="1" x14ac:dyDescent="0.35">
      <c r="A12" s="162" t="s">
        <v>27</v>
      </c>
      <c r="B12" s="83">
        <f>SUM(B4:B11)</f>
        <v>36</v>
      </c>
      <c r="C12" s="162" t="str">
        <f xml:space="preserve"> setValueToTime(B12)</f>
        <v>3h</v>
      </c>
      <c r="D12" s="121"/>
      <c r="E12" s="246"/>
      <c r="F12" s="247"/>
      <c r="G12" s="51"/>
    </row>
    <row r="13" spans="1:7" s="59" customFormat="1" ht="15" thickBot="1" x14ac:dyDescent="0.35">
      <c r="A13" s="77"/>
      <c r="B13" s="77"/>
      <c r="C13" s="77"/>
      <c r="D13" s="77"/>
      <c r="E13" s="77"/>
      <c r="F13" s="77"/>
      <c r="G13" s="58"/>
    </row>
    <row r="14" spans="1:7" s="47" customFormat="1" ht="30" customHeight="1" thickBot="1" x14ac:dyDescent="0.3">
      <c r="A14" s="156" t="s">
        <v>12</v>
      </c>
      <c r="B14" s="164">
        <v>18</v>
      </c>
      <c r="C14" s="164"/>
      <c r="D14" s="157" t="s">
        <v>15</v>
      </c>
      <c r="E14" s="158" t="s">
        <v>148</v>
      </c>
      <c r="F14" s="159"/>
      <c r="G14" s="46"/>
    </row>
    <row r="15" spans="1:7" s="47" customFormat="1" ht="30" customHeight="1" thickBot="1" x14ac:dyDescent="0.3">
      <c r="A15" s="78" t="s">
        <v>5</v>
      </c>
      <c r="B15" s="161" t="s">
        <v>38</v>
      </c>
      <c r="C15" s="160"/>
      <c r="D15" s="78" t="s">
        <v>13</v>
      </c>
      <c r="E15" s="248" t="s">
        <v>14</v>
      </c>
      <c r="F15" s="249"/>
      <c r="G15" s="46"/>
    </row>
    <row r="16" spans="1:7" s="52" customFormat="1" ht="27" x14ac:dyDescent="0.3">
      <c r="A16" s="53" t="s">
        <v>58</v>
      </c>
      <c r="B16" s="54">
        <v>36</v>
      </c>
      <c r="C16" s="152" t="str">
        <f xml:space="preserve"> IF(B16="","",setValueToTime(B16))</f>
        <v>3h</v>
      </c>
      <c r="D16" s="50" t="s">
        <v>178</v>
      </c>
      <c r="E16" s="240"/>
      <c r="F16" s="241"/>
      <c r="G16" s="51"/>
    </row>
    <row r="17" spans="1:7" s="52" customFormat="1" x14ac:dyDescent="0.3">
      <c r="A17" s="53"/>
      <c r="B17" s="54"/>
      <c r="C17" s="153" t="str">
        <f t="shared" ref="C17:C23" si="1" xml:space="preserve"> IF(B17="","",setValueToTime(B17))</f>
        <v/>
      </c>
      <c r="D17" s="55"/>
      <c r="E17" s="242"/>
      <c r="F17" s="243"/>
      <c r="G17" s="51"/>
    </row>
    <row r="18" spans="1:7" s="52" customFormat="1" x14ac:dyDescent="0.3">
      <c r="A18" s="53"/>
      <c r="B18" s="54"/>
      <c r="C18" s="153" t="str">
        <f t="shared" si="1"/>
        <v/>
      </c>
      <c r="D18" s="55"/>
      <c r="E18" s="242"/>
      <c r="F18" s="243"/>
      <c r="G18" s="51"/>
    </row>
    <row r="19" spans="1:7" s="52" customFormat="1" x14ac:dyDescent="0.3">
      <c r="A19" s="53"/>
      <c r="B19" s="54"/>
      <c r="C19" s="153" t="str">
        <f t="shared" si="1"/>
        <v/>
      </c>
      <c r="D19" s="55"/>
      <c r="E19" s="242"/>
      <c r="F19" s="243"/>
      <c r="G19" s="51"/>
    </row>
    <row r="20" spans="1:7" s="52" customFormat="1" x14ac:dyDescent="0.3">
      <c r="A20" s="54"/>
      <c r="B20" s="54"/>
      <c r="C20" s="154" t="str">
        <f t="shared" si="1"/>
        <v/>
      </c>
      <c r="D20" s="55"/>
      <c r="E20" s="242"/>
      <c r="F20" s="243"/>
      <c r="G20" s="51"/>
    </row>
    <row r="21" spans="1:7" s="52" customFormat="1" x14ac:dyDescent="0.3">
      <c r="A21" s="54"/>
      <c r="B21" s="54"/>
      <c r="C21" s="154" t="str">
        <f t="shared" si="1"/>
        <v/>
      </c>
      <c r="D21" s="55"/>
      <c r="E21" s="242"/>
      <c r="F21" s="243"/>
      <c r="G21" s="51"/>
    </row>
    <row r="22" spans="1:7" s="52" customFormat="1" x14ac:dyDescent="0.3">
      <c r="A22" s="54"/>
      <c r="B22" s="54"/>
      <c r="C22" s="154" t="str">
        <f t="shared" si="1"/>
        <v/>
      </c>
      <c r="D22" s="55"/>
      <c r="E22" s="242"/>
      <c r="F22" s="243"/>
      <c r="G22" s="51"/>
    </row>
    <row r="23" spans="1:7" s="52" customFormat="1" ht="15" thickBot="1" x14ac:dyDescent="0.35">
      <c r="A23" s="56"/>
      <c r="B23" s="56"/>
      <c r="C23" s="155" t="str">
        <f t="shared" si="1"/>
        <v/>
      </c>
      <c r="D23" s="57"/>
      <c r="E23" s="244"/>
      <c r="F23" s="245"/>
      <c r="G23" s="51"/>
    </row>
    <row r="24" spans="1:7" s="52" customFormat="1" ht="15" thickBot="1" x14ac:dyDescent="0.35">
      <c r="A24" s="162" t="s">
        <v>27</v>
      </c>
      <c r="B24" s="83">
        <f>SUM(B16:B23)</f>
        <v>36</v>
      </c>
      <c r="C24" s="162" t="str">
        <f xml:space="preserve"> setValueToTime(B24)</f>
        <v>3h</v>
      </c>
      <c r="D24" s="121"/>
      <c r="E24" s="246"/>
      <c r="F24" s="247"/>
      <c r="G24" s="51"/>
    </row>
    <row r="25" spans="1:7" s="59" customFormat="1" ht="15" thickBot="1" x14ac:dyDescent="0.35">
      <c r="A25" s="77"/>
      <c r="B25" s="77"/>
      <c r="C25" s="77"/>
      <c r="D25" s="77"/>
      <c r="E25" s="77"/>
      <c r="F25" s="77"/>
      <c r="G25" s="58"/>
    </row>
    <row r="26" spans="1:7" s="47" customFormat="1" ht="30" customHeight="1" thickBot="1" x14ac:dyDescent="0.3">
      <c r="A26" s="156" t="s">
        <v>12</v>
      </c>
      <c r="B26" s="164">
        <v>17</v>
      </c>
      <c r="C26" s="164"/>
      <c r="D26" s="157" t="s">
        <v>15</v>
      </c>
      <c r="E26" s="158" t="s">
        <v>148</v>
      </c>
      <c r="F26" s="159"/>
      <c r="G26" s="46"/>
    </row>
    <row r="27" spans="1:7" s="47" customFormat="1" ht="30" customHeight="1" thickBot="1" x14ac:dyDescent="0.3">
      <c r="A27" s="78" t="s">
        <v>5</v>
      </c>
      <c r="B27" s="161" t="s">
        <v>38</v>
      </c>
      <c r="C27" s="160"/>
      <c r="D27" s="78" t="s">
        <v>13</v>
      </c>
      <c r="E27" s="248" t="s">
        <v>14</v>
      </c>
      <c r="F27" s="249"/>
      <c r="G27" s="46"/>
    </row>
    <row r="28" spans="1:7" s="52" customFormat="1" ht="27" x14ac:dyDescent="0.3">
      <c r="A28" s="48" t="s">
        <v>57</v>
      </c>
      <c r="B28" s="49">
        <v>3</v>
      </c>
      <c r="C28" s="152" t="str">
        <f xml:space="preserve"> IF(B28="","",setValueToTime(B28))</f>
        <v>0h15min</v>
      </c>
      <c r="D28" s="50" t="s">
        <v>166</v>
      </c>
      <c r="E28" s="240"/>
      <c r="F28" s="241"/>
      <c r="G28" s="51"/>
    </row>
    <row r="29" spans="1:7" s="52" customFormat="1" ht="27" x14ac:dyDescent="0.3">
      <c r="A29" s="53" t="s">
        <v>58</v>
      </c>
      <c r="B29" s="54">
        <v>33</v>
      </c>
      <c r="C29" s="153" t="str">
        <f t="shared" ref="C29:C35" si="2" xml:space="preserve"> IF(B29="","",setValueToTime(B29))</f>
        <v>2h45min</v>
      </c>
      <c r="D29" s="55" t="s">
        <v>177</v>
      </c>
      <c r="E29" s="242"/>
      <c r="F29" s="243"/>
      <c r="G29" s="51"/>
    </row>
    <row r="30" spans="1:7" s="52" customFormat="1" x14ac:dyDescent="0.3">
      <c r="A30" s="53"/>
      <c r="B30" s="54"/>
      <c r="C30" s="153" t="str">
        <f t="shared" si="2"/>
        <v/>
      </c>
      <c r="D30" s="55"/>
      <c r="E30" s="242"/>
      <c r="F30" s="243"/>
      <c r="G30" s="51"/>
    </row>
    <row r="31" spans="1:7" s="52" customFormat="1" x14ac:dyDescent="0.3">
      <c r="A31" s="53"/>
      <c r="B31" s="54"/>
      <c r="C31" s="153" t="str">
        <f t="shared" si="2"/>
        <v/>
      </c>
      <c r="D31" s="55"/>
      <c r="E31" s="242"/>
      <c r="F31" s="243"/>
      <c r="G31" s="51"/>
    </row>
    <row r="32" spans="1:7" s="52" customFormat="1" x14ac:dyDescent="0.3">
      <c r="A32" s="54"/>
      <c r="B32" s="54"/>
      <c r="C32" s="154" t="str">
        <f t="shared" si="2"/>
        <v/>
      </c>
      <c r="D32" s="55"/>
      <c r="E32" s="242"/>
      <c r="F32" s="243"/>
      <c r="G32" s="51"/>
    </row>
    <row r="33" spans="1:7" s="52" customFormat="1" x14ac:dyDescent="0.3">
      <c r="A33" s="54"/>
      <c r="B33" s="54"/>
      <c r="C33" s="154" t="str">
        <f t="shared" si="2"/>
        <v/>
      </c>
      <c r="D33" s="55"/>
      <c r="E33" s="242"/>
      <c r="F33" s="243"/>
      <c r="G33" s="51"/>
    </row>
    <row r="34" spans="1:7" s="52" customFormat="1" x14ac:dyDescent="0.3">
      <c r="A34" s="54"/>
      <c r="B34" s="54"/>
      <c r="C34" s="154" t="str">
        <f t="shared" si="2"/>
        <v/>
      </c>
      <c r="D34" s="55"/>
      <c r="E34" s="242"/>
      <c r="F34" s="243"/>
      <c r="G34" s="51"/>
    </row>
    <row r="35" spans="1:7" s="52" customFormat="1" ht="15" thickBot="1" x14ac:dyDescent="0.35">
      <c r="A35" s="56"/>
      <c r="B35" s="56"/>
      <c r="C35" s="155" t="str">
        <f t="shared" si="2"/>
        <v/>
      </c>
      <c r="D35" s="57"/>
      <c r="E35" s="244"/>
      <c r="F35" s="245"/>
      <c r="G35" s="51"/>
    </row>
    <row r="36" spans="1:7" s="52" customFormat="1" ht="15" thickBot="1" x14ac:dyDescent="0.35">
      <c r="A36" s="162" t="s">
        <v>27</v>
      </c>
      <c r="B36" s="83">
        <f>SUM(B28:B35)</f>
        <v>36</v>
      </c>
      <c r="C36" s="162" t="str">
        <f xml:space="preserve"> setValueToTime(B36)</f>
        <v>3h</v>
      </c>
      <c r="D36" s="121"/>
      <c r="E36" s="246"/>
      <c r="F36" s="247"/>
      <c r="G36" s="51"/>
    </row>
    <row r="37" spans="1:7" s="59" customFormat="1" ht="15" thickBot="1" x14ac:dyDescent="0.35">
      <c r="A37" s="77"/>
      <c r="B37" s="77"/>
      <c r="C37" s="77"/>
      <c r="D37" s="77"/>
      <c r="E37" s="77"/>
      <c r="F37" s="77"/>
      <c r="G37" s="58"/>
    </row>
    <row r="38" spans="1:7" s="47" customFormat="1" ht="30" customHeight="1" thickBot="1" x14ac:dyDescent="0.3">
      <c r="A38" s="156" t="s">
        <v>12</v>
      </c>
      <c r="B38" s="164">
        <v>16</v>
      </c>
      <c r="C38" s="164"/>
      <c r="D38" s="157" t="s">
        <v>15</v>
      </c>
      <c r="E38" s="158" t="s">
        <v>80</v>
      </c>
      <c r="F38" s="159"/>
      <c r="G38" s="46"/>
    </row>
    <row r="39" spans="1:7" s="47" customFormat="1" ht="30" customHeight="1" thickBot="1" x14ac:dyDescent="0.3">
      <c r="A39" s="78" t="s">
        <v>5</v>
      </c>
      <c r="B39" s="161" t="s">
        <v>38</v>
      </c>
      <c r="C39" s="160"/>
      <c r="D39" s="78" t="s">
        <v>13</v>
      </c>
      <c r="E39" s="248" t="s">
        <v>14</v>
      </c>
      <c r="F39" s="249"/>
      <c r="G39" s="46"/>
    </row>
    <row r="40" spans="1:7" s="52" customFormat="1" ht="27" x14ac:dyDescent="0.3">
      <c r="A40" s="48" t="s">
        <v>58</v>
      </c>
      <c r="B40" s="49">
        <v>27</v>
      </c>
      <c r="C40" s="152" t="str">
        <f xml:space="preserve"> IF(B40="","",setValueToTime(B40))</f>
        <v>2h15min</v>
      </c>
      <c r="D40" s="50" t="s">
        <v>175</v>
      </c>
      <c r="E40" s="240"/>
      <c r="F40" s="241"/>
      <c r="G40" s="51"/>
    </row>
    <row r="41" spans="1:7" s="52" customFormat="1" x14ac:dyDescent="0.3">
      <c r="A41" s="53"/>
      <c r="B41" s="54"/>
      <c r="C41" s="153" t="str">
        <f t="shared" ref="C41:C47" si="3" xml:space="preserve"> IF(B41="","",setValueToTime(B41))</f>
        <v/>
      </c>
      <c r="D41" s="55"/>
      <c r="E41" s="242"/>
      <c r="F41" s="243"/>
      <c r="G41" s="51"/>
    </row>
    <row r="42" spans="1:7" s="52" customFormat="1" x14ac:dyDescent="0.3">
      <c r="A42" s="53"/>
      <c r="B42" s="54"/>
      <c r="C42" s="153" t="str">
        <f t="shared" si="3"/>
        <v/>
      </c>
      <c r="D42" s="55"/>
      <c r="E42" s="242"/>
      <c r="F42" s="243"/>
      <c r="G42" s="51"/>
    </row>
    <row r="43" spans="1:7" s="52" customFormat="1" x14ac:dyDescent="0.3">
      <c r="A43" s="53"/>
      <c r="B43" s="54"/>
      <c r="C43" s="153" t="str">
        <f t="shared" si="3"/>
        <v/>
      </c>
      <c r="D43" s="55"/>
      <c r="E43" s="242"/>
      <c r="F43" s="243"/>
      <c r="G43" s="51"/>
    </row>
    <row r="44" spans="1:7" s="52" customFormat="1" x14ac:dyDescent="0.3">
      <c r="A44" s="54"/>
      <c r="B44" s="54"/>
      <c r="C44" s="154" t="str">
        <f t="shared" si="3"/>
        <v/>
      </c>
      <c r="D44" s="55"/>
      <c r="E44" s="242"/>
      <c r="F44" s="243"/>
      <c r="G44" s="51"/>
    </row>
    <row r="45" spans="1:7" s="52" customFormat="1" x14ac:dyDescent="0.3">
      <c r="A45" s="54"/>
      <c r="B45" s="54"/>
      <c r="C45" s="154" t="str">
        <f t="shared" si="3"/>
        <v/>
      </c>
      <c r="D45" s="55"/>
      <c r="E45" s="242"/>
      <c r="F45" s="243"/>
      <c r="G45" s="51"/>
    </row>
    <row r="46" spans="1:7" s="52" customFormat="1" x14ac:dyDescent="0.3">
      <c r="A46" s="54"/>
      <c r="B46" s="54"/>
      <c r="C46" s="154" t="str">
        <f t="shared" si="3"/>
        <v/>
      </c>
      <c r="D46" s="55"/>
      <c r="E46" s="242"/>
      <c r="F46" s="243"/>
      <c r="G46" s="51"/>
    </row>
    <row r="47" spans="1:7" s="52" customFormat="1" ht="15" thickBot="1" x14ac:dyDescent="0.35">
      <c r="A47" s="56"/>
      <c r="B47" s="56"/>
      <c r="C47" s="155" t="str">
        <f t="shared" si="3"/>
        <v/>
      </c>
      <c r="D47" s="57"/>
      <c r="E47" s="244"/>
      <c r="F47" s="245"/>
      <c r="G47" s="51"/>
    </row>
    <row r="48" spans="1:7" s="52" customFormat="1" ht="15" thickBot="1" x14ac:dyDescent="0.35">
      <c r="A48" s="162" t="s">
        <v>27</v>
      </c>
      <c r="B48" s="83">
        <f>SUM(B40:B47)</f>
        <v>27</v>
      </c>
      <c r="C48" s="162" t="str">
        <f xml:space="preserve"> setValueToTime(B48)</f>
        <v>2h15min</v>
      </c>
      <c r="D48" s="121"/>
      <c r="E48" s="246"/>
      <c r="F48" s="247"/>
      <c r="G48" s="51"/>
    </row>
    <row r="49" spans="1:7" s="59" customFormat="1" ht="15" thickBot="1" x14ac:dyDescent="0.35">
      <c r="A49" s="77"/>
      <c r="B49" s="77"/>
      <c r="C49" s="77"/>
      <c r="D49" s="77"/>
      <c r="E49" s="77"/>
      <c r="F49" s="77"/>
      <c r="G49" s="58"/>
    </row>
    <row r="50" spans="1:7" s="47" customFormat="1" ht="30" customHeight="1" thickBot="1" x14ac:dyDescent="0.3">
      <c r="A50" s="156" t="s">
        <v>12</v>
      </c>
      <c r="B50" s="164">
        <v>15</v>
      </c>
      <c r="C50" s="164"/>
      <c r="D50" s="157" t="s">
        <v>15</v>
      </c>
      <c r="E50" s="158" t="s">
        <v>80</v>
      </c>
      <c r="F50" s="159"/>
      <c r="G50" s="46"/>
    </row>
    <row r="51" spans="1:7" s="47" customFormat="1" ht="30" customHeight="1" thickBot="1" x14ac:dyDescent="0.3">
      <c r="A51" s="78" t="s">
        <v>5</v>
      </c>
      <c r="B51" s="161" t="s">
        <v>38</v>
      </c>
      <c r="C51" s="160"/>
      <c r="D51" s="78" t="s">
        <v>13</v>
      </c>
      <c r="E51" s="248" t="s">
        <v>14</v>
      </c>
      <c r="F51" s="249"/>
      <c r="G51" s="46"/>
    </row>
    <row r="52" spans="1:7" s="52" customFormat="1" ht="54" x14ac:dyDescent="0.3">
      <c r="A52" s="48" t="s">
        <v>48</v>
      </c>
      <c r="B52" s="49">
        <v>45</v>
      </c>
      <c r="C52" s="152" t="str">
        <f xml:space="preserve"> IF(B52="","",setValueToTime(B52))</f>
        <v>3h45min</v>
      </c>
      <c r="D52" s="50" t="s">
        <v>174</v>
      </c>
      <c r="E52" s="240"/>
      <c r="F52" s="241"/>
      <c r="G52" s="51"/>
    </row>
    <row r="53" spans="1:7" s="52" customFormat="1" x14ac:dyDescent="0.3">
      <c r="A53" s="53"/>
      <c r="B53" s="54"/>
      <c r="C53" s="153" t="str">
        <f t="shared" ref="C53:C59" si="4" xml:space="preserve"> IF(B53="","",setValueToTime(B53))</f>
        <v/>
      </c>
      <c r="D53" s="55"/>
      <c r="E53" s="242"/>
      <c r="F53" s="243"/>
      <c r="G53" s="51"/>
    </row>
    <row r="54" spans="1:7" s="52" customFormat="1" x14ac:dyDescent="0.3">
      <c r="A54" s="53"/>
      <c r="B54" s="54"/>
      <c r="C54" s="153" t="str">
        <f t="shared" si="4"/>
        <v/>
      </c>
      <c r="D54" s="55"/>
      <c r="E54" s="242"/>
      <c r="F54" s="243"/>
      <c r="G54" s="51"/>
    </row>
    <row r="55" spans="1:7" s="52" customFormat="1" x14ac:dyDescent="0.3">
      <c r="A55" s="53"/>
      <c r="B55" s="54"/>
      <c r="C55" s="153" t="str">
        <f t="shared" si="4"/>
        <v/>
      </c>
      <c r="D55" s="55"/>
      <c r="E55" s="242"/>
      <c r="F55" s="243"/>
      <c r="G55" s="51"/>
    </row>
    <row r="56" spans="1:7" s="52" customFormat="1" x14ac:dyDescent="0.3">
      <c r="A56" s="54"/>
      <c r="B56" s="54"/>
      <c r="C56" s="154" t="str">
        <f t="shared" si="4"/>
        <v/>
      </c>
      <c r="D56" s="55"/>
      <c r="E56" s="242"/>
      <c r="F56" s="243"/>
      <c r="G56" s="51"/>
    </row>
    <row r="57" spans="1:7" s="52" customFormat="1" x14ac:dyDescent="0.3">
      <c r="A57" s="54"/>
      <c r="B57" s="54"/>
      <c r="C57" s="154" t="str">
        <f t="shared" si="4"/>
        <v/>
      </c>
      <c r="D57" s="55"/>
      <c r="E57" s="242"/>
      <c r="F57" s="243"/>
      <c r="G57" s="51"/>
    </row>
    <row r="58" spans="1:7" s="52" customFormat="1" x14ac:dyDescent="0.3">
      <c r="A58" s="54"/>
      <c r="B58" s="54"/>
      <c r="C58" s="154" t="str">
        <f t="shared" si="4"/>
        <v/>
      </c>
      <c r="D58" s="55"/>
      <c r="E58" s="242"/>
      <c r="F58" s="243"/>
      <c r="G58" s="51"/>
    </row>
    <row r="59" spans="1:7" s="52" customFormat="1" ht="15" thickBot="1" x14ac:dyDescent="0.35">
      <c r="A59" s="56"/>
      <c r="B59" s="56"/>
      <c r="C59" s="155" t="str">
        <f t="shared" si="4"/>
        <v/>
      </c>
      <c r="D59" s="57"/>
      <c r="E59" s="244"/>
      <c r="F59" s="245"/>
      <c r="G59" s="51"/>
    </row>
    <row r="60" spans="1:7" s="52" customFormat="1" ht="15" thickBot="1" x14ac:dyDescent="0.35">
      <c r="A60" s="162" t="s">
        <v>27</v>
      </c>
      <c r="B60" s="83">
        <f>SUM(B52:B59)</f>
        <v>45</v>
      </c>
      <c r="C60" s="162" t="str">
        <f xml:space="preserve"> setValueToTime(B60)</f>
        <v>3h45min</v>
      </c>
      <c r="D60" s="121"/>
      <c r="E60" s="246"/>
      <c r="F60" s="247"/>
      <c r="G60" s="51"/>
    </row>
    <row r="61" spans="1:7" s="59" customFormat="1" ht="15" thickBot="1" x14ac:dyDescent="0.35">
      <c r="A61" s="77"/>
      <c r="B61" s="77"/>
      <c r="C61" s="77"/>
      <c r="D61" s="77"/>
      <c r="E61" s="77"/>
      <c r="F61" s="77"/>
      <c r="G61" s="58"/>
    </row>
    <row r="62" spans="1:7" s="47" customFormat="1" ht="30" customHeight="1" thickBot="1" x14ac:dyDescent="0.3">
      <c r="A62" s="156" t="s">
        <v>12</v>
      </c>
      <c r="B62" s="164">
        <v>14</v>
      </c>
      <c r="C62" s="164"/>
      <c r="D62" s="157" t="s">
        <v>15</v>
      </c>
      <c r="E62" s="158" t="s">
        <v>83</v>
      </c>
      <c r="F62" s="159"/>
      <c r="G62" s="46"/>
    </row>
    <row r="63" spans="1:7" s="47" customFormat="1" ht="30" customHeight="1" thickBot="1" x14ac:dyDescent="0.3">
      <c r="A63" s="78" t="s">
        <v>5</v>
      </c>
      <c r="B63" s="161" t="s">
        <v>38</v>
      </c>
      <c r="C63" s="160"/>
      <c r="D63" s="78" t="s">
        <v>13</v>
      </c>
      <c r="E63" s="248" t="s">
        <v>14</v>
      </c>
      <c r="F63" s="249"/>
      <c r="G63" s="46"/>
    </row>
    <row r="64" spans="1:7" s="52" customFormat="1" ht="27" x14ac:dyDescent="0.3">
      <c r="A64" s="48" t="s">
        <v>58</v>
      </c>
      <c r="B64" s="49">
        <v>18</v>
      </c>
      <c r="C64" s="152" t="str">
        <f xml:space="preserve"> IF(B64="","",setValueToTime(B64))</f>
        <v>1h30min</v>
      </c>
      <c r="D64" s="50" t="s">
        <v>172</v>
      </c>
      <c r="E64" s="240"/>
      <c r="F64" s="241"/>
      <c r="G64" s="51"/>
    </row>
    <row r="65" spans="1:7" s="52" customFormat="1" ht="54" x14ac:dyDescent="0.3">
      <c r="A65" s="53" t="s">
        <v>48</v>
      </c>
      <c r="B65" s="54">
        <v>18</v>
      </c>
      <c r="C65" s="153" t="str">
        <f t="shared" ref="C65" si="5" xml:space="preserve"> IF(B65="","",setValueToTime(B65))</f>
        <v>1h30min</v>
      </c>
      <c r="D65" s="55" t="s">
        <v>173</v>
      </c>
      <c r="E65" s="242"/>
      <c r="F65" s="243"/>
      <c r="G65" s="51"/>
    </row>
    <row r="66" spans="1:7" s="52" customFormat="1" x14ac:dyDescent="0.3">
      <c r="A66" s="53"/>
      <c r="B66" s="54"/>
      <c r="C66" s="153" t="str">
        <f t="shared" ref="C66:C71" si="6" xml:space="preserve"> IF(B66="","",setValueToTime(B66))</f>
        <v/>
      </c>
      <c r="D66" s="55"/>
      <c r="E66" s="242"/>
      <c r="F66" s="243"/>
      <c r="G66" s="51"/>
    </row>
    <row r="67" spans="1:7" s="52" customFormat="1" x14ac:dyDescent="0.3">
      <c r="A67" s="53"/>
      <c r="B67" s="54"/>
      <c r="C67" s="153" t="str">
        <f t="shared" si="6"/>
        <v/>
      </c>
      <c r="D67" s="55"/>
      <c r="E67" s="242"/>
      <c r="F67" s="243"/>
      <c r="G67" s="51"/>
    </row>
    <row r="68" spans="1:7" s="52" customFormat="1" x14ac:dyDescent="0.3">
      <c r="A68" s="54"/>
      <c r="B68" s="54"/>
      <c r="C68" s="154" t="str">
        <f t="shared" si="6"/>
        <v/>
      </c>
      <c r="D68" s="55"/>
      <c r="E68" s="242"/>
      <c r="F68" s="243"/>
      <c r="G68" s="51"/>
    </row>
    <row r="69" spans="1:7" s="52" customFormat="1" x14ac:dyDescent="0.3">
      <c r="A69" s="54"/>
      <c r="B69" s="54"/>
      <c r="C69" s="154" t="str">
        <f t="shared" si="6"/>
        <v/>
      </c>
      <c r="D69" s="55"/>
      <c r="E69" s="242"/>
      <c r="F69" s="243"/>
      <c r="G69" s="51"/>
    </row>
    <row r="70" spans="1:7" s="52" customFormat="1" x14ac:dyDescent="0.3">
      <c r="A70" s="54"/>
      <c r="B70" s="54"/>
      <c r="C70" s="154" t="str">
        <f t="shared" si="6"/>
        <v/>
      </c>
      <c r="D70" s="55"/>
      <c r="E70" s="242"/>
      <c r="F70" s="243"/>
      <c r="G70" s="51"/>
    </row>
    <row r="71" spans="1:7" s="52" customFormat="1" ht="15" thickBot="1" x14ac:dyDescent="0.35">
      <c r="A71" s="56"/>
      <c r="B71" s="56"/>
      <c r="C71" s="155" t="str">
        <f t="shared" si="6"/>
        <v/>
      </c>
      <c r="D71" s="57"/>
      <c r="E71" s="244"/>
      <c r="F71" s="245"/>
      <c r="G71" s="51"/>
    </row>
    <row r="72" spans="1:7" s="52" customFormat="1" ht="15" thickBot="1" x14ac:dyDescent="0.35">
      <c r="A72" s="162" t="s">
        <v>27</v>
      </c>
      <c r="B72" s="83">
        <f>SUM(B64:B71)</f>
        <v>36</v>
      </c>
      <c r="C72" s="162" t="str">
        <f xml:space="preserve"> setValueToTime(B72)</f>
        <v>3h</v>
      </c>
      <c r="D72" s="121"/>
      <c r="E72" s="246"/>
      <c r="F72" s="247"/>
      <c r="G72" s="51"/>
    </row>
    <row r="73" spans="1:7" s="59" customFormat="1" ht="15" thickBot="1" x14ac:dyDescent="0.35">
      <c r="A73" s="77"/>
      <c r="B73" s="77"/>
      <c r="C73" s="77"/>
      <c r="D73" s="77"/>
      <c r="E73" s="77"/>
      <c r="F73" s="77"/>
      <c r="G73" s="58"/>
    </row>
    <row r="74" spans="1:7" s="47" customFormat="1" ht="30" customHeight="1" thickBot="1" x14ac:dyDescent="0.3">
      <c r="A74" s="156" t="s">
        <v>12</v>
      </c>
      <c r="B74" s="164">
        <v>13</v>
      </c>
      <c r="C74" s="164"/>
      <c r="D74" s="157" t="s">
        <v>15</v>
      </c>
      <c r="E74" s="158" t="s">
        <v>83</v>
      </c>
      <c r="F74" s="159"/>
      <c r="G74" s="46"/>
    </row>
    <row r="75" spans="1:7" s="47" customFormat="1" ht="30" customHeight="1" thickBot="1" x14ac:dyDescent="0.3">
      <c r="A75" s="78" t="s">
        <v>5</v>
      </c>
      <c r="B75" s="161" t="s">
        <v>38</v>
      </c>
      <c r="C75" s="160"/>
      <c r="D75" s="78" t="s">
        <v>13</v>
      </c>
      <c r="E75" s="248" t="s">
        <v>14</v>
      </c>
      <c r="F75" s="249"/>
      <c r="G75" s="46"/>
    </row>
    <row r="76" spans="1:7" s="52" customFormat="1" x14ac:dyDescent="0.3">
      <c r="A76" s="48" t="s">
        <v>4</v>
      </c>
      <c r="B76" s="49">
        <v>45</v>
      </c>
      <c r="C76" s="153" t="str">
        <f t="shared" ref="C76:C83" si="7" xml:space="preserve"> IF(B76="","",setValueToTime(B76))</f>
        <v>3h45min</v>
      </c>
      <c r="D76" s="50" t="s">
        <v>176</v>
      </c>
      <c r="E76" s="240"/>
      <c r="F76" s="241"/>
      <c r="G76" s="51"/>
    </row>
    <row r="77" spans="1:7" s="52" customFormat="1" x14ac:dyDescent="0.3">
      <c r="A77" s="53"/>
      <c r="B77" s="54"/>
      <c r="C77" s="153" t="str">
        <f t="shared" si="7"/>
        <v/>
      </c>
      <c r="D77" s="55"/>
      <c r="E77" s="242"/>
      <c r="F77" s="243"/>
      <c r="G77" s="51"/>
    </row>
    <row r="78" spans="1:7" s="52" customFormat="1" x14ac:dyDescent="0.3">
      <c r="A78" s="53"/>
      <c r="B78" s="54"/>
      <c r="C78" s="153" t="str">
        <f t="shared" si="7"/>
        <v/>
      </c>
      <c r="D78" s="55"/>
      <c r="E78" s="242"/>
      <c r="F78" s="243"/>
      <c r="G78" s="51"/>
    </row>
    <row r="79" spans="1:7" s="52" customFormat="1" x14ac:dyDescent="0.3">
      <c r="A79" s="53"/>
      <c r="B79" s="54"/>
      <c r="C79" s="153" t="str">
        <f t="shared" si="7"/>
        <v/>
      </c>
      <c r="D79" s="55"/>
      <c r="E79" s="242"/>
      <c r="F79" s="243"/>
      <c r="G79" s="51"/>
    </row>
    <row r="80" spans="1:7" s="52" customFormat="1" x14ac:dyDescent="0.3">
      <c r="A80" s="54"/>
      <c r="B80" s="54"/>
      <c r="C80" s="154" t="str">
        <f t="shared" si="7"/>
        <v/>
      </c>
      <c r="D80" s="55"/>
      <c r="E80" s="242"/>
      <c r="F80" s="243"/>
      <c r="G80" s="51"/>
    </row>
    <row r="81" spans="1:7" s="52" customFormat="1" x14ac:dyDescent="0.3">
      <c r="A81" s="54"/>
      <c r="B81" s="54"/>
      <c r="C81" s="154" t="str">
        <f t="shared" si="7"/>
        <v/>
      </c>
      <c r="D81" s="55"/>
      <c r="E81" s="242"/>
      <c r="F81" s="243"/>
      <c r="G81" s="51"/>
    </row>
    <row r="82" spans="1:7" s="52" customFormat="1" x14ac:dyDescent="0.3">
      <c r="A82" s="54"/>
      <c r="B82" s="54"/>
      <c r="C82" s="154" t="str">
        <f t="shared" si="7"/>
        <v/>
      </c>
      <c r="D82" s="55"/>
      <c r="E82" s="242"/>
      <c r="F82" s="243"/>
      <c r="G82" s="51"/>
    </row>
    <row r="83" spans="1:7" s="52" customFormat="1" ht="15" thickBot="1" x14ac:dyDescent="0.35">
      <c r="A83" s="56"/>
      <c r="B83" s="56"/>
      <c r="C83" s="155" t="str">
        <f t="shared" si="7"/>
        <v/>
      </c>
      <c r="D83" s="57"/>
      <c r="E83" s="244"/>
      <c r="F83" s="245"/>
      <c r="G83" s="51"/>
    </row>
    <row r="84" spans="1:7" s="52" customFormat="1" ht="15" thickBot="1" x14ac:dyDescent="0.35">
      <c r="A84" s="162" t="s">
        <v>27</v>
      </c>
      <c r="B84" s="83">
        <f>SUM(B76:B83)</f>
        <v>45</v>
      </c>
      <c r="C84" s="162" t="str">
        <f xml:space="preserve"> setValueToTime(B84)</f>
        <v>3h45min</v>
      </c>
      <c r="D84" s="121"/>
      <c r="E84" s="246"/>
      <c r="F84" s="247"/>
      <c r="G84" s="51"/>
    </row>
    <row r="85" spans="1:7" s="59" customFormat="1" ht="15" thickBot="1" x14ac:dyDescent="0.35">
      <c r="A85" s="77"/>
      <c r="B85" s="77"/>
      <c r="C85" s="77"/>
      <c r="D85" s="77"/>
      <c r="E85" s="77"/>
      <c r="F85" s="77"/>
      <c r="G85" s="58"/>
    </row>
    <row r="86" spans="1:7" s="47" customFormat="1" ht="30" customHeight="1" thickBot="1" x14ac:dyDescent="0.3">
      <c r="A86" s="156" t="s">
        <v>12</v>
      </c>
      <c r="B86" s="164">
        <v>12</v>
      </c>
      <c r="C86" s="164"/>
      <c r="D86" s="157" t="s">
        <v>15</v>
      </c>
      <c r="E86" s="158" t="s">
        <v>86</v>
      </c>
      <c r="F86" s="159"/>
      <c r="G86" s="46"/>
    </row>
    <row r="87" spans="1:7" s="47" customFormat="1" ht="30" customHeight="1" thickBot="1" x14ac:dyDescent="0.3">
      <c r="A87" s="78" t="s">
        <v>5</v>
      </c>
      <c r="B87" s="161" t="s">
        <v>38</v>
      </c>
      <c r="C87" s="160"/>
      <c r="D87" s="78" t="s">
        <v>13</v>
      </c>
      <c r="E87" s="248" t="s">
        <v>14</v>
      </c>
      <c r="F87" s="249"/>
      <c r="G87" s="46"/>
    </row>
    <row r="88" spans="1:7" s="52" customFormat="1" x14ac:dyDescent="0.3">
      <c r="A88" s="48" t="s">
        <v>4</v>
      </c>
      <c r="B88" s="49">
        <v>39</v>
      </c>
      <c r="C88" s="152" t="str">
        <f xml:space="preserve"> IF(B88="","",setValueToTime(B88))</f>
        <v>3h15min</v>
      </c>
      <c r="D88" s="50" t="s">
        <v>76</v>
      </c>
      <c r="E88" s="240"/>
      <c r="F88" s="241"/>
      <c r="G88" s="51"/>
    </row>
    <row r="89" spans="1:7" s="52" customFormat="1" x14ac:dyDescent="0.3">
      <c r="A89" s="53" t="s">
        <v>167</v>
      </c>
      <c r="B89" s="54">
        <v>6</v>
      </c>
      <c r="C89" s="153" t="str">
        <f t="shared" ref="C89:C95" si="8" xml:space="preserve"> IF(B89="","",setValueToTime(B89))</f>
        <v>0h30min</v>
      </c>
      <c r="D89" s="55" t="s">
        <v>171</v>
      </c>
      <c r="E89" s="242"/>
      <c r="F89" s="243"/>
      <c r="G89" s="51"/>
    </row>
    <row r="90" spans="1:7" s="52" customFormat="1" x14ac:dyDescent="0.3">
      <c r="A90" s="53"/>
      <c r="B90" s="54"/>
      <c r="C90" s="153" t="str">
        <f t="shared" si="8"/>
        <v/>
      </c>
      <c r="D90" s="55"/>
      <c r="E90" s="242"/>
      <c r="F90" s="243"/>
      <c r="G90" s="51"/>
    </row>
    <row r="91" spans="1:7" s="52" customFormat="1" x14ac:dyDescent="0.3">
      <c r="A91" s="53"/>
      <c r="B91" s="54"/>
      <c r="C91" s="153" t="str">
        <f t="shared" si="8"/>
        <v/>
      </c>
      <c r="D91" s="55"/>
      <c r="E91" s="242"/>
      <c r="F91" s="243"/>
      <c r="G91" s="51"/>
    </row>
    <row r="92" spans="1:7" s="52" customFormat="1" x14ac:dyDescent="0.3">
      <c r="A92" s="54"/>
      <c r="B92" s="54"/>
      <c r="C92" s="154" t="str">
        <f t="shared" si="8"/>
        <v/>
      </c>
      <c r="D92" s="55"/>
      <c r="E92" s="242"/>
      <c r="F92" s="243"/>
      <c r="G92" s="51"/>
    </row>
    <row r="93" spans="1:7" s="52" customFormat="1" x14ac:dyDescent="0.3">
      <c r="A93" s="54"/>
      <c r="B93" s="54"/>
      <c r="C93" s="154" t="str">
        <f t="shared" si="8"/>
        <v/>
      </c>
      <c r="D93" s="55"/>
      <c r="E93" s="242"/>
      <c r="F93" s="243"/>
      <c r="G93" s="51"/>
    </row>
    <row r="94" spans="1:7" s="52" customFormat="1" x14ac:dyDescent="0.3">
      <c r="A94" s="54"/>
      <c r="B94" s="54"/>
      <c r="C94" s="154" t="str">
        <f t="shared" si="8"/>
        <v/>
      </c>
      <c r="D94" s="55"/>
      <c r="E94" s="242"/>
      <c r="F94" s="243"/>
      <c r="G94" s="51"/>
    </row>
    <row r="95" spans="1:7" s="52" customFormat="1" ht="15" thickBot="1" x14ac:dyDescent="0.35">
      <c r="A95" s="56"/>
      <c r="B95" s="56"/>
      <c r="C95" s="155" t="str">
        <f t="shared" si="8"/>
        <v/>
      </c>
      <c r="D95" s="57"/>
      <c r="E95" s="244"/>
      <c r="F95" s="245"/>
      <c r="G95" s="51"/>
    </row>
    <row r="96" spans="1:7" s="52" customFormat="1" ht="15" thickBot="1" x14ac:dyDescent="0.35">
      <c r="A96" s="162" t="s">
        <v>27</v>
      </c>
      <c r="B96" s="83">
        <f>SUM(B88:B95)</f>
        <v>45</v>
      </c>
      <c r="C96" s="162" t="str">
        <f xml:space="preserve"> setValueToTime(B96)</f>
        <v>3h45min</v>
      </c>
      <c r="D96" s="121"/>
      <c r="E96" s="246"/>
      <c r="F96" s="247"/>
      <c r="G96" s="51"/>
    </row>
    <row r="97" spans="1:7" s="59" customFormat="1" ht="15" thickBot="1" x14ac:dyDescent="0.35">
      <c r="A97" s="77"/>
      <c r="B97" s="77"/>
      <c r="C97" s="77"/>
      <c r="D97" s="77"/>
      <c r="E97" s="77"/>
      <c r="F97" s="77"/>
      <c r="G97" s="58"/>
    </row>
    <row r="98" spans="1:7" s="47" customFormat="1" ht="30" customHeight="1" thickBot="1" x14ac:dyDescent="0.3">
      <c r="A98" s="156" t="s">
        <v>12</v>
      </c>
      <c r="B98" s="164">
        <v>11</v>
      </c>
      <c r="C98" s="164"/>
      <c r="D98" s="157" t="s">
        <v>15</v>
      </c>
      <c r="E98" s="158" t="s">
        <v>86</v>
      </c>
      <c r="F98" s="159"/>
      <c r="G98" s="46"/>
    </row>
    <row r="99" spans="1:7" s="47" customFormat="1" ht="30" customHeight="1" thickBot="1" x14ac:dyDescent="0.3">
      <c r="A99" s="78" t="s">
        <v>5</v>
      </c>
      <c r="B99" s="161" t="s">
        <v>38</v>
      </c>
      <c r="C99" s="160"/>
      <c r="D99" s="78" t="s">
        <v>13</v>
      </c>
      <c r="E99" s="248" t="s">
        <v>14</v>
      </c>
      <c r="F99" s="249"/>
      <c r="G99" s="46"/>
    </row>
    <row r="100" spans="1:7" s="52" customFormat="1" ht="27" x14ac:dyDescent="0.3">
      <c r="A100" s="48" t="s">
        <v>57</v>
      </c>
      <c r="B100" s="49">
        <v>3</v>
      </c>
      <c r="C100" s="152" t="str">
        <f xml:space="preserve"> IF(B100="","",setValueToTime(B100))</f>
        <v>0h15min</v>
      </c>
      <c r="D100" s="50" t="s">
        <v>166</v>
      </c>
      <c r="E100" s="240"/>
      <c r="F100" s="241"/>
      <c r="G100" s="51"/>
    </row>
    <row r="101" spans="1:7" s="52" customFormat="1" x14ac:dyDescent="0.3">
      <c r="A101" s="53" t="s">
        <v>167</v>
      </c>
      <c r="B101" s="54">
        <v>6</v>
      </c>
      <c r="C101" s="153" t="str">
        <f t="shared" ref="C101:C107" si="9" xml:space="preserve"> IF(B101="","",setValueToTime(B101))</f>
        <v>0h30min</v>
      </c>
      <c r="D101" s="55" t="s">
        <v>168</v>
      </c>
      <c r="E101" s="242"/>
      <c r="F101" s="243"/>
      <c r="G101" s="51"/>
    </row>
    <row r="102" spans="1:7" s="52" customFormat="1" x14ac:dyDescent="0.3">
      <c r="A102" s="53"/>
      <c r="B102" s="54"/>
      <c r="C102" s="153" t="str">
        <f t="shared" si="9"/>
        <v/>
      </c>
      <c r="D102" s="55"/>
      <c r="E102" s="242"/>
      <c r="F102" s="243"/>
      <c r="G102" s="51"/>
    </row>
    <row r="103" spans="1:7" s="52" customFormat="1" x14ac:dyDescent="0.3">
      <c r="A103" s="53"/>
      <c r="B103" s="54"/>
      <c r="C103" s="153" t="str">
        <f t="shared" si="9"/>
        <v/>
      </c>
      <c r="D103" s="55"/>
      <c r="E103" s="242"/>
      <c r="F103" s="243"/>
      <c r="G103" s="51"/>
    </row>
    <row r="104" spans="1:7" s="52" customFormat="1" x14ac:dyDescent="0.3">
      <c r="A104" s="54"/>
      <c r="B104" s="54"/>
      <c r="C104" s="154" t="str">
        <f t="shared" si="9"/>
        <v/>
      </c>
      <c r="D104" s="55"/>
      <c r="E104" s="242"/>
      <c r="F104" s="243"/>
      <c r="G104" s="51"/>
    </row>
    <row r="105" spans="1:7" s="52" customFormat="1" x14ac:dyDescent="0.3">
      <c r="A105" s="54"/>
      <c r="B105" s="54"/>
      <c r="C105" s="154" t="str">
        <f t="shared" si="9"/>
        <v/>
      </c>
      <c r="D105" s="55"/>
      <c r="E105" s="242"/>
      <c r="F105" s="243"/>
      <c r="G105" s="51"/>
    </row>
    <row r="106" spans="1:7" s="52" customFormat="1" x14ac:dyDescent="0.3">
      <c r="A106" s="54"/>
      <c r="B106" s="54"/>
      <c r="C106" s="154" t="str">
        <f t="shared" si="9"/>
        <v/>
      </c>
      <c r="D106" s="55"/>
      <c r="E106" s="242"/>
      <c r="F106" s="243"/>
      <c r="G106" s="51"/>
    </row>
    <row r="107" spans="1:7" s="52" customFormat="1" ht="15" thickBot="1" x14ac:dyDescent="0.35">
      <c r="A107" s="56"/>
      <c r="B107" s="56"/>
      <c r="C107" s="155" t="str">
        <f t="shared" si="9"/>
        <v/>
      </c>
      <c r="D107" s="57"/>
      <c r="E107" s="244"/>
      <c r="F107" s="245"/>
      <c r="G107" s="51"/>
    </row>
    <row r="108" spans="1:7" s="52" customFormat="1" ht="15" thickBot="1" x14ac:dyDescent="0.35">
      <c r="A108" s="162" t="s">
        <v>27</v>
      </c>
      <c r="B108" s="83">
        <f>SUM(B100:B107)</f>
        <v>9</v>
      </c>
      <c r="C108" s="162" t="str">
        <f xml:space="preserve"> setValueToTime(B108)</f>
        <v>0h45min</v>
      </c>
      <c r="D108" s="121"/>
      <c r="E108" s="246"/>
      <c r="F108" s="247"/>
      <c r="G108" s="51"/>
    </row>
    <row r="109" spans="1:7" s="59" customFormat="1" ht="15" thickBot="1" x14ac:dyDescent="0.35">
      <c r="A109" s="77"/>
      <c r="B109" s="77"/>
      <c r="C109" s="77"/>
      <c r="D109" s="77"/>
      <c r="E109" s="77"/>
      <c r="F109" s="77"/>
      <c r="G109" s="58"/>
    </row>
    <row r="110" spans="1:7" s="47" customFormat="1" ht="30" customHeight="1" thickBot="1" x14ac:dyDescent="0.3">
      <c r="A110" s="156" t="s">
        <v>12</v>
      </c>
      <c r="B110" s="164">
        <v>10</v>
      </c>
      <c r="C110" s="164"/>
      <c r="D110" s="157" t="s">
        <v>15</v>
      </c>
      <c r="E110" s="158" t="s">
        <v>88</v>
      </c>
      <c r="F110" s="159"/>
      <c r="G110" s="46"/>
    </row>
    <row r="111" spans="1:7" s="47" customFormat="1" ht="30" customHeight="1" thickBot="1" x14ac:dyDescent="0.3">
      <c r="A111" s="78" t="s">
        <v>5</v>
      </c>
      <c r="B111" s="161" t="s">
        <v>38</v>
      </c>
      <c r="C111" s="160"/>
      <c r="D111" s="78" t="s">
        <v>13</v>
      </c>
      <c r="E111" s="248" t="s">
        <v>14</v>
      </c>
      <c r="F111" s="249"/>
      <c r="G111" s="46"/>
    </row>
    <row r="112" spans="1:7" s="52" customFormat="1" ht="27" x14ac:dyDescent="0.3">
      <c r="A112" s="48" t="s">
        <v>45</v>
      </c>
      <c r="B112" s="49">
        <v>27</v>
      </c>
      <c r="C112" s="152" t="str">
        <f xml:space="preserve"> IF(B112="","",setValueToTime(B112))</f>
        <v>2h15min</v>
      </c>
      <c r="D112" s="50" t="s">
        <v>170</v>
      </c>
      <c r="E112" s="240"/>
      <c r="F112" s="241"/>
      <c r="G112" s="51"/>
    </row>
    <row r="113" spans="1:7" s="52" customFormat="1" x14ac:dyDescent="0.3">
      <c r="A113" s="53"/>
      <c r="B113" s="54"/>
      <c r="C113" s="153" t="str">
        <f t="shared" ref="C113:C119" si="10" xml:space="preserve"> IF(B113="","",setValueToTime(B113))</f>
        <v/>
      </c>
      <c r="D113" s="55"/>
      <c r="E113" s="242"/>
      <c r="F113" s="243"/>
      <c r="G113" s="51"/>
    </row>
    <row r="114" spans="1:7" s="52" customFormat="1" x14ac:dyDescent="0.3">
      <c r="A114" s="53"/>
      <c r="B114" s="54"/>
      <c r="C114" s="153" t="str">
        <f t="shared" si="10"/>
        <v/>
      </c>
      <c r="D114" s="55"/>
      <c r="E114" s="242"/>
      <c r="F114" s="243"/>
      <c r="G114" s="51"/>
    </row>
    <row r="115" spans="1:7" s="52" customFormat="1" x14ac:dyDescent="0.3">
      <c r="A115" s="53"/>
      <c r="B115" s="54"/>
      <c r="C115" s="153" t="str">
        <f t="shared" si="10"/>
        <v/>
      </c>
      <c r="D115" s="55"/>
      <c r="E115" s="242"/>
      <c r="F115" s="243"/>
      <c r="G115" s="51"/>
    </row>
    <row r="116" spans="1:7" s="52" customFormat="1" x14ac:dyDescent="0.3">
      <c r="A116" s="54"/>
      <c r="B116" s="54"/>
      <c r="C116" s="154" t="str">
        <f t="shared" si="10"/>
        <v/>
      </c>
      <c r="D116" s="55"/>
      <c r="E116" s="242"/>
      <c r="F116" s="243"/>
      <c r="G116" s="51"/>
    </row>
    <row r="117" spans="1:7" s="52" customFormat="1" x14ac:dyDescent="0.3">
      <c r="A117" s="54"/>
      <c r="B117" s="54"/>
      <c r="C117" s="154" t="str">
        <f t="shared" si="10"/>
        <v/>
      </c>
      <c r="D117" s="55"/>
      <c r="E117" s="242"/>
      <c r="F117" s="243"/>
      <c r="G117" s="51"/>
    </row>
    <row r="118" spans="1:7" s="52" customFormat="1" x14ac:dyDescent="0.3">
      <c r="A118" s="54"/>
      <c r="B118" s="54"/>
      <c r="C118" s="154" t="str">
        <f t="shared" si="10"/>
        <v/>
      </c>
      <c r="D118" s="55"/>
      <c r="E118" s="242"/>
      <c r="F118" s="243"/>
      <c r="G118" s="51"/>
    </row>
    <row r="119" spans="1:7" s="52" customFormat="1" ht="15" thickBot="1" x14ac:dyDescent="0.35">
      <c r="A119" s="56"/>
      <c r="B119" s="56"/>
      <c r="C119" s="155" t="str">
        <f t="shared" si="10"/>
        <v/>
      </c>
      <c r="D119" s="57"/>
      <c r="E119" s="244"/>
      <c r="F119" s="245"/>
      <c r="G119" s="51"/>
    </row>
    <row r="120" spans="1:7" s="52" customFormat="1" ht="15" thickBot="1" x14ac:dyDescent="0.35">
      <c r="A120" s="162" t="s">
        <v>27</v>
      </c>
      <c r="B120" s="83">
        <f>SUM(B112:B119)</f>
        <v>27</v>
      </c>
      <c r="C120" s="162" t="str">
        <f xml:space="preserve"> setValueToTime(B120)</f>
        <v>2h15min</v>
      </c>
      <c r="D120" s="121"/>
      <c r="E120" s="246"/>
      <c r="F120" s="247"/>
      <c r="G120" s="51"/>
    </row>
    <row r="121" spans="1:7" s="59" customFormat="1" ht="15" thickBot="1" x14ac:dyDescent="0.35">
      <c r="A121" s="77"/>
      <c r="B121" s="77"/>
      <c r="C121" s="77"/>
      <c r="D121" s="77"/>
      <c r="E121" s="77"/>
      <c r="F121" s="77"/>
      <c r="G121" s="58"/>
    </row>
    <row r="122" spans="1:7" s="47" customFormat="1" ht="30" customHeight="1" thickBot="1" x14ac:dyDescent="0.3">
      <c r="A122" s="156" t="s">
        <v>12</v>
      </c>
      <c r="B122" s="164">
        <v>9</v>
      </c>
      <c r="C122" s="164"/>
      <c r="D122" s="157" t="s">
        <v>15</v>
      </c>
      <c r="E122" s="158" t="s">
        <v>88</v>
      </c>
      <c r="F122" s="159"/>
      <c r="G122" s="46"/>
    </row>
    <row r="123" spans="1:7" s="47" customFormat="1" ht="30" customHeight="1" thickBot="1" x14ac:dyDescent="0.3">
      <c r="A123" s="78" t="s">
        <v>5</v>
      </c>
      <c r="B123" s="161" t="s">
        <v>38</v>
      </c>
      <c r="C123" s="160"/>
      <c r="D123" s="78" t="s">
        <v>13</v>
      </c>
      <c r="E123" s="248" t="s">
        <v>14</v>
      </c>
      <c r="F123" s="249"/>
      <c r="G123" s="46"/>
    </row>
    <row r="124" spans="1:7" s="52" customFormat="1" ht="27" x14ac:dyDescent="0.3">
      <c r="A124" s="48" t="s">
        <v>45</v>
      </c>
      <c r="B124" s="49">
        <v>45</v>
      </c>
      <c r="C124" s="152" t="str">
        <f xml:space="preserve"> IF(B124="","",setValueToTime(B124))</f>
        <v>3h45min</v>
      </c>
      <c r="D124" s="50" t="s">
        <v>169</v>
      </c>
      <c r="E124" s="240"/>
      <c r="F124" s="241"/>
      <c r="G124" s="51"/>
    </row>
    <row r="125" spans="1:7" s="52" customFormat="1" x14ac:dyDescent="0.3">
      <c r="A125" s="53"/>
      <c r="B125" s="54"/>
      <c r="C125" s="153" t="str">
        <f t="shared" ref="C125:C131" si="11" xml:space="preserve"> IF(B125="","",setValueToTime(B125))</f>
        <v/>
      </c>
      <c r="D125" s="55"/>
      <c r="E125" s="242"/>
      <c r="F125" s="243"/>
      <c r="G125" s="51"/>
    </row>
    <row r="126" spans="1:7" s="52" customFormat="1" x14ac:dyDescent="0.3">
      <c r="A126" s="53"/>
      <c r="B126" s="54"/>
      <c r="C126" s="153" t="str">
        <f t="shared" si="11"/>
        <v/>
      </c>
      <c r="D126" s="55"/>
      <c r="E126" s="242"/>
      <c r="F126" s="243"/>
      <c r="G126" s="51"/>
    </row>
    <row r="127" spans="1:7" s="52" customFormat="1" x14ac:dyDescent="0.3">
      <c r="A127" s="53"/>
      <c r="B127" s="54"/>
      <c r="C127" s="153" t="str">
        <f t="shared" si="11"/>
        <v/>
      </c>
      <c r="D127" s="55"/>
      <c r="E127" s="242"/>
      <c r="F127" s="243"/>
      <c r="G127" s="51"/>
    </row>
    <row r="128" spans="1:7" s="52" customFormat="1" x14ac:dyDescent="0.3">
      <c r="A128" s="54"/>
      <c r="B128" s="54"/>
      <c r="C128" s="154" t="str">
        <f t="shared" si="11"/>
        <v/>
      </c>
      <c r="D128" s="55"/>
      <c r="E128" s="242"/>
      <c r="F128" s="243"/>
      <c r="G128" s="51"/>
    </row>
    <row r="129" spans="1:7" s="52" customFormat="1" x14ac:dyDescent="0.3">
      <c r="A129" s="54"/>
      <c r="B129" s="54"/>
      <c r="C129" s="154" t="str">
        <f t="shared" si="11"/>
        <v/>
      </c>
      <c r="D129" s="55"/>
      <c r="E129" s="242"/>
      <c r="F129" s="243"/>
      <c r="G129" s="51"/>
    </row>
    <row r="130" spans="1:7" s="52" customFormat="1" x14ac:dyDescent="0.3">
      <c r="A130" s="54"/>
      <c r="B130" s="54"/>
      <c r="C130" s="154" t="str">
        <f t="shared" si="11"/>
        <v/>
      </c>
      <c r="D130" s="55"/>
      <c r="E130" s="242"/>
      <c r="F130" s="243"/>
      <c r="G130" s="51"/>
    </row>
    <row r="131" spans="1:7" s="52" customFormat="1" ht="15" thickBot="1" x14ac:dyDescent="0.35">
      <c r="A131" s="56"/>
      <c r="B131" s="56"/>
      <c r="C131" s="155" t="str">
        <f t="shared" si="11"/>
        <v/>
      </c>
      <c r="D131" s="57"/>
      <c r="E131" s="244"/>
      <c r="F131" s="245"/>
      <c r="G131" s="51"/>
    </row>
    <row r="132" spans="1:7" s="52" customFormat="1" ht="15" thickBot="1" x14ac:dyDescent="0.35">
      <c r="A132" s="162" t="s">
        <v>27</v>
      </c>
      <c r="B132" s="83">
        <f>SUM(B124:B131)</f>
        <v>45</v>
      </c>
      <c r="C132" s="162" t="str">
        <f xml:space="preserve"> setValueToTime(B132)</f>
        <v>3h45min</v>
      </c>
      <c r="D132" s="121"/>
      <c r="E132" s="246"/>
      <c r="F132" s="247"/>
      <c r="G132" s="51"/>
    </row>
    <row r="133" spans="1:7" s="59" customFormat="1" ht="15" thickBot="1" x14ac:dyDescent="0.35">
      <c r="A133" s="77"/>
      <c r="B133" s="77"/>
      <c r="C133" s="77"/>
      <c r="D133" s="77"/>
      <c r="E133" s="77"/>
      <c r="F133" s="77"/>
      <c r="G133" s="58"/>
    </row>
    <row r="134" spans="1:7" s="47" customFormat="1" ht="30" customHeight="1" thickBot="1" x14ac:dyDescent="0.3">
      <c r="A134" s="156" t="s">
        <v>12</v>
      </c>
      <c r="B134" s="164">
        <v>8</v>
      </c>
      <c r="C134" s="164"/>
      <c r="D134" s="157" t="s">
        <v>15</v>
      </c>
      <c r="E134" s="158" t="s">
        <v>91</v>
      </c>
      <c r="F134" s="159"/>
      <c r="G134" s="46"/>
    </row>
    <row r="135" spans="1:7" s="47" customFormat="1" ht="30" customHeight="1" thickBot="1" x14ac:dyDescent="0.3">
      <c r="A135" s="78" t="s">
        <v>5</v>
      </c>
      <c r="B135" s="161" t="s">
        <v>38</v>
      </c>
      <c r="C135" s="160"/>
      <c r="D135" s="78" t="s">
        <v>13</v>
      </c>
      <c r="E135" s="248" t="s">
        <v>14</v>
      </c>
      <c r="F135" s="249"/>
      <c r="G135" s="46"/>
    </row>
    <row r="136" spans="1:7" s="52" customFormat="1" ht="27" x14ac:dyDescent="0.3">
      <c r="A136" s="53" t="s">
        <v>45</v>
      </c>
      <c r="B136" s="54">
        <v>18</v>
      </c>
      <c r="C136" s="152" t="str">
        <f xml:space="preserve"> IF(B136="","",setValueToTime(B136))</f>
        <v>1h30min</v>
      </c>
      <c r="D136" s="50" t="s">
        <v>165</v>
      </c>
      <c r="E136" s="240"/>
      <c r="F136" s="241"/>
      <c r="G136" s="51"/>
    </row>
    <row r="137" spans="1:7" s="52" customFormat="1" x14ac:dyDescent="0.3">
      <c r="A137" s="53"/>
      <c r="B137" s="54"/>
      <c r="C137" s="153" t="str">
        <f t="shared" ref="C137:C143" si="12" xml:space="preserve"> IF(B137="","",setValueToTime(B137))</f>
        <v/>
      </c>
      <c r="D137" s="55"/>
      <c r="E137" s="242"/>
      <c r="F137" s="243"/>
      <c r="G137" s="51"/>
    </row>
    <row r="138" spans="1:7" s="52" customFormat="1" x14ac:dyDescent="0.3">
      <c r="A138" s="53"/>
      <c r="B138" s="54"/>
      <c r="C138" s="153" t="str">
        <f t="shared" si="12"/>
        <v/>
      </c>
      <c r="D138" s="55"/>
      <c r="E138" s="242"/>
      <c r="F138" s="243"/>
      <c r="G138" s="51"/>
    </row>
    <row r="139" spans="1:7" s="52" customFormat="1" x14ac:dyDescent="0.3">
      <c r="A139" s="53"/>
      <c r="B139" s="54"/>
      <c r="C139" s="153" t="str">
        <f t="shared" si="12"/>
        <v/>
      </c>
      <c r="D139" s="55"/>
      <c r="E139" s="242"/>
      <c r="F139" s="243"/>
      <c r="G139" s="51"/>
    </row>
    <row r="140" spans="1:7" s="52" customFormat="1" x14ac:dyDescent="0.3">
      <c r="A140" s="54"/>
      <c r="B140" s="54"/>
      <c r="C140" s="154" t="str">
        <f t="shared" si="12"/>
        <v/>
      </c>
      <c r="D140" s="55"/>
      <c r="E140" s="242"/>
      <c r="F140" s="243"/>
      <c r="G140" s="51"/>
    </row>
    <row r="141" spans="1:7" s="52" customFormat="1" x14ac:dyDescent="0.3">
      <c r="A141" s="54"/>
      <c r="B141" s="54"/>
      <c r="C141" s="154" t="str">
        <f t="shared" si="12"/>
        <v/>
      </c>
      <c r="D141" s="55"/>
      <c r="E141" s="242"/>
      <c r="F141" s="243"/>
      <c r="G141" s="51"/>
    </row>
    <row r="142" spans="1:7" s="52" customFormat="1" x14ac:dyDescent="0.3">
      <c r="A142" s="54"/>
      <c r="B142" s="54"/>
      <c r="C142" s="154" t="str">
        <f t="shared" si="12"/>
        <v/>
      </c>
      <c r="D142" s="55"/>
      <c r="E142" s="242"/>
      <c r="F142" s="243"/>
      <c r="G142" s="51"/>
    </row>
    <row r="143" spans="1:7" s="52" customFormat="1" ht="15" thickBot="1" x14ac:dyDescent="0.35">
      <c r="A143" s="56"/>
      <c r="B143" s="56"/>
      <c r="C143" s="155" t="str">
        <f t="shared" si="12"/>
        <v/>
      </c>
      <c r="D143" s="57"/>
      <c r="E143" s="244"/>
      <c r="F143" s="245"/>
      <c r="G143" s="51"/>
    </row>
    <row r="144" spans="1:7" s="52" customFormat="1" ht="15" thickBot="1" x14ac:dyDescent="0.35">
      <c r="A144" s="162" t="s">
        <v>27</v>
      </c>
      <c r="B144" s="83">
        <f>SUM(B136:B143)</f>
        <v>18</v>
      </c>
      <c r="C144" s="162" t="str">
        <f xml:space="preserve"> setValueToTime(B144)</f>
        <v>1h30min</v>
      </c>
      <c r="D144" s="121"/>
      <c r="E144" s="246"/>
      <c r="F144" s="247"/>
      <c r="G144" s="51"/>
    </row>
    <row r="145" spans="1:7" s="59" customFormat="1" ht="15" thickBot="1" x14ac:dyDescent="0.35">
      <c r="A145" s="77"/>
      <c r="B145" s="77"/>
      <c r="C145" s="77"/>
      <c r="D145" s="77"/>
      <c r="E145" s="77"/>
      <c r="F145" s="77"/>
      <c r="G145" s="58"/>
    </row>
    <row r="146" spans="1:7" s="47" customFormat="1" ht="30" customHeight="1" thickBot="1" x14ac:dyDescent="0.3">
      <c r="A146" s="156" t="s">
        <v>12</v>
      </c>
      <c r="B146" s="164">
        <v>7</v>
      </c>
      <c r="C146" s="164"/>
      <c r="D146" s="157" t="s">
        <v>15</v>
      </c>
      <c r="E146" s="158">
        <v>45320</v>
      </c>
      <c r="F146" s="159"/>
      <c r="G146" s="46"/>
    </row>
    <row r="147" spans="1:7" s="47" customFormat="1" ht="30" customHeight="1" thickBot="1" x14ac:dyDescent="0.3">
      <c r="A147" s="78" t="s">
        <v>5</v>
      </c>
      <c r="B147" s="161" t="s">
        <v>38</v>
      </c>
      <c r="C147" s="160"/>
      <c r="D147" s="78" t="s">
        <v>13</v>
      </c>
      <c r="E147" s="248" t="s">
        <v>14</v>
      </c>
      <c r="F147" s="249"/>
      <c r="G147" s="46"/>
    </row>
    <row r="148" spans="1:7" s="52" customFormat="1" ht="27" x14ac:dyDescent="0.3">
      <c r="A148" s="48" t="s">
        <v>45</v>
      </c>
      <c r="B148" s="49">
        <v>36</v>
      </c>
      <c r="C148" s="152" t="str">
        <f xml:space="preserve"> IF(B148="","",setValueToTime(B148))</f>
        <v>3h</v>
      </c>
      <c r="D148" s="50" t="s">
        <v>163</v>
      </c>
      <c r="E148" s="240"/>
      <c r="F148" s="241"/>
      <c r="G148" s="51"/>
    </row>
    <row r="149" spans="1:7" s="52" customFormat="1" ht="27" x14ac:dyDescent="0.3">
      <c r="A149" s="53" t="s">
        <v>45</v>
      </c>
      <c r="B149" s="54">
        <v>9</v>
      </c>
      <c r="C149" s="153" t="str">
        <f t="shared" ref="C149:C155" si="13" xml:space="preserve"> IF(B149="","",setValueToTime(B149))</f>
        <v>0h45min</v>
      </c>
      <c r="D149" s="55" t="s">
        <v>164</v>
      </c>
      <c r="E149" s="242"/>
      <c r="F149" s="243"/>
      <c r="G149" s="51"/>
    </row>
    <row r="150" spans="1:7" s="52" customFormat="1" x14ac:dyDescent="0.3">
      <c r="A150" s="53"/>
      <c r="B150" s="54"/>
      <c r="C150" s="153" t="str">
        <f t="shared" si="13"/>
        <v/>
      </c>
      <c r="D150" s="55"/>
      <c r="E150" s="242"/>
      <c r="F150" s="243"/>
      <c r="G150" s="51"/>
    </row>
    <row r="151" spans="1:7" s="52" customFormat="1" x14ac:dyDescent="0.3">
      <c r="A151" s="53"/>
      <c r="B151" s="54"/>
      <c r="C151" s="153" t="str">
        <f t="shared" si="13"/>
        <v/>
      </c>
      <c r="D151" s="55"/>
      <c r="E151" s="242"/>
      <c r="F151" s="243"/>
      <c r="G151" s="51"/>
    </row>
    <row r="152" spans="1:7" s="52" customFormat="1" x14ac:dyDescent="0.3">
      <c r="A152" s="54"/>
      <c r="B152" s="54"/>
      <c r="C152" s="154" t="str">
        <f t="shared" si="13"/>
        <v/>
      </c>
      <c r="D152" s="55"/>
      <c r="E152" s="242"/>
      <c r="F152" s="243"/>
      <c r="G152" s="51"/>
    </row>
    <row r="153" spans="1:7" s="52" customFormat="1" x14ac:dyDescent="0.3">
      <c r="A153" s="54"/>
      <c r="B153" s="54"/>
      <c r="C153" s="154" t="str">
        <f t="shared" si="13"/>
        <v/>
      </c>
      <c r="D153" s="55"/>
      <c r="E153" s="242"/>
      <c r="F153" s="243"/>
      <c r="G153" s="51"/>
    </row>
    <row r="154" spans="1:7" s="52" customFormat="1" x14ac:dyDescent="0.3">
      <c r="A154" s="54"/>
      <c r="B154" s="54"/>
      <c r="C154" s="154" t="str">
        <f t="shared" si="13"/>
        <v/>
      </c>
      <c r="D154" s="55"/>
      <c r="E154" s="242"/>
      <c r="F154" s="243"/>
      <c r="G154" s="51"/>
    </row>
    <row r="155" spans="1:7" s="52" customFormat="1" ht="15" thickBot="1" x14ac:dyDescent="0.35">
      <c r="A155" s="56"/>
      <c r="B155" s="56"/>
      <c r="C155" s="155" t="str">
        <f t="shared" si="13"/>
        <v/>
      </c>
      <c r="D155" s="57"/>
      <c r="E155" s="244"/>
      <c r="F155" s="245"/>
      <c r="G155" s="51"/>
    </row>
    <row r="156" spans="1:7" s="52" customFormat="1" ht="15" thickBot="1" x14ac:dyDescent="0.35">
      <c r="A156" s="162" t="s">
        <v>27</v>
      </c>
      <c r="B156" s="83">
        <f>SUM(B148:B155)</f>
        <v>45</v>
      </c>
      <c r="C156" s="162" t="str">
        <f xml:space="preserve"> setValueToTime(B156)</f>
        <v>3h45min</v>
      </c>
      <c r="D156" s="121"/>
      <c r="E156" s="246"/>
      <c r="F156" s="247"/>
      <c r="G156" s="51"/>
    </row>
    <row r="157" spans="1:7" s="59" customFormat="1" ht="15" thickBot="1" x14ac:dyDescent="0.35">
      <c r="A157" s="77"/>
      <c r="B157" s="77"/>
      <c r="C157" s="77"/>
      <c r="D157" s="77"/>
      <c r="E157" s="77"/>
      <c r="F157" s="77"/>
      <c r="G157" s="58"/>
    </row>
    <row r="158" spans="1:7" s="47" customFormat="1" ht="30" customHeight="1" thickBot="1" x14ac:dyDescent="0.3">
      <c r="A158" s="156" t="s">
        <v>12</v>
      </c>
      <c r="B158" s="164">
        <v>6</v>
      </c>
      <c r="C158" s="164"/>
      <c r="D158" s="157" t="s">
        <v>15</v>
      </c>
      <c r="E158" s="158" t="s">
        <v>94</v>
      </c>
      <c r="F158" s="159"/>
      <c r="G158" s="46"/>
    </row>
    <row r="159" spans="1:7" s="47" customFormat="1" ht="30" customHeight="1" thickBot="1" x14ac:dyDescent="0.3">
      <c r="A159" s="78" t="s">
        <v>5</v>
      </c>
      <c r="B159" s="161" t="s">
        <v>38</v>
      </c>
      <c r="C159" s="160"/>
      <c r="D159" s="78" t="s">
        <v>13</v>
      </c>
      <c r="E159" s="248" t="s">
        <v>14</v>
      </c>
      <c r="F159" s="249"/>
      <c r="G159" s="46"/>
    </row>
    <row r="160" spans="1:7" s="52" customFormat="1" ht="27" x14ac:dyDescent="0.3">
      <c r="A160" s="48" t="s">
        <v>45</v>
      </c>
      <c r="B160" s="49">
        <v>36</v>
      </c>
      <c r="C160" s="152" t="str">
        <f xml:space="preserve"> IF(B160="","",setValueToTime(B160))</f>
        <v>3h</v>
      </c>
      <c r="D160" s="200" t="s">
        <v>162</v>
      </c>
      <c r="E160" s="240"/>
      <c r="F160" s="241"/>
      <c r="G160" s="51"/>
    </row>
    <row r="161" spans="1:7" s="52" customFormat="1" x14ac:dyDescent="0.3">
      <c r="A161" s="53"/>
      <c r="B161" s="54"/>
      <c r="C161" s="153" t="str">
        <f t="shared" ref="C161:C167" si="14" xml:space="preserve"> IF(B161="","",setValueToTime(B161))</f>
        <v/>
      </c>
      <c r="D161" s="55"/>
      <c r="E161" s="242"/>
      <c r="F161" s="243"/>
      <c r="G161" s="51"/>
    </row>
    <row r="162" spans="1:7" s="52" customFormat="1" x14ac:dyDescent="0.3">
      <c r="A162" s="53"/>
      <c r="B162" s="54"/>
      <c r="C162" s="153" t="str">
        <f t="shared" si="14"/>
        <v/>
      </c>
      <c r="D162" s="55"/>
      <c r="E162" s="242"/>
      <c r="F162" s="243"/>
      <c r="G162" s="51"/>
    </row>
    <row r="163" spans="1:7" s="52" customFormat="1" x14ac:dyDescent="0.3">
      <c r="A163" s="53"/>
      <c r="B163" s="54"/>
      <c r="C163" s="153" t="str">
        <f t="shared" si="14"/>
        <v/>
      </c>
      <c r="D163" s="55"/>
      <c r="E163" s="242"/>
      <c r="F163" s="243"/>
      <c r="G163" s="51"/>
    </row>
    <row r="164" spans="1:7" s="52" customFormat="1" x14ac:dyDescent="0.3">
      <c r="A164" s="54"/>
      <c r="B164" s="54"/>
      <c r="C164" s="154" t="str">
        <f t="shared" si="14"/>
        <v/>
      </c>
      <c r="D164" s="55"/>
      <c r="E164" s="242"/>
      <c r="F164" s="243"/>
      <c r="G164" s="51"/>
    </row>
    <row r="165" spans="1:7" s="52" customFormat="1" x14ac:dyDescent="0.3">
      <c r="A165" s="54"/>
      <c r="B165" s="54"/>
      <c r="C165" s="154" t="str">
        <f t="shared" si="14"/>
        <v/>
      </c>
      <c r="D165" s="55"/>
      <c r="E165" s="242"/>
      <c r="F165" s="243"/>
      <c r="G165" s="51"/>
    </row>
    <row r="166" spans="1:7" s="52" customFormat="1" x14ac:dyDescent="0.3">
      <c r="A166" s="54"/>
      <c r="B166" s="54"/>
      <c r="C166" s="154" t="str">
        <f t="shared" si="14"/>
        <v/>
      </c>
      <c r="D166" s="55"/>
      <c r="E166" s="242"/>
      <c r="F166" s="243"/>
      <c r="G166" s="51"/>
    </row>
    <row r="167" spans="1:7" s="52" customFormat="1" ht="15" thickBot="1" x14ac:dyDescent="0.35">
      <c r="A167" s="56"/>
      <c r="B167" s="56"/>
      <c r="C167" s="155" t="str">
        <f t="shared" si="14"/>
        <v/>
      </c>
      <c r="D167" s="57"/>
      <c r="E167" s="244"/>
      <c r="F167" s="245"/>
      <c r="G167" s="51"/>
    </row>
    <row r="168" spans="1:7" s="52" customFormat="1" ht="15" thickBot="1" x14ac:dyDescent="0.35">
      <c r="A168" s="162" t="s">
        <v>27</v>
      </c>
      <c r="B168" s="83">
        <f>SUM(B160:B167)</f>
        <v>36</v>
      </c>
      <c r="C168" s="162" t="str">
        <f xml:space="preserve"> setValueToTime(B168)</f>
        <v>3h</v>
      </c>
      <c r="D168" s="121"/>
      <c r="E168" s="246"/>
      <c r="F168" s="247"/>
      <c r="G168" s="51"/>
    </row>
    <row r="169" spans="1:7" s="59" customFormat="1" ht="15" thickBot="1" x14ac:dyDescent="0.35">
      <c r="A169" s="77"/>
      <c r="B169" s="77"/>
      <c r="C169" s="77"/>
      <c r="D169" s="77"/>
      <c r="E169" s="77"/>
      <c r="F169" s="77"/>
      <c r="G169" s="58"/>
    </row>
    <row r="170" spans="1:7" s="47" customFormat="1" ht="30" customHeight="1" thickBot="1" x14ac:dyDescent="0.3">
      <c r="A170" s="156" t="s">
        <v>12</v>
      </c>
      <c r="B170" s="164">
        <v>5</v>
      </c>
      <c r="C170" s="164"/>
      <c r="D170" s="157" t="s">
        <v>15</v>
      </c>
      <c r="E170" s="158" t="s">
        <v>161</v>
      </c>
      <c r="F170" s="159"/>
      <c r="G170" s="46"/>
    </row>
    <row r="171" spans="1:7" s="47" customFormat="1" ht="30" customHeight="1" thickBot="1" x14ac:dyDescent="0.3">
      <c r="A171" s="78" t="s">
        <v>5</v>
      </c>
      <c r="B171" s="161" t="s">
        <v>38</v>
      </c>
      <c r="C171" s="160"/>
      <c r="D171" s="78" t="s">
        <v>13</v>
      </c>
      <c r="E171" s="248" t="s">
        <v>14</v>
      </c>
      <c r="F171" s="249"/>
      <c r="G171" s="46"/>
    </row>
    <row r="172" spans="1:7" s="52" customFormat="1" x14ac:dyDescent="0.3">
      <c r="A172" s="48" t="s">
        <v>43</v>
      </c>
      <c r="B172" s="49">
        <v>7</v>
      </c>
      <c r="C172" s="152" t="str">
        <f xml:space="preserve"> IF(B172="","",setValueToTime(B172))</f>
        <v>0h35min</v>
      </c>
      <c r="D172" s="50" t="s">
        <v>98</v>
      </c>
      <c r="E172" s="240"/>
      <c r="F172" s="241"/>
      <c r="G172" s="51"/>
    </row>
    <row r="173" spans="1:7" s="52" customFormat="1" x14ac:dyDescent="0.3">
      <c r="A173" s="53" t="s">
        <v>43</v>
      </c>
      <c r="B173" s="54">
        <v>3</v>
      </c>
      <c r="C173" s="153" t="str">
        <f t="shared" ref="C173:C179" si="15" xml:space="preserve"> IF(B173="","",setValueToTime(B173))</f>
        <v>0h15min</v>
      </c>
      <c r="D173" s="55" t="s">
        <v>155</v>
      </c>
      <c r="E173" s="242"/>
      <c r="F173" s="243"/>
      <c r="G173" s="51"/>
    </row>
    <row r="174" spans="1:7" s="52" customFormat="1" x14ac:dyDescent="0.3">
      <c r="A174" s="53" t="s">
        <v>43</v>
      </c>
      <c r="B174" s="54">
        <v>17</v>
      </c>
      <c r="C174" s="153" t="str">
        <f t="shared" si="15"/>
        <v>1h25min</v>
      </c>
      <c r="D174" s="55" t="s">
        <v>156</v>
      </c>
      <c r="E174" s="242"/>
      <c r="F174" s="243"/>
      <c r="G174" s="51"/>
    </row>
    <row r="175" spans="1:7" s="52" customFormat="1" x14ac:dyDescent="0.3">
      <c r="A175" s="53" t="s">
        <v>100</v>
      </c>
      <c r="B175" s="54">
        <v>9</v>
      </c>
      <c r="C175" s="153" t="str">
        <f t="shared" si="15"/>
        <v>0h45min</v>
      </c>
      <c r="D175" s="55" t="s">
        <v>157</v>
      </c>
      <c r="E175" s="242"/>
      <c r="F175" s="243"/>
      <c r="G175" s="51"/>
    </row>
    <row r="176" spans="1:7" s="52" customFormat="1" x14ac:dyDescent="0.3">
      <c r="A176" s="54"/>
      <c r="B176" s="54"/>
      <c r="C176" s="154" t="str">
        <f t="shared" si="15"/>
        <v/>
      </c>
      <c r="D176" s="55"/>
      <c r="E176" s="242"/>
      <c r="F176" s="243"/>
      <c r="G176" s="51"/>
    </row>
    <row r="177" spans="1:7" s="52" customFormat="1" x14ac:dyDescent="0.3">
      <c r="A177" s="54"/>
      <c r="B177" s="54"/>
      <c r="C177" s="154" t="str">
        <f t="shared" si="15"/>
        <v/>
      </c>
      <c r="D177" s="55"/>
      <c r="E177" s="242"/>
      <c r="F177" s="243"/>
      <c r="G177" s="51"/>
    </row>
    <row r="178" spans="1:7" s="52" customFormat="1" x14ac:dyDescent="0.3">
      <c r="A178" s="54"/>
      <c r="B178" s="54"/>
      <c r="C178" s="154" t="str">
        <f t="shared" si="15"/>
        <v/>
      </c>
      <c r="D178" s="55"/>
      <c r="E178" s="242"/>
      <c r="F178" s="243"/>
      <c r="G178" s="51"/>
    </row>
    <row r="179" spans="1:7" s="52" customFormat="1" ht="15" thickBot="1" x14ac:dyDescent="0.35">
      <c r="A179" s="56"/>
      <c r="B179" s="56"/>
      <c r="C179" s="155" t="str">
        <f t="shared" si="15"/>
        <v/>
      </c>
      <c r="D179" s="57"/>
      <c r="E179" s="244"/>
      <c r="F179" s="245"/>
      <c r="G179" s="51"/>
    </row>
    <row r="180" spans="1:7" s="52" customFormat="1" ht="15" thickBot="1" x14ac:dyDescent="0.35">
      <c r="A180" s="162" t="s">
        <v>27</v>
      </c>
      <c r="B180" s="83">
        <f>SUM(B172:B179)</f>
        <v>36</v>
      </c>
      <c r="C180" s="162" t="str">
        <f xml:space="preserve"> setValueToTime(B180)</f>
        <v>3h</v>
      </c>
      <c r="D180" s="121"/>
      <c r="E180" s="246"/>
      <c r="F180" s="247"/>
      <c r="G180" s="51"/>
    </row>
    <row r="181" spans="1:7" s="59" customFormat="1" ht="15" thickBot="1" x14ac:dyDescent="0.35">
      <c r="A181" s="77"/>
      <c r="B181" s="77"/>
      <c r="C181" s="77"/>
      <c r="D181" s="77"/>
      <c r="E181" s="77"/>
      <c r="F181" s="77"/>
      <c r="G181" s="58"/>
    </row>
    <row r="182" spans="1:7" s="47" customFormat="1" ht="30" customHeight="1" thickBot="1" x14ac:dyDescent="0.3">
      <c r="A182" s="156" t="s">
        <v>12</v>
      </c>
      <c r="B182" s="164">
        <v>4</v>
      </c>
      <c r="C182" s="164"/>
      <c r="D182" s="157" t="s">
        <v>15</v>
      </c>
      <c r="E182" s="158" t="s">
        <v>60</v>
      </c>
      <c r="F182" s="159"/>
      <c r="G182" s="46"/>
    </row>
    <row r="183" spans="1:7" s="47" customFormat="1" ht="30" customHeight="1" thickBot="1" x14ac:dyDescent="0.3">
      <c r="A183" s="78" t="s">
        <v>5</v>
      </c>
      <c r="B183" s="161" t="s">
        <v>38</v>
      </c>
      <c r="C183" s="160"/>
      <c r="D183" s="78" t="s">
        <v>13</v>
      </c>
      <c r="E183" s="248" t="s">
        <v>14</v>
      </c>
      <c r="F183" s="249"/>
      <c r="G183" s="46"/>
    </row>
    <row r="184" spans="1:7" s="52" customFormat="1" x14ac:dyDescent="0.3">
      <c r="A184" s="48" t="s">
        <v>4</v>
      </c>
      <c r="B184" s="49">
        <v>12</v>
      </c>
      <c r="C184" s="152" t="str">
        <f xml:space="preserve"> IF(B184="","",setValueToTime(B184))</f>
        <v>1h</v>
      </c>
      <c r="D184" s="50" t="s">
        <v>153</v>
      </c>
      <c r="E184" s="240"/>
      <c r="F184" s="241"/>
      <c r="G184" s="51"/>
    </row>
    <row r="185" spans="1:7" s="52" customFormat="1" x14ac:dyDescent="0.3">
      <c r="A185" s="53" t="s">
        <v>4</v>
      </c>
      <c r="B185" s="54">
        <v>15</v>
      </c>
      <c r="C185" s="153" t="str">
        <f t="shared" ref="C185:C191" si="16" xml:space="preserve"> IF(B185="","",setValueToTime(B185))</f>
        <v>1h15min</v>
      </c>
      <c r="D185" s="55" t="s">
        <v>154</v>
      </c>
      <c r="E185" s="242"/>
      <c r="F185" s="243"/>
      <c r="G185" s="51"/>
    </row>
    <row r="186" spans="1:7" s="52" customFormat="1" x14ac:dyDescent="0.3">
      <c r="A186" s="53" t="s">
        <v>43</v>
      </c>
      <c r="B186" s="54">
        <v>9</v>
      </c>
      <c r="C186" s="153" t="str">
        <f t="shared" si="16"/>
        <v>0h45min</v>
      </c>
      <c r="D186" s="55" t="s">
        <v>152</v>
      </c>
      <c r="E186" s="242"/>
      <c r="F186" s="243"/>
      <c r="G186" s="51"/>
    </row>
    <row r="187" spans="1:7" s="52" customFormat="1" x14ac:dyDescent="0.3">
      <c r="A187" s="53"/>
      <c r="B187" s="54"/>
      <c r="C187" s="153" t="str">
        <f t="shared" si="16"/>
        <v/>
      </c>
      <c r="D187" s="55"/>
      <c r="E187" s="242"/>
      <c r="F187" s="243"/>
      <c r="G187" s="51"/>
    </row>
    <row r="188" spans="1:7" s="52" customFormat="1" x14ac:dyDescent="0.3">
      <c r="A188" s="54"/>
      <c r="B188" s="54"/>
      <c r="C188" s="154" t="str">
        <f t="shared" si="16"/>
        <v/>
      </c>
      <c r="D188" s="55"/>
      <c r="E188" s="242"/>
      <c r="F188" s="243"/>
      <c r="G188" s="51"/>
    </row>
    <row r="189" spans="1:7" s="52" customFormat="1" x14ac:dyDescent="0.3">
      <c r="A189" s="54"/>
      <c r="B189" s="54"/>
      <c r="C189" s="154" t="str">
        <f t="shared" si="16"/>
        <v/>
      </c>
      <c r="D189" s="55"/>
      <c r="E189" s="242"/>
      <c r="F189" s="243"/>
      <c r="G189" s="51"/>
    </row>
    <row r="190" spans="1:7" s="52" customFormat="1" x14ac:dyDescent="0.3">
      <c r="A190" s="54"/>
      <c r="B190" s="54"/>
      <c r="C190" s="154" t="str">
        <f t="shared" si="16"/>
        <v/>
      </c>
      <c r="D190" s="55"/>
      <c r="E190" s="242"/>
      <c r="F190" s="243"/>
      <c r="G190" s="51"/>
    </row>
    <row r="191" spans="1:7" s="52" customFormat="1" ht="15" thickBot="1" x14ac:dyDescent="0.35">
      <c r="A191" s="56"/>
      <c r="B191" s="56"/>
      <c r="C191" s="155" t="str">
        <f t="shared" si="16"/>
        <v/>
      </c>
      <c r="D191" s="57"/>
      <c r="E191" s="244"/>
      <c r="F191" s="245"/>
      <c r="G191" s="51"/>
    </row>
    <row r="192" spans="1:7" s="52" customFormat="1" ht="15" thickBot="1" x14ac:dyDescent="0.35">
      <c r="A192" s="162" t="s">
        <v>27</v>
      </c>
      <c r="B192" s="83">
        <f>SUM(B184:B191)</f>
        <v>36</v>
      </c>
      <c r="C192" s="162" t="str">
        <f xml:space="preserve"> setValueToTime(B192)</f>
        <v>3h</v>
      </c>
      <c r="D192" s="121"/>
      <c r="E192" s="246"/>
      <c r="F192" s="247"/>
      <c r="G192" s="51"/>
    </row>
    <row r="193" spans="1:7" s="59" customFormat="1" ht="15" thickBot="1" x14ac:dyDescent="0.35">
      <c r="A193" s="77"/>
      <c r="B193" s="77"/>
      <c r="C193" s="77"/>
      <c r="D193" s="77"/>
      <c r="E193" s="77"/>
      <c r="F193" s="77"/>
      <c r="G193" s="58"/>
    </row>
    <row r="194" spans="1:7" s="47" customFormat="1" ht="30" customHeight="1" thickBot="1" x14ac:dyDescent="0.3">
      <c r="A194" s="156" t="s">
        <v>12</v>
      </c>
      <c r="B194" s="164">
        <v>3</v>
      </c>
      <c r="C194" s="164"/>
      <c r="D194" s="157" t="s">
        <v>15</v>
      </c>
      <c r="E194" s="158" t="s">
        <v>61</v>
      </c>
      <c r="F194" s="159"/>
      <c r="G194" s="46"/>
    </row>
    <row r="195" spans="1:7" s="47" customFormat="1" ht="30" customHeight="1" thickBot="1" x14ac:dyDescent="0.3">
      <c r="A195" s="78" t="s">
        <v>5</v>
      </c>
      <c r="B195" s="161" t="s">
        <v>38</v>
      </c>
      <c r="C195" s="160"/>
      <c r="D195" s="78" t="s">
        <v>13</v>
      </c>
      <c r="E195" s="248" t="s">
        <v>14</v>
      </c>
      <c r="F195" s="249"/>
      <c r="G195" s="46"/>
    </row>
    <row r="196" spans="1:7" s="52" customFormat="1" ht="27" x14ac:dyDescent="0.3">
      <c r="A196" s="48" t="s">
        <v>41</v>
      </c>
      <c r="B196" s="49">
        <v>9</v>
      </c>
      <c r="C196" s="152" t="str">
        <f xml:space="preserve"> IF(B196="","",setValueToTime(B196))</f>
        <v>0h45min</v>
      </c>
      <c r="D196" s="50" t="s">
        <v>68</v>
      </c>
      <c r="E196" s="240"/>
      <c r="F196" s="241"/>
      <c r="G196" s="51"/>
    </row>
    <row r="197" spans="1:7" s="52" customFormat="1" ht="40.5" x14ac:dyDescent="0.3">
      <c r="A197" s="53" t="s">
        <v>42</v>
      </c>
      <c r="B197" s="54">
        <v>9</v>
      </c>
      <c r="C197" s="153" t="str">
        <f t="shared" ref="C197:C198" si="17" xml:space="preserve"> IF(B197="","",setValueToTime(B197))</f>
        <v>0h45min</v>
      </c>
      <c r="D197" s="55" t="s">
        <v>69</v>
      </c>
      <c r="E197" s="242"/>
      <c r="F197" s="243"/>
      <c r="G197" s="51"/>
    </row>
    <row r="198" spans="1:7" s="52" customFormat="1" ht="40.5" x14ac:dyDescent="0.3">
      <c r="A198" s="53" t="s">
        <v>46</v>
      </c>
      <c r="B198" s="54">
        <v>18</v>
      </c>
      <c r="C198" s="153" t="str">
        <f t="shared" si="17"/>
        <v>1h30min</v>
      </c>
      <c r="D198" t="s">
        <v>70</v>
      </c>
      <c r="E198" s="242"/>
      <c r="F198" s="243"/>
      <c r="G198" s="51"/>
    </row>
    <row r="199" spans="1:7" s="52" customFormat="1" x14ac:dyDescent="0.3">
      <c r="A199" s="53"/>
      <c r="B199" s="54"/>
      <c r="C199" s="153" t="str">
        <f t="shared" ref="C199:C203" si="18" xml:space="preserve"> IF(B199="","",setValueToTime(B199))</f>
        <v/>
      </c>
      <c r="D199" s="55"/>
      <c r="E199" s="242"/>
      <c r="F199" s="243"/>
      <c r="G199" s="51"/>
    </row>
    <row r="200" spans="1:7" s="52" customFormat="1" x14ac:dyDescent="0.3">
      <c r="A200" s="54"/>
      <c r="B200" s="54"/>
      <c r="C200" s="154" t="str">
        <f t="shared" si="18"/>
        <v/>
      </c>
      <c r="D200" s="55"/>
      <c r="E200" s="242"/>
      <c r="F200" s="243"/>
      <c r="G200" s="51"/>
    </row>
    <row r="201" spans="1:7" s="52" customFormat="1" x14ac:dyDescent="0.3">
      <c r="A201" s="54"/>
      <c r="B201" s="54"/>
      <c r="C201" s="154" t="str">
        <f t="shared" si="18"/>
        <v/>
      </c>
      <c r="D201" s="55"/>
      <c r="E201" s="242"/>
      <c r="F201" s="243"/>
      <c r="G201" s="51"/>
    </row>
    <row r="202" spans="1:7" s="52" customFormat="1" x14ac:dyDescent="0.3">
      <c r="A202" s="54"/>
      <c r="B202" s="54"/>
      <c r="C202" s="154" t="str">
        <f t="shared" si="18"/>
        <v/>
      </c>
      <c r="D202" s="55"/>
      <c r="E202" s="242"/>
      <c r="F202" s="243"/>
      <c r="G202" s="51"/>
    </row>
    <row r="203" spans="1:7" s="52" customFormat="1" ht="15" thickBot="1" x14ac:dyDescent="0.35">
      <c r="A203" s="56"/>
      <c r="B203" s="56"/>
      <c r="C203" s="155" t="str">
        <f t="shared" si="18"/>
        <v/>
      </c>
      <c r="D203" s="57"/>
      <c r="E203" s="244"/>
      <c r="F203" s="245"/>
      <c r="G203" s="51"/>
    </row>
    <row r="204" spans="1:7" s="52" customFormat="1" ht="15" thickBot="1" x14ac:dyDescent="0.35">
      <c r="A204" s="162" t="s">
        <v>27</v>
      </c>
      <c r="B204" s="83">
        <f>SUM(B196:B203)</f>
        <v>36</v>
      </c>
      <c r="C204" s="162" t="str">
        <f xml:space="preserve"> setValueToTime(B204)</f>
        <v>3h</v>
      </c>
      <c r="D204" s="121"/>
      <c r="E204" s="246"/>
      <c r="F204" s="247"/>
      <c r="G204" s="51"/>
    </row>
    <row r="205" spans="1:7" s="59" customFormat="1" ht="15" thickBot="1" x14ac:dyDescent="0.35">
      <c r="A205" s="77"/>
      <c r="B205" s="77"/>
      <c r="C205" s="77"/>
      <c r="D205" s="77"/>
      <c r="E205" s="77"/>
      <c r="F205" s="77"/>
      <c r="G205" s="58"/>
    </row>
    <row r="206" spans="1:7" s="47" customFormat="1" ht="30" customHeight="1" thickBot="1" x14ac:dyDescent="0.3">
      <c r="A206" s="156" t="s">
        <v>12</v>
      </c>
      <c r="B206" s="164">
        <v>2</v>
      </c>
      <c r="C206" s="164"/>
      <c r="D206" s="157" t="s">
        <v>15</v>
      </c>
      <c r="E206" s="158" t="s">
        <v>96</v>
      </c>
      <c r="F206" s="159"/>
      <c r="G206" s="46"/>
    </row>
    <row r="207" spans="1:7" s="47" customFormat="1" ht="30" customHeight="1" thickBot="1" x14ac:dyDescent="0.3">
      <c r="A207" s="78" t="s">
        <v>5</v>
      </c>
      <c r="B207" s="161" t="s">
        <v>38</v>
      </c>
      <c r="C207" s="160"/>
      <c r="D207" s="78" t="s">
        <v>13</v>
      </c>
      <c r="E207" s="248" t="s">
        <v>14</v>
      </c>
      <c r="F207" s="249"/>
      <c r="G207" s="46"/>
    </row>
    <row r="208" spans="1:7" s="52" customFormat="1" x14ac:dyDescent="0.3">
      <c r="A208" s="48" t="s">
        <v>64</v>
      </c>
      <c r="B208" s="49">
        <v>18</v>
      </c>
      <c r="C208" s="152" t="str">
        <f xml:space="preserve"> IF(B208="","",setValueToTime(B208))</f>
        <v>1h30min</v>
      </c>
      <c r="D208" s="50" t="s">
        <v>67</v>
      </c>
      <c r="E208" s="240"/>
      <c r="F208" s="241"/>
      <c r="G208" s="51"/>
    </row>
    <row r="209" spans="1:7" s="52" customFormat="1" ht="27" x14ac:dyDescent="0.3">
      <c r="A209" s="53" t="s">
        <v>41</v>
      </c>
      <c r="B209" s="54">
        <v>18</v>
      </c>
      <c r="C209" s="153" t="str">
        <f t="shared" ref="C209" si="19" xml:space="preserve"> IF(B209="","",setValueToTime(B209))</f>
        <v>1h30min</v>
      </c>
      <c r="D209" s="55" t="s">
        <v>66</v>
      </c>
      <c r="E209" s="242"/>
      <c r="F209" s="243"/>
      <c r="G209" s="51"/>
    </row>
    <row r="210" spans="1:7" s="52" customFormat="1" x14ac:dyDescent="0.3">
      <c r="A210" s="53"/>
      <c r="B210" s="54"/>
      <c r="C210" s="153" t="str">
        <f t="shared" ref="C210:C215" si="20" xml:space="preserve"> IF(B210="","",setValueToTime(B210))</f>
        <v/>
      </c>
      <c r="D210" s="55"/>
      <c r="E210" s="242"/>
      <c r="F210" s="243"/>
      <c r="G210" s="51"/>
    </row>
    <row r="211" spans="1:7" s="52" customFormat="1" x14ac:dyDescent="0.3">
      <c r="A211" s="53"/>
      <c r="B211" s="54"/>
      <c r="C211" s="153" t="str">
        <f t="shared" si="20"/>
        <v/>
      </c>
      <c r="D211" s="55"/>
      <c r="E211" s="242"/>
      <c r="F211" s="243"/>
      <c r="G211" s="51"/>
    </row>
    <row r="212" spans="1:7" s="52" customFormat="1" x14ac:dyDescent="0.3">
      <c r="A212" s="54"/>
      <c r="B212" s="54"/>
      <c r="C212" s="154" t="str">
        <f t="shared" si="20"/>
        <v/>
      </c>
      <c r="D212" s="55"/>
      <c r="E212" s="242"/>
      <c r="F212" s="243"/>
      <c r="G212" s="51"/>
    </row>
    <row r="213" spans="1:7" s="52" customFormat="1" x14ac:dyDescent="0.3">
      <c r="A213" s="54"/>
      <c r="B213" s="54"/>
      <c r="C213" s="154" t="str">
        <f t="shared" si="20"/>
        <v/>
      </c>
      <c r="D213" s="55"/>
      <c r="E213" s="242"/>
      <c r="F213" s="243"/>
      <c r="G213" s="51"/>
    </row>
    <row r="214" spans="1:7" s="52" customFormat="1" x14ac:dyDescent="0.3">
      <c r="A214" s="54"/>
      <c r="B214" s="54"/>
      <c r="C214" s="154" t="str">
        <f t="shared" si="20"/>
        <v/>
      </c>
      <c r="D214" s="55"/>
      <c r="E214" s="242"/>
      <c r="F214" s="243"/>
      <c r="G214" s="51"/>
    </row>
    <row r="215" spans="1:7" s="52" customFormat="1" ht="15" thickBot="1" x14ac:dyDescent="0.35">
      <c r="A215" s="56"/>
      <c r="B215" s="56"/>
      <c r="C215" s="155" t="str">
        <f t="shared" si="20"/>
        <v/>
      </c>
      <c r="D215" s="57"/>
      <c r="E215" s="244"/>
      <c r="F215" s="245"/>
      <c r="G215" s="51"/>
    </row>
    <row r="216" spans="1:7" s="52" customFormat="1" ht="15" thickBot="1" x14ac:dyDescent="0.35">
      <c r="A216" s="162" t="s">
        <v>27</v>
      </c>
      <c r="B216" s="83">
        <f>SUM(B208:B215)</f>
        <v>36</v>
      </c>
      <c r="C216" s="162" t="str">
        <f xml:space="preserve"> setValueToTime(B216)</f>
        <v>3h</v>
      </c>
      <c r="D216" s="121"/>
      <c r="E216" s="246"/>
      <c r="F216" s="247"/>
      <c r="G216" s="51"/>
    </row>
    <row r="217" spans="1:7" s="59" customFormat="1" ht="15" thickBot="1" x14ac:dyDescent="0.35">
      <c r="A217" s="77"/>
      <c r="B217" s="77"/>
      <c r="C217" s="77"/>
      <c r="D217" s="77"/>
      <c r="E217" s="77"/>
      <c r="F217" s="77"/>
      <c r="G217" s="58"/>
    </row>
    <row r="218" spans="1:7" s="47" customFormat="1" ht="30" customHeight="1" thickBot="1" x14ac:dyDescent="0.3">
      <c r="A218" s="156" t="s">
        <v>12</v>
      </c>
      <c r="B218" s="164">
        <v>1</v>
      </c>
      <c r="C218" s="164"/>
      <c r="D218" s="157" t="s">
        <v>15</v>
      </c>
      <c r="E218" s="158" t="s">
        <v>96</v>
      </c>
      <c r="F218" s="159"/>
      <c r="G218" s="46"/>
    </row>
    <row r="219" spans="1:7" s="47" customFormat="1" ht="30" customHeight="1" thickBot="1" x14ac:dyDescent="0.3">
      <c r="A219" s="78" t="s">
        <v>5</v>
      </c>
      <c r="B219" s="161" t="s">
        <v>38</v>
      </c>
      <c r="C219" s="160"/>
      <c r="D219" s="78" t="s">
        <v>13</v>
      </c>
      <c r="E219" s="248" t="s">
        <v>14</v>
      </c>
      <c r="F219" s="249"/>
      <c r="G219" s="46"/>
    </row>
    <row r="220" spans="1:7" s="52" customFormat="1" x14ac:dyDescent="0.3">
      <c r="A220" s="48" t="s">
        <v>4</v>
      </c>
      <c r="B220" s="49">
        <v>45</v>
      </c>
      <c r="C220" s="152" t="str">
        <f xml:space="preserve"> IF(B220="","",setValueToTime(B220))</f>
        <v>3h45min</v>
      </c>
      <c r="D220" s="50" t="s">
        <v>65</v>
      </c>
      <c r="E220" s="240"/>
      <c r="F220" s="241"/>
      <c r="G220" s="51"/>
    </row>
    <row r="221" spans="1:7" s="52" customFormat="1" x14ac:dyDescent="0.3">
      <c r="A221" s="53"/>
      <c r="B221" s="54"/>
      <c r="C221" s="153" t="str">
        <f t="shared" ref="C221:C227" si="21" xml:space="preserve"> IF(B221="","",setValueToTime(B221))</f>
        <v/>
      </c>
      <c r="D221" s="55"/>
      <c r="E221" s="242"/>
      <c r="F221" s="243"/>
      <c r="G221" s="51"/>
    </row>
    <row r="222" spans="1:7" s="52" customFormat="1" x14ac:dyDescent="0.3">
      <c r="A222" s="53"/>
      <c r="B222" s="54"/>
      <c r="C222" s="153" t="str">
        <f t="shared" si="21"/>
        <v/>
      </c>
      <c r="D222" s="55"/>
      <c r="E222" s="242"/>
      <c r="F222" s="243"/>
      <c r="G222" s="51"/>
    </row>
    <row r="223" spans="1:7" s="52" customFormat="1" x14ac:dyDescent="0.3">
      <c r="A223" s="53"/>
      <c r="B223" s="54"/>
      <c r="C223" s="153" t="str">
        <f t="shared" si="21"/>
        <v/>
      </c>
      <c r="D223" s="55"/>
      <c r="E223" s="242"/>
      <c r="F223" s="243"/>
      <c r="G223" s="51"/>
    </row>
    <row r="224" spans="1:7" s="52" customFormat="1" x14ac:dyDescent="0.3">
      <c r="A224" s="54"/>
      <c r="B224" s="54"/>
      <c r="C224" s="154" t="str">
        <f t="shared" si="21"/>
        <v/>
      </c>
      <c r="D224" s="55"/>
      <c r="E224" s="242"/>
      <c r="F224" s="243"/>
      <c r="G224" s="51"/>
    </row>
    <row r="225" spans="1:7" s="52" customFormat="1" x14ac:dyDescent="0.3">
      <c r="A225" s="54"/>
      <c r="B225" s="54"/>
      <c r="C225" s="154" t="str">
        <f t="shared" si="21"/>
        <v/>
      </c>
      <c r="D225" s="55"/>
      <c r="E225" s="242"/>
      <c r="F225" s="243"/>
      <c r="G225" s="51"/>
    </row>
    <row r="226" spans="1:7" s="52" customFormat="1" x14ac:dyDescent="0.3">
      <c r="A226" s="54"/>
      <c r="B226" s="54"/>
      <c r="C226" s="154" t="str">
        <f t="shared" si="21"/>
        <v/>
      </c>
      <c r="D226" s="55"/>
      <c r="E226" s="242"/>
      <c r="F226" s="243"/>
      <c r="G226" s="51"/>
    </row>
    <row r="227" spans="1:7" s="52" customFormat="1" ht="15" thickBot="1" x14ac:dyDescent="0.35">
      <c r="A227" s="56"/>
      <c r="B227" s="56"/>
      <c r="C227" s="155" t="str">
        <f t="shared" si="21"/>
        <v/>
      </c>
      <c r="D227" s="57"/>
      <c r="E227" s="244"/>
      <c r="F227" s="245"/>
      <c r="G227" s="51"/>
    </row>
    <row r="228" spans="1:7" s="52" customFormat="1" ht="15" thickBot="1" x14ac:dyDescent="0.35">
      <c r="A228" s="162" t="s">
        <v>27</v>
      </c>
      <c r="B228" s="83">
        <f>SUM(B220:B227)</f>
        <v>45</v>
      </c>
      <c r="C228" s="162" t="str">
        <f xml:space="preserve"> setValueToTime(B228)</f>
        <v>3h45min</v>
      </c>
      <c r="D228" s="121"/>
      <c r="E228" s="246"/>
      <c r="F228" s="247"/>
      <c r="G228" s="51"/>
    </row>
    <row r="229" spans="1:7" s="59" customFormat="1" x14ac:dyDescent="0.3">
      <c r="A229" s="77"/>
      <c r="B229" s="77"/>
      <c r="C229" s="77"/>
      <c r="D229" s="77"/>
      <c r="E229" s="77"/>
      <c r="F229" s="77"/>
      <c r="G229" s="58"/>
    </row>
  </sheetData>
  <sheetProtection formatRows="0" insertRows="0" insertHyperlinks="0" deleteRows="0" selectLockedCells="1"/>
  <mergeCells count="190">
    <mergeCell ref="E12:F12"/>
    <mergeCell ref="E3:F3"/>
    <mergeCell ref="E4:F4"/>
    <mergeCell ref="E5:F5"/>
    <mergeCell ref="E6:F6"/>
    <mergeCell ref="E7:F7"/>
    <mergeCell ref="E8:F8"/>
    <mergeCell ref="E9:F9"/>
    <mergeCell ref="E10:F10"/>
    <mergeCell ref="E11:F11"/>
    <mergeCell ref="E83:F83"/>
    <mergeCell ref="E15:F15"/>
    <mergeCell ref="E16:F16"/>
    <mergeCell ref="E17:F17"/>
    <mergeCell ref="E18:F18"/>
    <mergeCell ref="E19:F19"/>
    <mergeCell ref="E20:F20"/>
    <mergeCell ref="E21:F21"/>
    <mergeCell ref="E22:F22"/>
    <mergeCell ref="E23:F23"/>
    <mergeCell ref="E24:F24"/>
    <mergeCell ref="E144:F144"/>
    <mergeCell ref="E87:F87"/>
    <mergeCell ref="E88:F88"/>
    <mergeCell ref="E89:F89"/>
    <mergeCell ref="E90:F90"/>
    <mergeCell ref="E91:F91"/>
    <mergeCell ref="E92:F92"/>
    <mergeCell ref="E93:F93"/>
    <mergeCell ref="E94:F94"/>
    <mergeCell ref="E95:F95"/>
    <mergeCell ref="E96:F96"/>
    <mergeCell ref="E135:F135"/>
    <mergeCell ref="E136:F136"/>
    <mergeCell ref="E137:F137"/>
    <mergeCell ref="E138:F138"/>
    <mergeCell ref="E139:F139"/>
    <mergeCell ref="E140:F140"/>
    <mergeCell ref="E141:F141"/>
    <mergeCell ref="E142:F142"/>
    <mergeCell ref="E143:F143"/>
    <mergeCell ref="E128:F128"/>
    <mergeCell ref="E129:F129"/>
    <mergeCell ref="E130:F130"/>
    <mergeCell ref="E131:F131"/>
    <mergeCell ref="E225:F225"/>
    <mergeCell ref="E226:F226"/>
    <mergeCell ref="E227:F227"/>
    <mergeCell ref="E228:F228"/>
    <mergeCell ref="E207:F207"/>
    <mergeCell ref="E208:F208"/>
    <mergeCell ref="E209:F209"/>
    <mergeCell ref="E210:F210"/>
    <mergeCell ref="E211:F211"/>
    <mergeCell ref="E212:F212"/>
    <mergeCell ref="E219:F219"/>
    <mergeCell ref="E220:F220"/>
    <mergeCell ref="E221:F221"/>
    <mergeCell ref="E222:F222"/>
    <mergeCell ref="E223:F223"/>
    <mergeCell ref="E224:F224"/>
    <mergeCell ref="E213:F213"/>
    <mergeCell ref="E214:F214"/>
    <mergeCell ref="E215:F215"/>
    <mergeCell ref="E216:F216"/>
    <mergeCell ref="E195:F195"/>
    <mergeCell ref="E196:F196"/>
    <mergeCell ref="E197:F197"/>
    <mergeCell ref="E198:F198"/>
    <mergeCell ref="E199:F199"/>
    <mergeCell ref="E200:F200"/>
    <mergeCell ref="E202:F202"/>
    <mergeCell ref="E203:F203"/>
    <mergeCell ref="E204:F204"/>
    <mergeCell ref="E201:F201"/>
    <mergeCell ref="E188:F188"/>
    <mergeCell ref="E189:F189"/>
    <mergeCell ref="E190:F190"/>
    <mergeCell ref="E191:F191"/>
    <mergeCell ref="E192:F192"/>
    <mergeCell ref="E183:F183"/>
    <mergeCell ref="E184:F184"/>
    <mergeCell ref="E185:F185"/>
    <mergeCell ref="E186:F186"/>
    <mergeCell ref="E187:F187"/>
    <mergeCell ref="E176:F176"/>
    <mergeCell ref="E177:F177"/>
    <mergeCell ref="E178:F178"/>
    <mergeCell ref="E179:F179"/>
    <mergeCell ref="E180:F180"/>
    <mergeCell ref="E171:F171"/>
    <mergeCell ref="E172:F172"/>
    <mergeCell ref="E173:F173"/>
    <mergeCell ref="E174:F174"/>
    <mergeCell ref="E175:F175"/>
    <mergeCell ref="E164:F164"/>
    <mergeCell ref="E165:F165"/>
    <mergeCell ref="E166:F166"/>
    <mergeCell ref="E167:F167"/>
    <mergeCell ref="E168:F168"/>
    <mergeCell ref="E159:F159"/>
    <mergeCell ref="E160:F160"/>
    <mergeCell ref="E161:F161"/>
    <mergeCell ref="E162:F162"/>
    <mergeCell ref="E163:F163"/>
    <mergeCell ref="E152:F152"/>
    <mergeCell ref="E153:F153"/>
    <mergeCell ref="E154:F154"/>
    <mergeCell ref="E155:F155"/>
    <mergeCell ref="E156:F156"/>
    <mergeCell ref="E147:F147"/>
    <mergeCell ref="E148:F148"/>
    <mergeCell ref="E149:F149"/>
    <mergeCell ref="E150:F150"/>
    <mergeCell ref="E151:F151"/>
    <mergeCell ref="E132:F132"/>
    <mergeCell ref="E123:F123"/>
    <mergeCell ref="E124:F124"/>
    <mergeCell ref="E125:F125"/>
    <mergeCell ref="E126:F126"/>
    <mergeCell ref="E127:F127"/>
    <mergeCell ref="E116:F116"/>
    <mergeCell ref="E117:F117"/>
    <mergeCell ref="E118:F118"/>
    <mergeCell ref="E119:F119"/>
    <mergeCell ref="E120:F120"/>
    <mergeCell ref="E111:F111"/>
    <mergeCell ref="E112:F112"/>
    <mergeCell ref="E113:F113"/>
    <mergeCell ref="E114:F114"/>
    <mergeCell ref="E115:F115"/>
    <mergeCell ref="E104:F104"/>
    <mergeCell ref="E105:F105"/>
    <mergeCell ref="E106:F106"/>
    <mergeCell ref="E107:F107"/>
    <mergeCell ref="E108:F108"/>
    <mergeCell ref="E99:F99"/>
    <mergeCell ref="E100:F100"/>
    <mergeCell ref="E101:F101"/>
    <mergeCell ref="E102:F102"/>
    <mergeCell ref="E103:F103"/>
    <mergeCell ref="E63:F63"/>
    <mergeCell ref="E64:F64"/>
    <mergeCell ref="E65:F65"/>
    <mergeCell ref="E66:F66"/>
    <mergeCell ref="E67:F67"/>
    <mergeCell ref="E68:F68"/>
    <mergeCell ref="E69:F69"/>
    <mergeCell ref="E70:F70"/>
    <mergeCell ref="E71:F71"/>
    <mergeCell ref="E72:F72"/>
    <mergeCell ref="E84:F84"/>
    <mergeCell ref="E75:F75"/>
    <mergeCell ref="E76:F76"/>
    <mergeCell ref="E77:F77"/>
    <mergeCell ref="E78:F78"/>
    <mergeCell ref="E79:F79"/>
    <mergeCell ref="E80:F80"/>
    <mergeCell ref="E81:F81"/>
    <mergeCell ref="E82:F82"/>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36:F36"/>
    <mergeCell ref="E27:F27"/>
    <mergeCell ref="E28:F28"/>
    <mergeCell ref="E29:F29"/>
    <mergeCell ref="E30:F30"/>
    <mergeCell ref="E31:F31"/>
    <mergeCell ref="E32:F32"/>
    <mergeCell ref="E33:F33"/>
    <mergeCell ref="E34:F34"/>
    <mergeCell ref="E35:F35"/>
  </mergeCells>
  <phoneticPr fontId="0" type="noConversion"/>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96:B203 B220:B227 B208:B215 B184:B191 B172:B179 B160:B167 B148:B155 B136:B143 B124:B131 B100:B107 B112:B119 B88:B95 B76:B83 B52:B59 B40:B47 B64:B71 B28:B35 B16:B23 B4:B11" xr:uid="{0481C156-214E-4664-A980-5EE6D4BE771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28 B216 B204 B192 B180 B168 B156 B144 B132 B120 B108 B96 B84 B72 B60 B48 B36 B24 B12" xr:uid="{1F6E1567-7DE2-4833-8445-3860188A5ADF}">
      <formula1>0</formula1>
      <formula2>60</formula2>
    </dataValidation>
    <dataValidation type="list" allowBlank="1" showInputMessage="1" showErrorMessage="1" sqref="A196:A203 A220:A227 A208:A215 A184:A191 A172:A179 A160:A167 A148:A155 A136:A143 A124:A131 A100:A107 A112:A119 A88:A95 A76:A83 A52:A59 A40:A47 A64:A71 A28:A35 A16:A23 A4:A11" xr:uid="{A53C5C8E-BCF0-4F66-A09D-B9AFCEE14785}">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90"/>
    </row>
    <row r="11" spans="1:61" ht="18" x14ac:dyDescent="0.25">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90"/>
    </row>
    <row r="12" spans="1:61" ht="18.75" thickBot="1" x14ac:dyDescent="0.3">
      <c r="A12" s="205"/>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90"/>
    </row>
    <row r="13" spans="1:61" ht="18.75" thickBot="1" x14ac:dyDescent="0.3">
      <c r="A13" s="206" t="s">
        <v>12</v>
      </c>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8"/>
      <c r="BI13" s="90"/>
    </row>
    <row r="14" spans="1:61" ht="15.75" thickBot="1" x14ac:dyDescent="0.35">
      <c r="A14" s="103"/>
      <c r="B14" s="104"/>
      <c r="C14" s="104"/>
      <c r="D14" s="104"/>
      <c r="E14" s="209" t="s">
        <v>32</v>
      </c>
      <c r="F14" s="209"/>
      <c r="G14" s="209"/>
      <c r="H14" s="209"/>
      <c r="I14" s="104"/>
      <c r="J14" s="104"/>
      <c r="K14" s="210" t="s">
        <v>22</v>
      </c>
      <c r="L14" s="210"/>
      <c r="M14" s="210"/>
      <c r="N14" s="210"/>
      <c r="O14" s="129"/>
      <c r="P14" s="129"/>
      <c r="Q14" s="209" t="s">
        <v>33</v>
      </c>
      <c r="R14" s="209"/>
      <c r="S14" s="209"/>
      <c r="T14" s="209"/>
      <c r="U14" s="104"/>
      <c r="V14" s="104"/>
      <c r="W14" s="210" t="s">
        <v>23</v>
      </c>
      <c r="X14" s="210"/>
      <c r="Y14" s="210"/>
      <c r="Z14" s="210"/>
      <c r="AA14" s="129"/>
      <c r="AB14" s="129"/>
      <c r="AC14" s="209" t="s">
        <v>34</v>
      </c>
      <c r="AD14" s="209"/>
      <c r="AE14" s="209"/>
      <c r="AF14" s="209"/>
      <c r="AG14" s="104"/>
      <c r="AH14" s="104"/>
      <c r="AI14" s="210" t="s">
        <v>24</v>
      </c>
      <c r="AJ14" s="210"/>
      <c r="AK14" s="210"/>
      <c r="AL14" s="210"/>
      <c r="AM14" s="129"/>
      <c r="AN14" s="129"/>
      <c r="AO14" s="209" t="s">
        <v>35</v>
      </c>
      <c r="AP14" s="209"/>
      <c r="AQ14" s="209"/>
      <c r="AR14" s="209"/>
      <c r="AS14" s="104"/>
      <c r="AT14" s="104"/>
      <c r="AU14" s="210" t="s">
        <v>25</v>
      </c>
      <c r="AV14" s="210"/>
      <c r="AW14" s="210"/>
      <c r="AX14" s="210"/>
      <c r="AY14" s="129"/>
      <c r="AZ14" s="129"/>
      <c r="BA14" s="209" t="s">
        <v>36</v>
      </c>
      <c r="BB14" s="209"/>
      <c r="BC14" s="209"/>
      <c r="BD14" s="209"/>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38</v>
      </c>
      <c r="C2" s="151"/>
      <c r="D2" s="80" t="s">
        <v>13</v>
      </c>
      <c r="E2" s="238" t="s">
        <v>14</v>
      </c>
      <c r="F2" s="239"/>
      <c r="G2" s="46"/>
    </row>
    <row r="3" spans="1:7" s="52" customFormat="1" x14ac:dyDescent="0.3">
      <c r="A3" s="48"/>
      <c r="B3" s="49"/>
      <c r="C3" s="152" t="str">
        <f xml:space="preserve"> IF(B3="","",setValueToTime(B3))</f>
        <v/>
      </c>
      <c r="D3" s="50"/>
      <c r="E3" s="240"/>
      <c r="F3" s="241"/>
      <c r="G3" s="51"/>
    </row>
    <row r="4" spans="1:7" s="52" customFormat="1" x14ac:dyDescent="0.3">
      <c r="A4" s="53"/>
      <c r="B4" s="54"/>
      <c r="C4" s="153" t="str">
        <f t="shared" ref="C4:C10" si="0" xml:space="preserve"> IF(B4="","",setValueToTime(B4))</f>
        <v/>
      </c>
      <c r="D4" s="55"/>
      <c r="E4" s="242"/>
      <c r="F4" s="243"/>
      <c r="G4" s="51"/>
    </row>
    <row r="5" spans="1:7" s="52" customFormat="1" x14ac:dyDescent="0.3">
      <c r="A5" s="53"/>
      <c r="B5" s="54"/>
      <c r="C5" s="153" t="str">
        <f t="shared" si="0"/>
        <v/>
      </c>
      <c r="D5" s="55"/>
      <c r="E5" s="242"/>
      <c r="F5" s="243"/>
      <c r="G5" s="51"/>
    </row>
    <row r="6" spans="1:7" s="52" customFormat="1" x14ac:dyDescent="0.3">
      <c r="A6" s="53"/>
      <c r="B6" s="54"/>
      <c r="C6" s="153" t="str">
        <f t="shared" si="0"/>
        <v/>
      </c>
      <c r="D6" s="55"/>
      <c r="E6" s="242"/>
      <c r="F6" s="243"/>
      <c r="G6" s="51"/>
    </row>
    <row r="7" spans="1:7" s="52" customFormat="1" x14ac:dyDescent="0.3">
      <c r="A7" s="54"/>
      <c r="B7" s="54"/>
      <c r="C7" s="154"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ht="15" thickBot="1" x14ac:dyDescent="0.35">
      <c r="A10" s="56"/>
      <c r="B10" s="56"/>
      <c r="C10" s="155" t="str">
        <f t="shared" si="0"/>
        <v/>
      </c>
      <c r="D10" s="57"/>
      <c r="E10" s="244"/>
      <c r="F10" s="245"/>
      <c r="G10" s="51"/>
    </row>
    <row r="11" spans="1:7" s="52" customFormat="1" ht="15" thickBot="1" x14ac:dyDescent="0.35">
      <c r="A11" s="111" t="s">
        <v>27</v>
      </c>
      <c r="B11" s="84">
        <f>SUM(B3:B10)</f>
        <v>0</v>
      </c>
      <c r="C11" s="111" t="str">
        <f xml:space="preserve"> setValueToTime(B11)</f>
        <v>0h</v>
      </c>
      <c r="D11" s="120"/>
      <c r="E11" s="236"/>
      <c r="F11" s="237"/>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38</v>
      </c>
      <c r="C2" s="160"/>
      <c r="D2" s="78" t="s">
        <v>13</v>
      </c>
      <c r="E2" s="248" t="s">
        <v>14</v>
      </c>
      <c r="F2" s="249"/>
      <c r="G2" s="46"/>
    </row>
    <row r="3" spans="1:7" s="52" customFormat="1" x14ac:dyDescent="0.3">
      <c r="A3" s="48"/>
      <c r="B3" s="49"/>
      <c r="C3" s="152" t="str">
        <f xml:space="preserve"> IF(B3="","",setValueToTime(B3))</f>
        <v/>
      </c>
      <c r="D3" s="50"/>
      <c r="E3" s="240"/>
      <c r="F3" s="241"/>
      <c r="G3" s="51"/>
    </row>
    <row r="4" spans="1:7" s="52" customFormat="1" x14ac:dyDescent="0.3">
      <c r="A4" s="53"/>
      <c r="B4" s="54"/>
      <c r="C4" s="153" t="str">
        <f t="shared" ref="C4:C10" si="0" xml:space="preserve"> IF(B4="","",setValueToTime(B4))</f>
        <v/>
      </c>
      <c r="D4" s="55"/>
      <c r="E4" s="242"/>
      <c r="F4" s="243"/>
      <c r="G4" s="51"/>
    </row>
    <row r="5" spans="1:7" s="52" customFormat="1" x14ac:dyDescent="0.3">
      <c r="A5" s="53"/>
      <c r="B5" s="54"/>
      <c r="C5" s="153" t="str">
        <f t="shared" si="0"/>
        <v/>
      </c>
      <c r="D5" s="55"/>
      <c r="E5" s="242"/>
      <c r="F5" s="243"/>
      <c r="G5" s="51"/>
    </row>
    <row r="6" spans="1:7" s="52" customFormat="1" x14ac:dyDescent="0.3">
      <c r="A6" s="53"/>
      <c r="B6" s="54"/>
      <c r="C6" s="153" t="str">
        <f t="shared" si="0"/>
        <v/>
      </c>
      <c r="D6" s="55"/>
      <c r="E6" s="242"/>
      <c r="F6" s="243"/>
      <c r="G6" s="51"/>
    </row>
    <row r="7" spans="1:7" s="52" customFormat="1" x14ac:dyDescent="0.3">
      <c r="A7" s="54"/>
      <c r="B7" s="54"/>
      <c r="C7" s="154"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ht="15" thickBot="1" x14ac:dyDescent="0.35">
      <c r="A10" s="56"/>
      <c r="B10" s="56"/>
      <c r="C10" s="155" t="str">
        <f t="shared" si="0"/>
        <v/>
      </c>
      <c r="D10" s="57"/>
      <c r="E10" s="244"/>
      <c r="F10" s="245"/>
      <c r="G10" s="51"/>
    </row>
    <row r="11" spans="1:7" s="52" customFormat="1" ht="15" thickBot="1" x14ac:dyDescent="0.35">
      <c r="A11" s="162" t="s">
        <v>27</v>
      </c>
      <c r="B11" s="83">
        <f>SUM(B3:B10)</f>
        <v>0</v>
      </c>
      <c r="C11" s="162" t="str">
        <f xml:space="preserve"> setValueToTime(B11)</f>
        <v>0h</v>
      </c>
      <c r="D11" s="121"/>
      <c r="E11" s="246"/>
      <c r="F11" s="24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9"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Emilien Charpié</dc:creator>
  <cp:lastModifiedBy>Aurélien Dévaud</cp:lastModifiedBy>
  <cp:lastPrinted>2019-05-08T10:31:53Z</cp:lastPrinted>
  <dcterms:created xsi:type="dcterms:W3CDTF">1996-10-21T11:03:58Z</dcterms:created>
  <dcterms:modified xsi:type="dcterms:W3CDTF">2024-02-09T07:40:36Z</dcterms:modified>
</cp:coreProperties>
</file>