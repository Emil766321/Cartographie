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212a8c88df9fec86/04-Projets/P_Appro/Documentation/"/>
    </mc:Choice>
  </mc:AlternateContent>
  <xr:revisionPtr revIDLastSave="134" documentId="8_{13189011-C070-4C04-A18D-D05D2E2A006A}" xr6:coauthVersionLast="47" xr6:coauthVersionMax="47" xr10:uidLastSave="{A7A20991-A3A5-4EA9-854A-46BD80A04F01}"/>
  <bookViews>
    <workbookView xWindow="-12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0" l="1"/>
  <c r="C11" i="10"/>
  <c r="C10" i="10"/>
  <c r="C9" i="10"/>
  <c r="C8" i="10"/>
  <c r="C7" i="10"/>
  <c r="C6" i="10"/>
  <c r="C5" i="10"/>
  <c r="C4" i="10"/>
  <c r="B24" i="10"/>
  <c r="C23" i="10"/>
  <c r="C22" i="10"/>
  <c r="C21" i="10"/>
  <c r="C20" i="10"/>
  <c r="C19" i="10"/>
  <c r="C18" i="10"/>
  <c r="C17" i="10"/>
  <c r="C16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2" i="10"/>
  <c r="C24" i="10"/>
  <c r="D92" i="1"/>
  <c r="D86" i="1"/>
  <c r="D76" i="1"/>
  <c r="D72" i="1"/>
  <c r="C11" i="15"/>
  <c r="D70" i="1"/>
  <c r="D54" i="1"/>
  <c r="D43" i="1"/>
  <c r="D56" i="1"/>
  <c r="D53" i="1"/>
  <c r="D75" i="1"/>
  <c r="D40" i="1"/>
  <c r="D38" i="1"/>
  <c r="D19" i="1"/>
  <c r="D32" i="1"/>
  <c r="D37" i="1"/>
  <c r="D27" i="1"/>
  <c r="D22" i="1"/>
  <c r="D82" i="1"/>
  <c r="D87" i="1"/>
  <c r="D21" i="1"/>
  <c r="D81" i="1"/>
  <c r="D15" i="1"/>
  <c r="D77" i="1"/>
  <c r="D17" i="1"/>
  <c r="D60" i="1"/>
  <c r="C11" i="16"/>
  <c r="D67" i="1"/>
  <c r="D24" i="1"/>
  <c r="D66" i="1"/>
  <c r="D59" i="1"/>
  <c r="D84" i="1"/>
  <c r="D65" i="1"/>
  <c r="D34" i="1"/>
  <c r="D48" i="1"/>
  <c r="D94" i="1"/>
  <c r="D74" i="1"/>
  <c r="D51" i="1"/>
  <c r="D25" i="1"/>
  <c r="D88" i="1"/>
  <c r="D63" i="1"/>
  <c r="D50" i="1"/>
  <c r="D39" i="1"/>
  <c r="D68" i="1"/>
  <c r="D49" i="1"/>
  <c r="D93" i="1"/>
  <c r="D33" i="1"/>
  <c r="D18" i="1"/>
  <c r="D28" i="1"/>
  <c r="D71" i="1"/>
  <c r="D83" i="1"/>
  <c r="D35" i="1"/>
  <c r="D23" i="1"/>
  <c r="D85" i="1"/>
  <c r="D61" i="1"/>
  <c r="D91" i="1"/>
  <c r="D78" i="1"/>
  <c r="D79" i="1"/>
  <c r="D80" i="1"/>
  <c r="D29" i="1"/>
  <c r="D46" i="1"/>
  <c r="D44" i="1"/>
  <c r="D30" i="1"/>
  <c r="D20" i="1"/>
  <c r="D52" i="1"/>
  <c r="D58" i="1"/>
  <c r="D36" i="1"/>
  <c r="D16" i="1"/>
  <c r="D45" i="1"/>
  <c r="D47" i="1"/>
  <c r="D62" i="1"/>
  <c r="D55" i="1"/>
  <c r="D64" i="1"/>
  <c r="D89" i="1"/>
  <c r="D31" i="1"/>
  <c r="D73" i="1"/>
  <c r="D90" i="1"/>
  <c r="D57" i="1"/>
  <c r="D41" i="1"/>
  <c r="D42" i="1"/>
  <c r="D26" i="1"/>
  <c r="D6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<sst xmlns="http://schemas.openxmlformats.org/spreadsheetml/2006/main" count="208" uniqueCount="65">
  <si>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</si>
  <si>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</si>
  <si>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</si>
  <si>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</si>
  <si>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</si>
  <si>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</si>
  <si>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</si>
  <si>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</si>
  <si>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</si>
  <si>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</si>
  <si>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</si>
  <si>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</si>
  <si>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</si>
  <si>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</si>
  <si>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</si>
  <si>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</si>
  <si>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</si>
  <si>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</si>
  <si>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</si>
  <si>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</si>
  <si>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</si>
  <si>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</si>
  <si>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</si>
  <si>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</si>
  <si>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</si>
  <si>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</si>
  <si>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</si>
  <si>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</si>
  <si>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</si>
  <si>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</si>
  <si>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</si>
  <si>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</si>
  <si>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</si>
  <si>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</si>
  <si>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</si>
  <si>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</si>
  <si>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</si>
  <si>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</si>
  <si>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</si>
  <si>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</si>
  <si>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</si>
  <si>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</si>
  <si>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P_Appro</t>
  </si>
  <si>
    <t>Emilien Charpié</t>
  </si>
  <si>
    <t>Min 4</t>
  </si>
  <si>
    <t>Du 22.01.2024 au jj.mm.aaaa</t>
  </si>
  <si>
    <t>Informer - Relire l'ancien rapport</t>
  </si>
  <si>
    <t>Informer - Check de ce qui fonctionne déjà</t>
  </si>
  <si>
    <t>Analyse - Planification</t>
  </si>
  <si>
    <t>Analyse - Analyse SWOT</t>
  </si>
  <si>
    <t>Informer - Préformation au VBA</t>
  </si>
  <si>
    <t xml:space="preserve">Analyse - Découpage du travail en plusieurs tâches </t>
  </si>
  <si>
    <t>Conception - Création des tests</t>
  </si>
  <si>
    <t>Conception - Organisation &amp; création de la marche à suivre</t>
  </si>
  <si>
    <t xml:space="preserve">Réalisation - Protection du Formulaire </t>
  </si>
  <si>
    <t>Réalisation - Création de relation avec un panier d'information</t>
  </si>
  <si>
    <t>Réalisation - Créaer des instructions</t>
  </si>
  <si>
    <t>Réalisation - Créer un système de note à ajouter sur les instructions</t>
  </si>
  <si>
    <t>Réalisation - Créer un .exe pour installer le gabarit dans Visio</t>
  </si>
  <si>
    <t>Réalisation - Extraire les données en fichier Excel</t>
  </si>
  <si>
    <t>Test - Test du projet</t>
  </si>
  <si>
    <t>Evaluation - Evaluer le travail effectué</t>
  </si>
  <si>
    <t xml:space="preserve">Documentation - Journal de travail </t>
  </si>
  <si>
    <t>Documentation - Rapport</t>
  </si>
  <si>
    <t xml:space="preserve">Réalisation - Ajouter une fonction pour ecrire dans la forme "Qui"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</si>
</sst>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1"/>
              <c:pt idx="0">
                <c:v>Absences - imprévus </c:v>
              </c:pt>
              <c:pt idx="1">
                <c:v>Informer - Relire l'ancien rapport</c:v>
              </c:pt>
              <c:pt idx="2">
                <c:v>Informer - Check de ce qui fonctionne déjà</c:v>
              </c:pt>
              <c:pt idx="3">
                <c:v>Informer - Préformation au VBA</c:v>
              </c:pt>
              <c:pt idx="4">
                <c:v>Analyse - Découpage du travail en plusieurs tâches </c:v>
              </c:pt>
              <c:pt idx="5">
                <c:v>Analyse - Planification</c:v>
              </c:pt>
              <c:pt idx="6">
                <c:v>Analyse - Analyse SWOT</c:v>
              </c:pt>
              <c:pt idx="7">
                <c:v>Conception - Création des tests</c:v>
              </c:pt>
              <c:pt idx="8">
                <c:v>Conception - Organisation &amp; création de la marche à suivre</c:v>
              </c:pt>
              <c:pt idx="9">
                <c:v>Réalisation - Protection du Formulaire </c:v>
              </c:pt>
              <c:pt idx="10">
                <c:v>Réalisation - Ajouter une fonction pour ecrire dans la forme "Qui" </c:v>
              </c:pt>
              <c:pt idx="11">
                <c:v>Réalisation - Création de relation avec un panier d'information</c:v>
              </c:pt>
              <c:pt idx="12">
                <c:v>Réalisation - Créaer des instructions</c:v>
              </c:pt>
              <c:pt idx="13">
                <c:v>Réalisation - Créer un système de note à ajouter sur les instructions</c:v>
              </c:pt>
              <c:pt idx="14">
                <c:v>Réalisation - Créer un .exe pour installer le gabarit dans Visio</c:v>
              </c:pt>
              <c:pt idx="15">
                <c:v>Réalisation - Extraire les données en fichier Excel</c:v>
              </c:pt>
              <c:pt idx="16">
                <c:v>Test - Test du projet</c:v>
              </c:pt>
              <c:pt idx="17">
                <c:v>Evaluation - Evaluer le travail effectué</c:v>
              </c:pt>
              <c:pt idx="18">
                <c:v>Documentation - Journal de travail </c:v>
              </c:pt>
              <c:pt idx="19">
                <c:v>Documentation - Rapport</c:v>
              </c:pt>
            </c:strLit>
          </c:cat>
          <c:val>
            <c:numLit>
              <c:formatCode>General</c:formatCode>
              <c:ptCount val="2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7158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30</v>
      </c>
      <c r="C35" s="166"/>
      <c r="D35" s="166"/>
      <c r="E35" s="107" t="s">
        <v>39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31</v>
      </c>
      <c r="C37" s="167"/>
      <c r="D37" s="167"/>
      <c r="E37" s="109" t="s">
        <v>39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28</v>
      </c>
      <c r="E39" s="140" t="s">
        <v>39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IL99"/>
  <sheetViews>
    <sheetView showGridLines="0" tabSelected="1" topLeftCell="A22" zoomScale="70" zoomScaleNormal="70" zoomScaleSheetLayoutView="43" workbookViewId="0">
      <selection activeCell="C47" sqref="C47:C48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245" width="1.140625" style="3" customWidth="1"/>
    <col min="246" max="246" width="2.7109375" style="3" customWidth="1"/>
    <col min="247" max="16384" width="11.42578125" style="3"/>
  </cols>
  <sheetData>
    <row r="1" spans="1:246" ht="35.1" customHeight="1" x14ac:dyDescent="0.25">
      <c r="B1" s="95"/>
      <c r="C1" s="168" t="s">
        <v>29</v>
      </c>
      <c r="D1" s="168"/>
      <c r="E1" s="16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93">
        <v>1</v>
      </c>
    </row>
    <row r="2" spans="1:24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90"/>
    </row>
    <row r="3" spans="1:246" ht="30" customHeight="1" x14ac:dyDescent="0.25">
      <c r="B3" s="96"/>
      <c r="C3" s="7" t="s">
        <v>0</v>
      </c>
      <c r="D3" s="141"/>
      <c r="E3" s="8" t="s">
        <v>42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90"/>
    </row>
    <row r="4" spans="1:246" ht="30" customHeight="1" x14ac:dyDescent="0.25">
      <c r="B4" s="96"/>
      <c r="C4" s="12" t="s">
        <v>6</v>
      </c>
      <c r="D4" s="142"/>
      <c r="E4" s="13" t="s">
        <v>43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90"/>
    </row>
    <row r="5" spans="1:246" ht="30" customHeight="1" x14ac:dyDescent="0.25">
      <c r="B5" s="96"/>
      <c r="C5" s="12" t="s">
        <v>1</v>
      </c>
      <c r="D5" s="142"/>
      <c r="E5" s="13" t="s">
        <v>44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90"/>
    </row>
    <row r="6" spans="1:246" ht="30" customHeight="1" thickBot="1" x14ac:dyDescent="0.3">
      <c r="B6" s="96"/>
      <c r="C6" s="17" t="s">
        <v>2</v>
      </c>
      <c r="D6" s="143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90"/>
    </row>
    <row r="7" spans="1:246" ht="20.100000000000001" customHeight="1" thickBot="1" x14ac:dyDescent="0.3">
      <c r="B7" s="96"/>
      <c r="C7" s="169"/>
      <c r="D7" s="169"/>
      <c r="E7" s="16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90"/>
    </row>
    <row r="8" spans="1:246" ht="30" customHeight="1" x14ac:dyDescent="0.25">
      <c r="B8" s="96"/>
      <c r="C8" s="7" t="s">
        <v>3</v>
      </c>
      <c r="D8" s="141"/>
      <c r="E8" s="8" t="s">
        <v>45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90"/>
    </row>
    <row r="9" spans="1:246" ht="30" customHeight="1" x14ac:dyDescent="0.25">
      <c r="B9" s="96"/>
      <c r="C9" s="12" t="s">
        <v>16</v>
      </c>
      <c r="D9" s="142"/>
      <c r="E9" s="13" t="s">
        <v>20</v>
      </c>
      <c r="F9" s="14"/>
      <c r="G9" s="173" t="str">
        <f>E96</f>
        <v>0h</v>
      </c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19"/>
      <c r="W9" s="182" t="s">
        <v>21</v>
      </c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73" t="str">
        <f>E98</f>
        <v>0h</v>
      </c>
      <c r="AI9" s="173"/>
      <c r="AJ9" s="173"/>
      <c r="AK9" s="173"/>
      <c r="AL9" s="173"/>
      <c r="AM9" s="173"/>
      <c r="AN9" s="173"/>
      <c r="AO9" s="173"/>
      <c r="AP9" s="173"/>
      <c r="AQ9" s="173"/>
      <c r="AR9" s="173"/>
      <c r="AS9" s="173"/>
      <c r="AT9" s="173"/>
      <c r="AU9" s="173"/>
      <c r="AV9" s="173"/>
      <c r="AW9" s="173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90"/>
    </row>
    <row r="10" spans="1:24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  <c r="CC10" s="184"/>
      <c r="CD10" s="184"/>
      <c r="CE10" s="184"/>
      <c r="CF10" s="184"/>
      <c r="CG10" s="184"/>
      <c r="CH10" s="184"/>
      <c r="CI10" s="184"/>
      <c r="CJ10" s="184"/>
      <c r="CK10" s="184"/>
      <c r="CL10" s="184"/>
      <c r="CM10" s="184"/>
      <c r="CN10" s="184"/>
      <c r="CO10" s="184"/>
      <c r="CP10" s="184"/>
      <c r="CQ10" s="92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183"/>
      <c r="GE10" s="183"/>
      <c r="GF10" s="183"/>
      <c r="GG10" s="183"/>
      <c r="GH10" s="183"/>
      <c r="GI10" s="183"/>
      <c r="GJ10" s="183"/>
      <c r="GK10" s="183"/>
      <c r="GL10" s="183"/>
      <c r="GM10" s="183"/>
      <c r="GN10" s="183"/>
      <c r="GO10" s="183"/>
      <c r="GP10" s="183"/>
      <c r="GQ10" s="183"/>
      <c r="GR10" s="183"/>
      <c r="GS10" s="183"/>
      <c r="GT10" s="183"/>
      <c r="GU10" s="183"/>
      <c r="GV10" s="183"/>
      <c r="GW10" s="183"/>
      <c r="GX10" s="183"/>
      <c r="GY10" s="183"/>
      <c r="GZ10" s="183"/>
      <c r="HA10" s="183"/>
      <c r="HB10" s="183"/>
      <c r="HC10" s="183"/>
      <c r="HD10" s="183"/>
      <c r="HE10" s="183"/>
      <c r="HF10" s="183"/>
      <c r="HG10" s="183"/>
      <c r="HH10" s="183"/>
      <c r="HI10" s="183"/>
      <c r="HJ10" s="183"/>
      <c r="HK10" s="183"/>
      <c r="HL10" s="183"/>
      <c r="HM10" s="183"/>
      <c r="HN10" s="183"/>
      <c r="HO10" s="183"/>
      <c r="HP10" s="183"/>
      <c r="HQ10" s="183"/>
      <c r="HR10" s="183"/>
      <c r="HS10" s="183"/>
      <c r="HT10" s="183"/>
      <c r="HU10" s="183"/>
      <c r="HV10" s="183"/>
      <c r="HW10" s="183"/>
      <c r="HX10" s="183"/>
      <c r="HY10" s="183"/>
      <c r="HZ10" s="183"/>
      <c r="IA10" s="183"/>
      <c r="IB10" s="183"/>
      <c r="IC10" s="183"/>
      <c r="ID10" s="183"/>
      <c r="IE10" s="183"/>
      <c r="IF10" s="183"/>
      <c r="IG10" s="183"/>
      <c r="IH10" s="183"/>
      <c r="II10" s="183"/>
      <c r="IJ10" s="183"/>
      <c r="IK10" s="183"/>
      <c r="IL10" s="90"/>
    </row>
    <row r="11" spans="1:246" ht="20.100000000000001" customHeight="1" x14ac:dyDescent="0.25">
      <c r="B11" s="96"/>
      <c r="C11" s="178"/>
      <c r="D11" s="178"/>
      <c r="E11" s="178"/>
      <c r="F11" s="181" t="s">
        <v>40</v>
      </c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 t="s">
        <v>40</v>
      </c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18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  <c r="DB11" s="181"/>
      <c r="DC11" s="181"/>
      <c r="DD11" s="181"/>
      <c r="DE11" s="181"/>
      <c r="DF11" s="181"/>
      <c r="DG11" s="181"/>
      <c r="DH11" s="181"/>
      <c r="DI11" s="181"/>
      <c r="DJ11" s="181"/>
      <c r="DK11" s="181"/>
      <c r="DL11" s="181"/>
      <c r="DM11" s="181"/>
      <c r="DN11" s="181"/>
      <c r="DO11" s="181"/>
      <c r="DP11" s="181"/>
      <c r="DQ11" s="181"/>
      <c r="DR11" s="181"/>
      <c r="DS11" s="181"/>
      <c r="DT11" s="181"/>
      <c r="DU11" s="181"/>
      <c r="DV11" s="185" t="s">
        <v>40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185"/>
      <c r="GE11" s="185"/>
      <c r="GF11" s="185"/>
      <c r="GG11" s="185"/>
      <c r="GH11" s="185"/>
      <c r="GI11" s="185"/>
      <c r="GJ11" s="185"/>
      <c r="GK11" s="185"/>
      <c r="GL11" s="185"/>
      <c r="GM11" s="185"/>
      <c r="GN11" s="185"/>
      <c r="GO11" s="185"/>
      <c r="GP11" s="185"/>
      <c r="GQ11" s="185"/>
      <c r="GR11" s="185"/>
      <c r="GS11" s="185"/>
      <c r="GT11" s="185"/>
      <c r="GU11" s="185"/>
      <c r="GV11" s="185"/>
      <c r="GW11" s="185"/>
      <c r="GX11" s="185"/>
      <c r="GY11" s="185"/>
      <c r="GZ11" s="185"/>
      <c r="HA11" s="185"/>
      <c r="HB11" s="185"/>
      <c r="HC11" s="185"/>
      <c r="HD11" s="185"/>
      <c r="HE11" s="185"/>
      <c r="HF11" s="185"/>
      <c r="HG11" s="185"/>
      <c r="HH11" s="185"/>
      <c r="HI11" s="185"/>
      <c r="HJ11" s="185"/>
      <c r="HK11" s="185"/>
      <c r="HL11" s="185"/>
      <c r="HM11" s="185"/>
      <c r="HN11" s="185"/>
      <c r="HO11" s="185"/>
      <c r="HP11" s="185"/>
      <c r="HQ11" s="185"/>
      <c r="HR11" s="185"/>
      <c r="HS11" s="185"/>
      <c r="HT11" s="185"/>
      <c r="HU11" s="185"/>
      <c r="HV11" s="185"/>
      <c r="HW11" s="185"/>
      <c r="HX11" s="185"/>
      <c r="HY11" s="185"/>
      <c r="HZ11" s="185"/>
      <c r="IA11" s="185"/>
      <c r="IB11" s="185"/>
      <c r="IC11" s="185"/>
      <c r="ID11" s="185"/>
      <c r="IE11" s="185"/>
      <c r="IF11" s="185"/>
      <c r="IG11" s="185"/>
      <c r="IH11" s="185"/>
      <c r="II11" s="185"/>
      <c r="IJ11" s="185"/>
      <c r="IK11" s="185"/>
      <c r="IL11" s="90"/>
    </row>
    <row r="12" spans="1:246" ht="15.75" customHeight="1" thickBot="1" x14ac:dyDescent="0.3">
      <c r="B12" s="97"/>
      <c r="C12" s="179"/>
      <c r="D12" s="179"/>
      <c r="E12" s="179"/>
      <c r="F12" s="180" t="s">
        <v>41</v>
      </c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180"/>
      <c r="BJ12" s="180"/>
      <c r="BK12" s="180"/>
      <c r="BL12" s="180"/>
      <c r="BM12" s="180"/>
      <c r="BN12" s="180" t="s">
        <v>41</v>
      </c>
      <c r="BO12" s="180"/>
      <c r="BP12" s="180"/>
      <c r="BQ12" s="180"/>
      <c r="BR12" s="180"/>
      <c r="BS12" s="180"/>
      <c r="BT12" s="180"/>
      <c r="BU12" s="180"/>
      <c r="BV12" s="180"/>
      <c r="BW12" s="180"/>
      <c r="BX12" s="180"/>
      <c r="BY12" s="180"/>
      <c r="BZ12" s="180"/>
      <c r="CA12" s="180"/>
      <c r="CB12" s="180"/>
      <c r="CC12" s="180"/>
      <c r="CD12" s="180"/>
      <c r="CE12" s="180"/>
      <c r="CF12" s="180"/>
      <c r="CG12" s="180"/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180"/>
      <c r="DI12" s="180"/>
      <c r="DJ12" s="180"/>
      <c r="DK12" s="180"/>
      <c r="DL12" s="180"/>
      <c r="DM12" s="180"/>
      <c r="DN12" s="180"/>
      <c r="DO12" s="180"/>
      <c r="DP12" s="180"/>
      <c r="DQ12" s="180"/>
      <c r="DR12" s="180"/>
      <c r="DS12" s="180"/>
      <c r="DT12" s="180"/>
      <c r="DU12" s="180"/>
      <c r="DV12" s="186" t="s">
        <v>41</v>
      </c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186"/>
      <c r="GE12" s="186"/>
      <c r="GF12" s="186"/>
      <c r="GG12" s="186"/>
      <c r="GH12" s="186"/>
      <c r="GI12" s="186"/>
      <c r="GJ12" s="186"/>
      <c r="GK12" s="186"/>
      <c r="GL12" s="186"/>
      <c r="GM12" s="186"/>
      <c r="GN12" s="186"/>
      <c r="GO12" s="186"/>
      <c r="GP12" s="186"/>
      <c r="GQ12" s="186"/>
      <c r="GR12" s="186"/>
      <c r="GS12" s="186"/>
      <c r="GT12" s="186"/>
      <c r="GU12" s="186"/>
      <c r="GV12" s="186"/>
      <c r="GW12" s="186"/>
      <c r="GX12" s="186"/>
      <c r="GY12" s="186"/>
      <c r="GZ12" s="186"/>
      <c r="HA12" s="186"/>
      <c r="HB12" s="186"/>
      <c r="HC12" s="186"/>
      <c r="HD12" s="186"/>
      <c r="HE12" s="186"/>
      <c r="HF12" s="186"/>
      <c r="HG12" s="186"/>
      <c r="HH12" s="186"/>
      <c r="HI12" s="186"/>
      <c r="HJ12" s="186"/>
      <c r="HK12" s="186"/>
      <c r="HL12" s="186"/>
      <c r="HM12" s="186"/>
      <c r="HN12" s="186"/>
      <c r="HO12" s="186"/>
      <c r="HP12" s="186"/>
      <c r="HQ12" s="186"/>
      <c r="HR12" s="186"/>
      <c r="HS12" s="186"/>
      <c r="HT12" s="186"/>
      <c r="HU12" s="186"/>
      <c r="HV12" s="186"/>
      <c r="HW12" s="186"/>
      <c r="HX12" s="186"/>
      <c r="HY12" s="186"/>
      <c r="HZ12" s="186"/>
      <c r="IA12" s="186"/>
      <c r="IB12" s="186"/>
      <c r="IC12" s="186"/>
      <c r="ID12" s="186"/>
      <c r="IE12" s="186"/>
      <c r="IF12" s="186"/>
      <c r="IG12" s="186"/>
      <c r="IH12" s="186"/>
      <c r="II12" s="186"/>
      <c r="IJ12" s="186"/>
      <c r="IK12" s="186"/>
      <c r="IL12" s="90"/>
    </row>
    <row r="13" spans="1:246" ht="42.75" customHeight="1" thickBot="1" x14ac:dyDescent="0.3">
      <c r="B13" s="96"/>
      <c r="C13" s="174" t="s">
        <v>7</v>
      </c>
      <c r="D13" s="145"/>
      <c r="E13" s="176" t="s">
        <v>37</v>
      </c>
      <c r="F13" s="187" t="s">
        <v>8</v>
      </c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  <c r="BK13" s="188"/>
      <c r="BL13" s="188"/>
      <c r="BM13" s="189"/>
      <c r="BN13" s="187" t="s">
        <v>26</v>
      </c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9"/>
      <c r="DV13" s="187" t="s">
        <v>17</v>
      </c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  <c r="FA13" s="188"/>
      <c r="FB13" s="188"/>
      <c r="FC13" s="188"/>
      <c r="FD13" s="188"/>
      <c r="FE13" s="188"/>
      <c r="FF13" s="188"/>
      <c r="FG13" s="188"/>
      <c r="FH13" s="188"/>
      <c r="FI13" s="188"/>
      <c r="FJ13" s="188"/>
      <c r="FK13" s="188"/>
      <c r="FL13" s="188"/>
      <c r="FM13" s="188"/>
      <c r="FN13" s="188"/>
      <c r="FO13" s="188"/>
      <c r="FP13" s="188"/>
      <c r="FQ13" s="188"/>
      <c r="FR13" s="188"/>
      <c r="FS13" s="188"/>
      <c r="FT13" s="188"/>
      <c r="FU13" s="188"/>
      <c r="FV13" s="188"/>
      <c r="FW13" s="188"/>
      <c r="FX13" s="188"/>
      <c r="FY13" s="188"/>
      <c r="FZ13" s="188"/>
      <c r="GA13" s="188"/>
      <c r="GB13" s="188"/>
      <c r="GC13" s="189"/>
      <c r="GD13" s="187" t="s">
        <v>12</v>
      </c>
      <c r="GE13" s="188"/>
      <c r="GF13" s="188"/>
      <c r="GG13" s="188"/>
      <c r="GH13" s="188"/>
      <c r="GI13" s="188"/>
      <c r="GJ13" s="188"/>
      <c r="GK13" s="188"/>
      <c r="GL13" s="188"/>
      <c r="GM13" s="188"/>
      <c r="GN13" s="188"/>
      <c r="GO13" s="188"/>
      <c r="GP13" s="188"/>
      <c r="GQ13" s="188"/>
      <c r="GR13" s="188"/>
      <c r="GS13" s="188"/>
      <c r="GT13" s="188"/>
      <c r="GU13" s="188"/>
      <c r="GV13" s="188"/>
      <c r="GW13" s="188"/>
      <c r="GX13" s="188"/>
      <c r="GY13" s="188"/>
      <c r="GZ13" s="188"/>
      <c r="HA13" s="188"/>
      <c r="HB13" s="188"/>
      <c r="HC13" s="188"/>
      <c r="HD13" s="188"/>
      <c r="HE13" s="188"/>
      <c r="HF13" s="188"/>
      <c r="HG13" s="188"/>
      <c r="HH13" s="188"/>
      <c r="HI13" s="188"/>
      <c r="HJ13" s="188"/>
      <c r="HK13" s="188"/>
      <c r="HL13" s="188"/>
      <c r="HM13" s="188"/>
      <c r="HN13" s="188"/>
      <c r="HO13" s="188"/>
      <c r="HP13" s="188"/>
      <c r="HQ13" s="188"/>
      <c r="HR13" s="188"/>
      <c r="HS13" s="188"/>
      <c r="HT13" s="188"/>
      <c r="HU13" s="188"/>
      <c r="HV13" s="188"/>
      <c r="HW13" s="188"/>
      <c r="HX13" s="188"/>
      <c r="HY13" s="188"/>
      <c r="HZ13" s="188"/>
      <c r="IA13" s="188"/>
      <c r="IB13" s="188"/>
      <c r="IC13" s="188"/>
      <c r="ID13" s="188"/>
      <c r="IE13" s="188"/>
      <c r="IF13" s="188"/>
      <c r="IG13" s="188"/>
      <c r="IH13" s="188"/>
      <c r="II13" s="188"/>
      <c r="IJ13" s="188"/>
      <c r="IK13" s="189"/>
      <c r="IL13" s="90"/>
    </row>
    <row r="14" spans="1:246" ht="12.75" customHeight="1" thickBot="1" x14ac:dyDescent="0.35">
      <c r="B14" s="96"/>
      <c r="C14" s="175"/>
      <c r="D14" s="146"/>
      <c r="E14" s="177"/>
      <c r="F14" s="103"/>
      <c r="G14" s="104"/>
      <c r="H14" s="104"/>
      <c r="I14" s="104"/>
      <c r="J14" s="190" t="s">
        <v>32</v>
      </c>
      <c r="K14" s="190"/>
      <c r="L14" s="190"/>
      <c r="M14" s="190"/>
      <c r="N14" s="104"/>
      <c r="O14" s="104"/>
      <c r="P14" s="191" t="s">
        <v>22</v>
      </c>
      <c r="Q14" s="191"/>
      <c r="R14" s="191"/>
      <c r="S14" s="191"/>
      <c r="T14" s="129"/>
      <c r="U14" s="129"/>
      <c r="V14" s="190" t="s">
        <v>33</v>
      </c>
      <c r="W14" s="190"/>
      <c r="X14" s="190"/>
      <c r="Y14" s="190"/>
      <c r="Z14" s="104"/>
      <c r="AA14" s="104"/>
      <c r="AB14" s="191" t="s">
        <v>23</v>
      </c>
      <c r="AC14" s="191"/>
      <c r="AD14" s="191"/>
      <c r="AE14" s="191"/>
      <c r="AF14" s="129"/>
      <c r="AG14" s="129"/>
      <c r="AH14" s="190" t="s">
        <v>34</v>
      </c>
      <c r="AI14" s="190"/>
      <c r="AJ14" s="190"/>
      <c r="AK14" s="190"/>
      <c r="AL14" s="104"/>
      <c r="AM14" s="104"/>
      <c r="AN14" s="191" t="s">
        <v>24</v>
      </c>
      <c r="AO14" s="191"/>
      <c r="AP14" s="191"/>
      <c r="AQ14" s="191"/>
      <c r="AR14" s="129"/>
      <c r="AS14" s="129"/>
      <c r="AT14" s="190" t="s">
        <v>35</v>
      </c>
      <c r="AU14" s="190"/>
      <c r="AV14" s="190"/>
      <c r="AW14" s="190"/>
      <c r="AX14" s="104"/>
      <c r="AY14" s="104"/>
      <c r="AZ14" s="191" t="s">
        <v>25</v>
      </c>
      <c r="BA14" s="191"/>
      <c r="BB14" s="191"/>
      <c r="BC14" s="191"/>
      <c r="BD14" s="129"/>
      <c r="BE14" s="129"/>
      <c r="BF14" s="190" t="s">
        <v>36</v>
      </c>
      <c r="BG14" s="190"/>
      <c r="BH14" s="190"/>
      <c r="BI14" s="190"/>
      <c r="BJ14" s="104"/>
      <c r="BK14" s="104"/>
      <c r="BL14" s="104"/>
      <c r="BM14" s="105"/>
      <c r="BN14" s="103"/>
      <c r="BO14" s="104"/>
      <c r="BP14" s="104"/>
      <c r="BQ14" s="104"/>
      <c r="BR14" s="190" t="s">
        <v>32</v>
      </c>
      <c r="BS14" s="190"/>
      <c r="BT14" s="190"/>
      <c r="BU14" s="190"/>
      <c r="BV14" s="104"/>
      <c r="BW14" s="104"/>
      <c r="BX14" s="191" t="s">
        <v>22</v>
      </c>
      <c r="BY14" s="191"/>
      <c r="BZ14" s="191"/>
      <c r="CA14" s="191"/>
      <c r="CB14" s="129"/>
      <c r="CC14" s="129"/>
      <c r="CD14" s="190" t="s">
        <v>33</v>
      </c>
      <c r="CE14" s="190"/>
      <c r="CF14" s="190"/>
      <c r="CG14" s="190"/>
      <c r="CH14" s="104"/>
      <c r="CI14" s="104"/>
      <c r="CJ14" s="191" t="s">
        <v>23</v>
      </c>
      <c r="CK14" s="191"/>
      <c r="CL14" s="191"/>
      <c r="CM14" s="191"/>
      <c r="CN14" s="129"/>
      <c r="CO14" s="129"/>
      <c r="CP14" s="190" t="s">
        <v>34</v>
      </c>
      <c r="CQ14" s="190"/>
      <c r="CR14" s="190"/>
      <c r="CS14" s="190"/>
      <c r="CT14" s="104"/>
      <c r="CU14" s="104"/>
      <c r="CV14" s="191" t="s">
        <v>24</v>
      </c>
      <c r="CW14" s="191"/>
      <c r="CX14" s="191"/>
      <c r="CY14" s="191"/>
      <c r="CZ14" s="129"/>
      <c r="DA14" s="129"/>
      <c r="DB14" s="190" t="s">
        <v>35</v>
      </c>
      <c r="DC14" s="190"/>
      <c r="DD14" s="190"/>
      <c r="DE14" s="190"/>
      <c r="DF14" s="104"/>
      <c r="DG14" s="104"/>
      <c r="DH14" s="191" t="s">
        <v>25</v>
      </c>
      <c r="DI14" s="191"/>
      <c r="DJ14" s="191"/>
      <c r="DK14" s="191"/>
      <c r="DL14" s="129"/>
      <c r="DM14" s="129"/>
      <c r="DN14" s="190" t="s">
        <v>36</v>
      </c>
      <c r="DO14" s="190"/>
      <c r="DP14" s="190"/>
      <c r="DQ14" s="190"/>
      <c r="DR14" s="104"/>
      <c r="DS14" s="104"/>
      <c r="DT14" s="104"/>
      <c r="DU14" s="105"/>
      <c r="DV14" s="103"/>
      <c r="DW14" s="104"/>
      <c r="DX14" s="104"/>
      <c r="DY14" s="104"/>
      <c r="DZ14" s="190" t="s">
        <v>32</v>
      </c>
      <c r="EA14" s="190"/>
      <c r="EB14" s="190"/>
      <c r="EC14" s="190"/>
      <c r="ED14" s="104"/>
      <c r="EE14" s="104"/>
      <c r="EF14" s="191" t="s">
        <v>22</v>
      </c>
      <c r="EG14" s="191"/>
      <c r="EH14" s="191"/>
      <c r="EI14" s="191"/>
      <c r="EJ14" s="129"/>
      <c r="EK14" s="129"/>
      <c r="EL14" s="190" t="s">
        <v>33</v>
      </c>
      <c r="EM14" s="190"/>
      <c r="EN14" s="190"/>
      <c r="EO14" s="190"/>
      <c r="EP14" s="104"/>
      <c r="EQ14" s="104"/>
      <c r="ER14" s="191" t="s">
        <v>23</v>
      </c>
      <c r="ES14" s="191"/>
      <c r="ET14" s="191"/>
      <c r="EU14" s="191"/>
      <c r="EV14" s="129"/>
      <c r="EW14" s="129"/>
      <c r="EX14" s="190" t="s">
        <v>34</v>
      </c>
      <c r="EY14" s="190"/>
      <c r="EZ14" s="190"/>
      <c r="FA14" s="190"/>
      <c r="FB14" s="104"/>
      <c r="FC14" s="104"/>
      <c r="FD14" s="191" t="s">
        <v>24</v>
      </c>
      <c r="FE14" s="191"/>
      <c r="FF14" s="191"/>
      <c r="FG14" s="191"/>
      <c r="FH14" s="129"/>
      <c r="FI14" s="129"/>
      <c r="FJ14" s="190" t="s">
        <v>35</v>
      </c>
      <c r="FK14" s="190"/>
      <c r="FL14" s="190"/>
      <c r="FM14" s="190"/>
      <c r="FN14" s="104"/>
      <c r="FO14" s="104"/>
      <c r="FP14" s="191" t="s">
        <v>25</v>
      </c>
      <c r="FQ14" s="191"/>
      <c r="FR14" s="191"/>
      <c r="FS14" s="191"/>
      <c r="FT14" s="129"/>
      <c r="FU14" s="129"/>
      <c r="FV14" s="190" t="s">
        <v>36</v>
      </c>
      <c r="FW14" s="190"/>
      <c r="FX14" s="190"/>
      <c r="FY14" s="190"/>
      <c r="FZ14" s="104"/>
      <c r="GA14" s="104"/>
      <c r="GB14" s="104"/>
      <c r="GC14" s="105"/>
      <c r="GD14" s="103"/>
      <c r="GE14" s="104"/>
      <c r="GF14" s="104"/>
      <c r="GG14" s="104"/>
      <c r="GH14" s="190" t="s">
        <v>32</v>
      </c>
      <c r="GI14" s="190"/>
      <c r="GJ14" s="190"/>
      <c r="GK14" s="190"/>
      <c r="GL14" s="104"/>
      <c r="GM14" s="104"/>
      <c r="GN14" s="191" t="s">
        <v>22</v>
      </c>
      <c r="GO14" s="191"/>
      <c r="GP14" s="191"/>
      <c r="GQ14" s="191"/>
      <c r="GR14" s="129"/>
      <c r="GS14" s="129"/>
      <c r="GT14" s="190" t="s">
        <v>33</v>
      </c>
      <c r="GU14" s="190"/>
      <c r="GV14" s="190"/>
      <c r="GW14" s="190"/>
      <c r="GX14" s="104"/>
      <c r="GY14" s="104"/>
      <c r="GZ14" s="191" t="s">
        <v>23</v>
      </c>
      <c r="HA14" s="191"/>
      <c r="HB14" s="191"/>
      <c r="HC14" s="191"/>
      <c r="HD14" s="129"/>
      <c r="HE14" s="129"/>
      <c r="HF14" s="190" t="s">
        <v>34</v>
      </c>
      <c r="HG14" s="190"/>
      <c r="HH14" s="190"/>
      <c r="HI14" s="190"/>
      <c r="HJ14" s="104"/>
      <c r="HK14" s="104"/>
      <c r="HL14" s="191" t="s">
        <v>24</v>
      </c>
      <c r="HM14" s="191"/>
      <c r="HN14" s="191"/>
      <c r="HO14" s="191"/>
      <c r="HP14" s="129"/>
      <c r="HQ14" s="129"/>
      <c r="HR14" s="190" t="s">
        <v>35</v>
      </c>
      <c r="HS14" s="190"/>
      <c r="HT14" s="190"/>
      <c r="HU14" s="190"/>
      <c r="HV14" s="104"/>
      <c r="HW14" s="104"/>
      <c r="HX14" s="191" t="s">
        <v>25</v>
      </c>
      <c r="HY14" s="191"/>
      <c r="HZ14" s="191"/>
      <c r="IA14" s="191"/>
      <c r="IB14" s="129"/>
      <c r="IC14" s="129"/>
      <c r="ID14" s="190" t="s">
        <v>36</v>
      </c>
      <c r="IE14" s="190"/>
      <c r="IF14" s="190"/>
      <c r="IG14" s="190"/>
      <c r="IH14" s="104"/>
      <c r="II14" s="104"/>
      <c r="IJ14" s="104"/>
      <c r="IK14" s="105"/>
      <c r="IL14" s="90"/>
    </row>
    <row r="15" spans="1:246" ht="20.100000000000001" customHeight="1" x14ac:dyDescent="0.25">
      <c r="A15" s="100" t="s">
        <v>18</v>
      </c>
      <c r="B15" s="63" t="str">
        <f>IF(LEN(C15)=0,"",C15)</f>
        <v xml:space="preserve">Absences - imprévus </v>
      </c>
      <c r="C15" s="170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90"/>
    </row>
    <row r="16" spans="1:246" ht="20.100000000000001" customHeight="1" x14ac:dyDescent="0.25">
      <c r="A16" s="100" t="s">
        <v>19</v>
      </c>
      <c r="B16" s="63" t="str">
        <f>IF(LEN(C17)=0,"",C17)</f>
        <v>Informer - Relire l'ancien rapport</v>
      </c>
      <c r="C16" s="171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90"/>
    </row>
    <row r="17" spans="1:246" ht="20.100000000000001" customHeight="1" x14ac:dyDescent="0.25">
      <c r="A17" s="100" t="s">
        <v>18</v>
      </c>
      <c r="B17" s="63" t="str">
        <f>IF(LEN(C19)=0,"",C19)</f>
        <v>Informer - Check de ce qui fonctionne déjà</v>
      </c>
      <c r="C17" s="170" t="s">
        <v>46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90"/>
    </row>
    <row r="18" spans="1:246" ht="20.100000000000001" customHeight="1" x14ac:dyDescent="0.3">
      <c r="A18" s="100" t="s">
        <v>19</v>
      </c>
      <c r="B18" s="63" t="str">
        <f>IF(LEN(C21)=0,"",C21)</f>
        <v>Informer - Préformation au VBA</v>
      </c>
      <c r="C18" s="171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90"/>
    </row>
    <row r="19" spans="1:246" ht="20.100000000000001" customHeight="1" x14ac:dyDescent="0.25">
      <c r="A19" s="100" t="s">
        <v>18</v>
      </c>
      <c r="B19" s="63" t="str">
        <f>IF(LEN(C23)=0,"",C23)</f>
        <v xml:space="preserve">Analyse - Découpage du travail en plusieurs tâches </v>
      </c>
      <c r="C19" s="170" t="s">
        <v>47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90"/>
    </row>
    <row r="20" spans="1:246" ht="20.100000000000001" customHeight="1" x14ac:dyDescent="0.25">
      <c r="A20" s="100" t="s">
        <v>19</v>
      </c>
      <c r="B20" s="63" t="str">
        <f>IF(LEN(C25)=0,"",C25)</f>
        <v>Analyse - Planification</v>
      </c>
      <c r="C20" s="172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90"/>
    </row>
    <row r="21" spans="1:246" ht="20.100000000000001" customHeight="1" x14ac:dyDescent="0.25">
      <c r="A21" s="100" t="s">
        <v>18</v>
      </c>
      <c r="B21" s="63" t="str">
        <f>IF(LEN(C27)=0,"",C27)</f>
        <v>Analyse - Analyse SWOT</v>
      </c>
      <c r="C21" s="170" t="s">
        <v>50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90"/>
    </row>
    <row r="22" spans="1:246" ht="20.100000000000001" customHeight="1" x14ac:dyDescent="0.25">
      <c r="A22" s="100" t="s">
        <v>19</v>
      </c>
      <c r="B22" s="63" t="str">
        <f>IF(LEN(C29)=0,"",C29)</f>
        <v>Conception - Création des tests</v>
      </c>
      <c r="C22" s="172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90"/>
    </row>
    <row r="23" spans="1:246" ht="20.100000000000001" customHeight="1" x14ac:dyDescent="0.25">
      <c r="A23" s="100" t="s">
        <v>18</v>
      </c>
      <c r="B23" s="63" t="str">
        <f>IF(LEN(C31)=0,"",C31)</f>
        <v>Conception - Organisation &amp; création de la marche à suivre</v>
      </c>
      <c r="C23" s="170" t="s">
        <v>51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90"/>
    </row>
    <row r="24" spans="1:246" ht="20.100000000000001" customHeight="1" x14ac:dyDescent="0.25">
      <c r="A24" s="100" t="s">
        <v>19</v>
      </c>
      <c r="B24" s="63" t="str">
        <f>IF(LEN(C33)=0,"",C33)</f>
        <v xml:space="preserve">Réalisation - Protection du Formulaire </v>
      </c>
      <c r="C24" s="172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90"/>
    </row>
    <row r="25" spans="1:246" ht="20.100000000000001" customHeight="1" x14ac:dyDescent="0.25">
      <c r="A25" s="100" t="s">
        <v>18</v>
      </c>
      <c r="B25" s="63" t="str">
        <f>IF(LEN(C35)=0,"",C35)</f>
        <v xml:space="preserve">Réalisation - Ajouter une fonction pour ecrire dans la forme "Qui" </v>
      </c>
      <c r="C25" s="170" t="s">
        <v>48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90"/>
    </row>
    <row r="26" spans="1:246" ht="20.100000000000001" customHeight="1" x14ac:dyDescent="0.3">
      <c r="A26" s="100" t="s">
        <v>19</v>
      </c>
      <c r="B26" s="63" t="str">
        <f>IF(LEN(C37)=0,"",C37)</f>
        <v>Réalisation - Création de relation avec un panier d'information</v>
      </c>
      <c r="C26" s="172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90"/>
    </row>
    <row r="27" spans="1:246" ht="20.100000000000001" customHeight="1" x14ac:dyDescent="0.25">
      <c r="A27" s="100" t="s">
        <v>18</v>
      </c>
      <c r="B27" s="63" t="str">
        <f>IF(LEN(C39)=0,"",C39)</f>
        <v>Réalisation - Créaer des instructions</v>
      </c>
      <c r="C27" s="170" t="s">
        <v>49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90"/>
    </row>
    <row r="28" spans="1:246" ht="20.100000000000001" customHeight="1" x14ac:dyDescent="0.3">
      <c r="A28" s="100" t="s">
        <v>19</v>
      </c>
      <c r="B28" s="63" t="str">
        <f>IF(LEN(C41)=0,"",C41)</f>
        <v>Réalisation - Créer un système de note à ajouter sur les instructions</v>
      </c>
      <c r="C28" s="172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90"/>
    </row>
    <row r="29" spans="1:246" ht="20.100000000000001" customHeight="1" x14ac:dyDescent="0.25">
      <c r="A29" s="100" t="s">
        <v>18</v>
      </c>
      <c r="B29" s="63" t="str">
        <f>IF(LEN(C43)=0,"",C43)</f>
        <v>Réalisation - Créer un .exe pour installer le gabarit dans Visio</v>
      </c>
      <c r="C29" s="170" t="s">
        <v>52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90"/>
    </row>
    <row r="30" spans="1:246" ht="20.100000000000001" customHeight="1" x14ac:dyDescent="0.3">
      <c r="A30" s="100" t="s">
        <v>19</v>
      </c>
      <c r="B30" s="63" t="str">
        <f>IF(LEN(C45)=0,"",C45)</f>
        <v>Réalisation - Extraire les données en fichier Excel</v>
      </c>
      <c r="C30" s="171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90"/>
    </row>
    <row r="31" spans="1:246" ht="20.100000000000001" customHeight="1" x14ac:dyDescent="0.25">
      <c r="A31" s="100" t="s">
        <v>18</v>
      </c>
      <c r="B31" s="63" t="str">
        <f>IF(LEN(C47)=0,"",C47)</f>
        <v>Test - Test du projet</v>
      </c>
      <c r="C31" s="170" t="s">
        <v>53</v>
      </c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90"/>
    </row>
    <row r="32" spans="1:246" ht="20.100000000000001" customHeight="1" x14ac:dyDescent="0.3">
      <c r="A32" s="100" t="s">
        <v>19</v>
      </c>
      <c r="B32" s="63" t="str">
        <f>IF(LEN(C49)=0,"",C49)</f>
        <v>Evaluation - Evaluer le travail effectué</v>
      </c>
      <c r="C32" s="171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90"/>
    </row>
    <row r="33" spans="1:246" ht="20.100000000000001" customHeight="1" x14ac:dyDescent="0.25">
      <c r="A33" s="100" t="s">
        <v>18</v>
      </c>
      <c r="B33" s="63" t="str">
        <f>IF(LEN(C51)=0,"",C51)</f>
        <v xml:space="preserve">Documentation - Journal de travail </v>
      </c>
      <c r="C33" s="170" t="s">
        <v>54</v>
      </c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90"/>
    </row>
    <row r="34" spans="1:246" ht="20.100000000000001" customHeight="1" x14ac:dyDescent="0.3">
      <c r="A34" s="100" t="s">
        <v>19</v>
      </c>
      <c r="B34" s="63" t="str">
        <f>IF(LEN(C53)=0,"",C53)</f>
        <v>Documentation - Rapport</v>
      </c>
      <c r="C34" s="171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90"/>
    </row>
    <row r="35" spans="1:246" ht="20.100000000000001" customHeight="1" x14ac:dyDescent="0.25">
      <c r="A35" s="100" t="s">
        <v>18</v>
      </c>
      <c r="B35" s="63" t="str">
        <f>IF(LEN(C55)=0,"",C55)</f>
        <v/>
      </c>
      <c r="C35" s="170" t="s">
        <v>64</v>
      </c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90"/>
    </row>
    <row r="36" spans="1:246" ht="20.100000000000001" customHeight="1" x14ac:dyDescent="0.25">
      <c r="A36" s="100" t="s">
        <v>19</v>
      </c>
      <c r="B36" s="63" t="str">
        <f>IF(LEN(C57)=0,"",C57)</f>
        <v/>
      </c>
      <c r="C36" s="172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90"/>
    </row>
    <row r="37" spans="1:246" ht="20.100000000000001" customHeight="1" x14ac:dyDescent="0.25">
      <c r="A37" s="100" t="s">
        <v>18</v>
      </c>
      <c r="B37" s="63" t="str">
        <f>IF(LEN(C59)=0,"",C59)</f>
        <v/>
      </c>
      <c r="C37" s="170" t="s">
        <v>55</v>
      </c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90"/>
    </row>
    <row r="38" spans="1:246" ht="20.100000000000001" customHeight="1" x14ac:dyDescent="0.3">
      <c r="A38" s="100" t="s">
        <v>19</v>
      </c>
      <c r="B38" s="63" t="str">
        <f>IF(LEN(C61)=0,"",C61)</f>
        <v/>
      </c>
      <c r="C38" s="172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90"/>
    </row>
    <row r="39" spans="1:246" ht="20.100000000000001" customHeight="1" x14ac:dyDescent="0.25">
      <c r="A39" s="100" t="s">
        <v>18</v>
      </c>
      <c r="B39" s="63" t="str">
        <f>IF(LEN(C63)=0,"",C63)</f>
        <v/>
      </c>
      <c r="C39" s="170" t="s">
        <v>56</v>
      </c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90"/>
    </row>
    <row r="40" spans="1:246" ht="20.100000000000001" customHeight="1" x14ac:dyDescent="0.25">
      <c r="A40" s="100" t="s">
        <v>19</v>
      </c>
      <c r="B40" s="63" t="str">
        <f>IF(LEN(C65)=0,"",C65)</f>
        <v/>
      </c>
      <c r="C40" s="172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90"/>
    </row>
    <row r="41" spans="1:246" ht="20.100000000000001" customHeight="1" x14ac:dyDescent="0.25">
      <c r="A41" s="100" t="s">
        <v>18</v>
      </c>
      <c r="B41" s="63" t="str">
        <f>IF(LEN(C67)=0,"",C67)</f>
        <v/>
      </c>
      <c r="C41" s="170" t="s">
        <v>57</v>
      </c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90"/>
    </row>
    <row r="42" spans="1:246" ht="20.100000000000001" customHeight="1" x14ac:dyDescent="0.3">
      <c r="A42" s="100" t="s">
        <v>19</v>
      </c>
      <c r="B42" s="63" t="str">
        <f>IF(LEN(C69)=0,"",C69)</f>
        <v/>
      </c>
      <c r="C42" s="172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90"/>
    </row>
    <row r="43" spans="1:246" ht="20.100000000000001" customHeight="1" x14ac:dyDescent="0.25">
      <c r="A43" s="100" t="s">
        <v>18</v>
      </c>
      <c r="B43" s="63" t="str">
        <f>IF(LEN(C71)=0,"",C71)</f>
        <v/>
      </c>
      <c r="C43" s="170" t="s">
        <v>58</v>
      </c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90"/>
    </row>
    <row r="44" spans="1:246" ht="20.100000000000001" customHeight="1" x14ac:dyDescent="0.3">
      <c r="A44" s="100" t="s">
        <v>19</v>
      </c>
      <c r="B44" s="63" t="str">
        <f>IF(LEN(C73)=0,"",C73)</f>
        <v/>
      </c>
      <c r="C44" s="171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90"/>
    </row>
    <row r="45" spans="1:246" ht="20.100000000000001" customHeight="1" x14ac:dyDescent="0.25">
      <c r="A45" s="100" t="s">
        <v>18</v>
      </c>
      <c r="B45" s="63" t="str">
        <f>IF(LEN(C75)=0,"",C75)</f>
        <v/>
      </c>
      <c r="C45" s="170" t="s">
        <v>59</v>
      </c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90"/>
    </row>
    <row r="46" spans="1:246" ht="20.100000000000001" customHeight="1" x14ac:dyDescent="0.25">
      <c r="A46" s="100" t="s">
        <v>19</v>
      </c>
      <c r="B46" s="63" t="str">
        <f>IF(LEN(C77)=0,"",C77)</f>
        <v/>
      </c>
      <c r="C46" s="171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90"/>
    </row>
    <row r="47" spans="1:246" ht="20.100000000000001" customHeight="1" x14ac:dyDescent="0.25">
      <c r="A47" s="100" t="s">
        <v>18</v>
      </c>
      <c r="B47" s="63" t="str">
        <f>IF(LEN(C79)=0,"",C79)</f>
        <v/>
      </c>
      <c r="C47" s="170" t="s">
        <v>60</v>
      </c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90"/>
    </row>
    <row r="48" spans="1:246" ht="20.100000000000001" customHeight="1" x14ac:dyDescent="0.3">
      <c r="A48" s="100" t="s">
        <v>19</v>
      </c>
      <c r="B48" s="63" t="str">
        <f>IF(LEN(C81)=0,"",C81)</f>
        <v/>
      </c>
      <c r="C48" s="172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90"/>
    </row>
    <row r="49" spans="1:246" ht="20.100000000000001" customHeight="1" x14ac:dyDescent="0.25">
      <c r="A49" s="100" t="s">
        <v>18</v>
      </c>
      <c r="B49" s="63" t="str">
        <f>IF(LEN(C83)=0,"",C83)</f>
        <v/>
      </c>
      <c r="C49" s="170" t="s">
        <v>61</v>
      </c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90"/>
    </row>
    <row r="50" spans="1:246" ht="20.100000000000001" customHeight="1" x14ac:dyDescent="0.3">
      <c r="A50" s="100" t="s">
        <v>19</v>
      </c>
      <c r="B50" s="63" t="str">
        <f>IF(LEN(C85)=0,"",C85)</f>
        <v/>
      </c>
      <c r="C50" s="171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90"/>
    </row>
    <row r="51" spans="1:246" ht="20.100000000000001" customHeight="1" x14ac:dyDescent="0.25">
      <c r="A51" s="100" t="s">
        <v>18</v>
      </c>
      <c r="B51" s="63" t="str">
        <f>IF(LEN(C87)=0,"",C87)</f>
        <v/>
      </c>
      <c r="C51" s="170" t="s">
        <v>62</v>
      </c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90"/>
    </row>
    <row r="52" spans="1:246" ht="20.100000000000001" customHeight="1" x14ac:dyDescent="0.25">
      <c r="A52" s="100" t="s">
        <v>19</v>
      </c>
      <c r="B52" s="63" t="str">
        <f>IF(LEN(C89)=0,"",C89)</f>
        <v/>
      </c>
      <c r="C52" s="171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90"/>
    </row>
    <row r="53" spans="1:246" ht="20.100000000000001" customHeight="1" x14ac:dyDescent="0.25">
      <c r="A53" s="100" t="s">
        <v>18</v>
      </c>
      <c r="B53" s="63" t="str">
        <f>IF(LEN(C91)=0,"",C91)</f>
        <v/>
      </c>
      <c r="C53" s="170" t="s">
        <v>63</v>
      </c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90"/>
    </row>
    <row r="54" spans="1:246" ht="20.100000000000001" customHeight="1" x14ac:dyDescent="0.3">
      <c r="A54" s="100" t="s">
        <v>19</v>
      </c>
      <c r="B54" s="63" t="str">
        <f>IF(LEN(C93)=0,"",C93)</f>
        <v/>
      </c>
      <c r="C54" s="172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90"/>
    </row>
    <row r="55" spans="1:246" ht="20.100000000000001" customHeight="1" x14ac:dyDescent="0.25">
      <c r="A55" s="100" t="s">
        <v>18</v>
      </c>
      <c r="B55" s="63"/>
      <c r="C55" s="170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90"/>
    </row>
    <row r="56" spans="1:246" ht="20.100000000000001" customHeight="1" x14ac:dyDescent="0.25">
      <c r="A56" s="100" t="s">
        <v>19</v>
      </c>
      <c r="B56" s="63"/>
      <c r="C56" s="172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90"/>
    </row>
    <row r="57" spans="1:246" ht="20.100000000000001" customHeight="1" x14ac:dyDescent="0.25">
      <c r="A57" s="100" t="s">
        <v>18</v>
      </c>
      <c r="B57" s="63"/>
      <c r="C57" s="170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90"/>
    </row>
    <row r="58" spans="1:246" ht="20.100000000000001" customHeight="1" x14ac:dyDescent="0.3">
      <c r="A58" s="100" t="s">
        <v>19</v>
      </c>
      <c r="B58" s="63"/>
      <c r="C58" s="171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90"/>
    </row>
    <row r="59" spans="1:246" ht="20.100000000000001" customHeight="1" x14ac:dyDescent="0.25">
      <c r="A59" s="100" t="s">
        <v>18</v>
      </c>
      <c r="B59" s="63"/>
      <c r="C59" s="170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90"/>
    </row>
    <row r="60" spans="1:246" ht="20.100000000000001" customHeight="1" x14ac:dyDescent="0.3">
      <c r="A60" s="100" t="s">
        <v>19</v>
      </c>
      <c r="B60" s="63"/>
      <c r="C60" s="171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90"/>
    </row>
    <row r="61" spans="1:246" ht="20.100000000000001" customHeight="1" x14ac:dyDescent="0.25">
      <c r="A61" s="100" t="s">
        <v>18</v>
      </c>
      <c r="B61" s="63"/>
      <c r="C61" s="170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90"/>
    </row>
    <row r="62" spans="1:246" ht="20.100000000000001" customHeight="1" x14ac:dyDescent="0.25">
      <c r="A62" s="100" t="s">
        <v>19</v>
      </c>
      <c r="B62" s="63"/>
      <c r="C62" s="172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90"/>
    </row>
    <row r="63" spans="1:246" ht="20.100000000000001" customHeight="1" x14ac:dyDescent="0.25">
      <c r="A63" s="100" t="s">
        <v>18</v>
      </c>
      <c r="B63" s="63"/>
      <c r="C63" s="170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90"/>
    </row>
    <row r="64" spans="1:246" ht="20.100000000000001" customHeight="1" x14ac:dyDescent="0.3">
      <c r="A64" s="100" t="s">
        <v>19</v>
      </c>
      <c r="B64" s="63"/>
      <c r="C64" s="171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90"/>
    </row>
    <row r="65" spans="1:246" ht="20.100000000000001" customHeight="1" x14ac:dyDescent="0.25">
      <c r="A65" s="100" t="s">
        <v>18</v>
      </c>
      <c r="B65" s="63"/>
      <c r="C65" s="170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90"/>
    </row>
    <row r="66" spans="1:246" ht="20.100000000000001" customHeight="1" x14ac:dyDescent="0.3">
      <c r="A66" s="100" t="s">
        <v>19</v>
      </c>
      <c r="B66" s="63"/>
      <c r="C66" s="171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90"/>
    </row>
    <row r="67" spans="1:246" ht="20.100000000000001" customHeight="1" x14ac:dyDescent="0.25">
      <c r="A67" s="100" t="s">
        <v>18</v>
      </c>
      <c r="B67" s="63"/>
      <c r="C67" s="170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90"/>
    </row>
    <row r="68" spans="1:246" ht="20.100000000000001" customHeight="1" x14ac:dyDescent="0.25">
      <c r="A68" s="100" t="s">
        <v>19</v>
      </c>
      <c r="B68" s="63"/>
      <c r="C68" s="172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90"/>
    </row>
    <row r="69" spans="1:246" ht="20.100000000000001" customHeight="1" x14ac:dyDescent="0.25">
      <c r="A69" s="100" t="s">
        <v>18</v>
      </c>
      <c r="B69" s="63"/>
      <c r="C69" s="170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90"/>
    </row>
    <row r="70" spans="1:246" ht="20.100000000000001" customHeight="1" x14ac:dyDescent="0.3">
      <c r="A70" s="100" t="s">
        <v>19</v>
      </c>
      <c r="B70" s="63"/>
      <c r="C70" s="171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90"/>
    </row>
    <row r="71" spans="1:246" ht="20.100000000000001" customHeight="1" x14ac:dyDescent="0.25">
      <c r="A71" s="100" t="s">
        <v>18</v>
      </c>
      <c r="B71" s="63"/>
      <c r="C71" s="170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90"/>
    </row>
    <row r="72" spans="1:246" ht="20.100000000000001" customHeight="1" x14ac:dyDescent="0.25">
      <c r="A72" s="100" t="s">
        <v>19</v>
      </c>
      <c r="B72" s="63"/>
      <c r="C72" s="172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90"/>
    </row>
    <row r="73" spans="1:246" ht="20.100000000000001" customHeight="1" x14ac:dyDescent="0.25">
      <c r="A73" s="100" t="s">
        <v>18</v>
      </c>
      <c r="B73" s="63"/>
      <c r="C73" s="170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90"/>
    </row>
    <row r="74" spans="1:246" ht="20.100000000000001" customHeight="1" x14ac:dyDescent="0.3">
      <c r="A74" s="100" t="s">
        <v>19</v>
      </c>
      <c r="B74" s="63"/>
      <c r="C74" s="172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90"/>
    </row>
    <row r="75" spans="1:246" ht="20.100000000000001" customHeight="1" x14ac:dyDescent="0.25">
      <c r="A75" s="100" t="s">
        <v>18</v>
      </c>
      <c r="B75" s="63"/>
      <c r="C75" s="170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90"/>
    </row>
    <row r="76" spans="1:246" ht="20.100000000000001" customHeight="1" x14ac:dyDescent="0.3">
      <c r="A76" s="100" t="s">
        <v>19</v>
      </c>
      <c r="B76" s="63"/>
      <c r="C76" s="172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90"/>
    </row>
    <row r="77" spans="1:246" ht="20.100000000000001" customHeight="1" x14ac:dyDescent="0.25">
      <c r="A77" s="100" t="s">
        <v>18</v>
      </c>
      <c r="B77" s="63"/>
      <c r="C77" s="170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90"/>
    </row>
    <row r="78" spans="1:246" ht="20.100000000000001" customHeight="1" x14ac:dyDescent="0.25">
      <c r="A78" s="100" t="s">
        <v>19</v>
      </c>
      <c r="B78" s="63"/>
      <c r="C78" s="171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90"/>
    </row>
    <row r="79" spans="1:246" ht="20.100000000000001" customHeight="1" x14ac:dyDescent="0.25">
      <c r="A79" s="100" t="s">
        <v>18</v>
      </c>
      <c r="B79" s="63"/>
      <c r="C79" s="170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90"/>
    </row>
    <row r="80" spans="1:246" ht="20.100000000000001" customHeight="1" x14ac:dyDescent="0.3">
      <c r="A80" s="100" t="s">
        <v>19</v>
      </c>
      <c r="B80" s="63"/>
      <c r="C80" s="171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90"/>
    </row>
    <row r="81" spans="1:246" ht="20.100000000000001" customHeight="1" x14ac:dyDescent="0.25">
      <c r="A81" s="100" t="s">
        <v>18</v>
      </c>
      <c r="B81" s="63"/>
      <c r="C81" s="170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90"/>
    </row>
    <row r="82" spans="1:246" ht="20.100000000000001" customHeight="1" x14ac:dyDescent="0.3">
      <c r="A82" s="100" t="s">
        <v>19</v>
      </c>
      <c r="B82" s="63"/>
      <c r="C82" s="172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90"/>
    </row>
    <row r="83" spans="1:246" ht="20.100000000000001" customHeight="1" x14ac:dyDescent="0.25">
      <c r="A83" s="100" t="s">
        <v>18</v>
      </c>
      <c r="B83" s="63"/>
      <c r="C83" s="170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90"/>
    </row>
    <row r="84" spans="1:246" ht="20.100000000000001" customHeight="1" x14ac:dyDescent="0.25">
      <c r="A84" s="100" t="s">
        <v>19</v>
      </c>
      <c r="B84" s="63"/>
      <c r="C84" s="171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90"/>
    </row>
    <row r="85" spans="1:246" ht="20.100000000000001" customHeight="1" x14ac:dyDescent="0.25">
      <c r="A85" s="100" t="s">
        <v>18</v>
      </c>
      <c r="B85" s="63"/>
      <c r="C85" s="170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90"/>
    </row>
    <row r="86" spans="1:246" ht="20.100000000000001" customHeight="1" x14ac:dyDescent="0.3">
      <c r="A86" s="100" t="s">
        <v>19</v>
      </c>
      <c r="B86" s="63"/>
      <c r="C86" s="171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90"/>
    </row>
    <row r="87" spans="1:246" ht="20.100000000000001" customHeight="1" x14ac:dyDescent="0.25">
      <c r="A87" s="100" t="s">
        <v>18</v>
      </c>
      <c r="B87" s="63"/>
      <c r="C87" s="170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90"/>
    </row>
    <row r="88" spans="1:246" ht="20.100000000000001" customHeight="1" x14ac:dyDescent="0.25">
      <c r="A88" s="100" t="s">
        <v>19</v>
      </c>
      <c r="B88" s="63"/>
      <c r="C88" s="172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90"/>
    </row>
    <row r="89" spans="1:246" ht="20.100000000000001" customHeight="1" x14ac:dyDescent="0.25">
      <c r="A89" s="100" t="s">
        <v>18</v>
      </c>
      <c r="B89" s="63"/>
      <c r="C89" s="170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90"/>
    </row>
    <row r="90" spans="1:246" ht="20.100000000000001" customHeight="1" x14ac:dyDescent="0.3">
      <c r="A90" s="100" t="s">
        <v>19</v>
      </c>
      <c r="B90" s="63"/>
      <c r="C90" s="171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90"/>
    </row>
    <row r="91" spans="1:246" ht="20.100000000000001" customHeight="1" x14ac:dyDescent="0.25">
      <c r="A91" s="100" t="s">
        <v>18</v>
      </c>
      <c r="B91" s="63"/>
      <c r="C91" s="170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90"/>
    </row>
    <row r="92" spans="1:246" ht="20.100000000000001" customHeight="1" x14ac:dyDescent="0.3">
      <c r="A92" s="100" t="s">
        <v>19</v>
      </c>
      <c r="B92" s="63"/>
      <c r="C92" s="171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90"/>
    </row>
    <row r="93" spans="1:246" ht="20.100000000000001" customHeight="1" x14ac:dyDescent="0.25">
      <c r="A93" s="100" t="s">
        <v>18</v>
      </c>
      <c r="B93" s="63"/>
      <c r="C93" s="170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90"/>
    </row>
    <row r="94" spans="1:246" ht="20.100000000000001" customHeight="1" x14ac:dyDescent="0.25">
      <c r="A94" s="100" t="s">
        <v>19</v>
      </c>
      <c r="B94" s="63"/>
      <c r="C94" s="172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90"/>
    </row>
    <row r="95" spans="1:246" ht="20.100000000000001" customHeight="1" x14ac:dyDescent="0.25">
      <c r="B95" s="96"/>
      <c r="C95" s="192" t="s">
        <v>9</v>
      </c>
      <c r="D95" s="193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90"/>
    </row>
    <row r="96" spans="1:246" ht="20.100000000000001" customHeight="1" thickBot="1" x14ac:dyDescent="0.3">
      <c r="B96" s="96"/>
      <c r="C96" s="194"/>
      <c r="D96" s="195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90"/>
    </row>
    <row r="97" spans="2:246" ht="20.100000000000001" customHeight="1" x14ac:dyDescent="0.25">
      <c r="B97" s="96"/>
      <c r="C97" s="196" t="s">
        <v>10</v>
      </c>
      <c r="D97" s="197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24"/>
    </row>
    <row r="98" spans="2:246" ht="20.100000000000001" customHeight="1" thickBot="1" x14ac:dyDescent="0.3">
      <c r="B98" s="96"/>
      <c r="C98" s="198"/>
      <c r="D98" s="199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90"/>
    </row>
    <row r="99" spans="2:24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91"/>
    </row>
  </sheetData>
  <sheetProtection insertRows="0" insertHyperlinks="0" selectLockedCells="1"/>
  <mergeCells count="102">
    <mergeCell ref="ID14:IG14"/>
    <mergeCell ref="FP14:FS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N13:DU13"/>
    <mergeCell ref="BR14:BU14"/>
    <mergeCell ref="BX14:CA14"/>
    <mergeCell ref="CD14:CG14"/>
    <mergeCell ref="CJ14:CM14"/>
    <mergeCell ref="DH14:DK14"/>
    <mergeCell ref="DN14:DQ14"/>
    <mergeCell ref="C17:C18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E2" sqref="E2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40.8554687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4">
        <v>2</v>
      </c>
      <c r="C2" s="164"/>
      <c r="D2" s="82" t="s">
        <v>15</v>
      </c>
      <c r="E2" s="94">
        <v>45315</v>
      </c>
      <c r="F2" s="126"/>
      <c r="G2" s="46"/>
    </row>
    <row r="3" spans="1:7" s="47" customFormat="1" ht="30" customHeight="1" thickBot="1" x14ac:dyDescent="0.3">
      <c r="A3" s="80" t="s">
        <v>5</v>
      </c>
      <c r="B3" s="151" t="s">
        <v>38</v>
      </c>
      <c r="C3" s="152"/>
      <c r="D3" s="80" t="s">
        <v>13</v>
      </c>
      <c r="E3" s="200" t="s">
        <v>14</v>
      </c>
      <c r="F3" s="201"/>
      <c r="G3" s="46"/>
    </row>
    <row r="4" spans="1:7" s="52" customFormat="1" x14ac:dyDescent="0.3">
      <c r="A4" s="48"/>
      <c r="B4" s="49"/>
      <c r="C4" s="153" t="str">
        <f xml:space="preserve"> IF(B4="","",setValueToTime(B4))</f>
        <v/>
      </c>
      <c r="D4" s="50"/>
      <c r="E4" s="208"/>
      <c r="F4" s="209"/>
      <c r="G4" s="51"/>
    </row>
    <row r="5" spans="1:7" s="52" customFormat="1" x14ac:dyDescent="0.3">
      <c r="A5" s="53"/>
      <c r="B5" s="54"/>
      <c r="C5" s="154" t="str">
        <f t="shared" ref="C5:C11" si="0" xml:space="preserve"> IF(B5="","",setValueToTime(B5))</f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2"/>
      <c r="F10" s="203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4"/>
      <c r="F11" s="205"/>
      <c r="G11" s="51"/>
    </row>
    <row r="12" spans="1:7" s="52" customFormat="1" ht="15" thickBot="1" x14ac:dyDescent="0.35">
      <c r="A12" s="111" t="s">
        <v>27</v>
      </c>
      <c r="B12" s="84">
        <f>SUM(B4:B11)</f>
        <v>0</v>
      </c>
      <c r="C12" s="111" t="str">
        <f xml:space="preserve"> setValueToTime(B12)</f>
        <v>0h</v>
      </c>
      <c r="D12" s="120"/>
      <c r="E12" s="206"/>
      <c r="F12" s="207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4">
        <v>1</v>
      </c>
      <c r="C14" s="164"/>
      <c r="D14" s="82" t="s">
        <v>15</v>
      </c>
      <c r="E14" s="94">
        <v>45315</v>
      </c>
      <c r="F14" s="126"/>
      <c r="G14" s="46"/>
    </row>
    <row r="15" spans="1:7" s="47" customFormat="1" ht="30" customHeight="1" thickBot="1" x14ac:dyDescent="0.3">
      <c r="A15" s="80" t="s">
        <v>5</v>
      </c>
      <c r="B15" s="151" t="s">
        <v>38</v>
      </c>
      <c r="C15" s="152"/>
      <c r="D15" s="80" t="s">
        <v>13</v>
      </c>
      <c r="E15" s="200" t="s">
        <v>14</v>
      </c>
      <c r="F15" s="201"/>
      <c r="G15" s="46"/>
    </row>
    <row r="16" spans="1:7" s="52" customFormat="1" x14ac:dyDescent="0.3">
      <c r="A16" s="48"/>
      <c r="B16" s="49"/>
      <c r="C16" s="153" t="str">
        <f xml:space="preserve"> IF(B16="","",setValueToTime(B16))</f>
        <v/>
      </c>
      <c r="D16" s="50"/>
      <c r="E16" s="208"/>
      <c r="F16" s="209"/>
      <c r="G16" s="51"/>
    </row>
    <row r="17" spans="1:7" s="52" customFormat="1" x14ac:dyDescent="0.3">
      <c r="A17" s="53"/>
      <c r="B17" s="54"/>
      <c r="C17" s="154" t="str">
        <f t="shared" ref="C17:C23" si="1" xml:space="preserve"> IF(B17="","",setValueToTime(B17))</f>
        <v/>
      </c>
      <c r="D17" s="55"/>
      <c r="E17" s="202"/>
      <c r="F17" s="203"/>
      <c r="G17" s="51"/>
    </row>
    <row r="18" spans="1:7" s="52" customFormat="1" x14ac:dyDescent="0.3">
      <c r="A18" s="53"/>
      <c r="B18" s="54"/>
      <c r="C18" s="154" t="str">
        <f t="shared" si="1"/>
        <v/>
      </c>
      <c r="D18" s="55"/>
      <c r="E18" s="202"/>
      <c r="F18" s="203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2"/>
      <c r="F19" s="203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2"/>
      <c r="F20" s="203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2"/>
      <c r="F21" s="203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2"/>
      <c r="F22" s="203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4"/>
      <c r="F23" s="205"/>
      <c r="G23" s="51"/>
    </row>
    <row r="24" spans="1:7" s="52" customFormat="1" ht="15" thickBot="1" x14ac:dyDescent="0.35">
      <c r="A24" s="111" t="s">
        <v>27</v>
      </c>
      <c r="B24" s="84">
        <f>SUM(B16:B23)</f>
        <v>0</v>
      </c>
      <c r="C24" s="111" t="str">
        <f xml:space="preserve"> setValueToTime(B24)</f>
        <v>0h</v>
      </c>
      <c r="D24" s="120"/>
      <c r="E24" s="206"/>
      <c r="F24" s="207"/>
      <c r="G24" s="51"/>
    </row>
    <row r="25" spans="1:7" s="59" customFormat="1" x14ac:dyDescent="0.3">
      <c r="A25" s="79"/>
      <c r="B25" s="79"/>
      <c r="C25" s="79"/>
      <c r="D25" s="79"/>
      <c r="E25" s="79"/>
      <c r="F25" s="79"/>
      <c r="G25" s="58"/>
    </row>
  </sheetData>
  <sheetProtection formatRows="0" insertRows="0" insertHyperlinks="0" deleteRows="0" selectLockedCells="1"/>
  <mergeCells count="20"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 xr:uid="{27E418A0-C4C2-43C8-B9D7-4F2CE03D743F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16:B23 B4:B11" xr:uid="{2C432F96-15FC-49B6-B49E-AA4EBEDAAC9C}">
      <formula1>0</formula1>
    </dataValidation>
    <dataValidation type="list" allowBlank="1" showInputMessage="1" showErrorMessage="1" sqref="A16:A23 A4:A11" xr:uid="{C966EA34-0EE8-4024-B23F-B2831B944C04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ht="49.9" customHeight="1" x14ac:dyDescent="0.3"/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90"/>
    </row>
    <row r="13" spans="1:61" ht="18.75" thickBot="1" x14ac:dyDescent="0.3">
      <c r="A13" s="187" t="s">
        <v>12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9"/>
      <c r="BI13" s="90"/>
    </row>
    <row r="14" spans="1:61" ht="15.75" thickBot="1" x14ac:dyDescent="0.35">
      <c r="A14" s="103"/>
      <c r="B14" s="104"/>
      <c r="C14" s="104"/>
      <c r="D14" s="104"/>
      <c r="E14" s="190" t="s">
        <v>32</v>
      </c>
      <c r="F14" s="190"/>
      <c r="G14" s="190"/>
      <c r="H14" s="190"/>
      <c r="I14" s="104"/>
      <c r="J14" s="104"/>
      <c r="K14" s="191" t="s">
        <v>22</v>
      </c>
      <c r="L14" s="191"/>
      <c r="M14" s="191"/>
      <c r="N14" s="191"/>
      <c r="O14" s="129"/>
      <c r="P14" s="129"/>
      <c r="Q14" s="190" t="s">
        <v>33</v>
      </c>
      <c r="R14" s="190"/>
      <c r="S14" s="190"/>
      <c r="T14" s="190"/>
      <c r="U14" s="104"/>
      <c r="V14" s="104"/>
      <c r="W14" s="191" t="s">
        <v>23</v>
      </c>
      <c r="X14" s="191"/>
      <c r="Y14" s="191"/>
      <c r="Z14" s="191"/>
      <c r="AA14" s="129"/>
      <c r="AB14" s="129"/>
      <c r="AC14" s="190" t="s">
        <v>34</v>
      </c>
      <c r="AD14" s="190"/>
      <c r="AE14" s="190"/>
      <c r="AF14" s="190"/>
      <c r="AG14" s="104"/>
      <c r="AH14" s="104"/>
      <c r="AI14" s="191" t="s">
        <v>24</v>
      </c>
      <c r="AJ14" s="191"/>
      <c r="AK14" s="191"/>
      <c r="AL14" s="191"/>
      <c r="AM14" s="129"/>
      <c r="AN14" s="129"/>
      <c r="AO14" s="190" t="s">
        <v>35</v>
      </c>
      <c r="AP14" s="190"/>
      <c r="AQ14" s="190"/>
      <c r="AR14" s="190"/>
      <c r="AS14" s="104"/>
      <c r="AT14" s="104"/>
      <c r="AU14" s="191" t="s">
        <v>25</v>
      </c>
      <c r="AV14" s="191"/>
      <c r="AW14" s="191"/>
      <c r="AX14" s="191"/>
      <c r="AY14" s="129"/>
      <c r="AZ14" s="129"/>
      <c r="BA14" s="190" t="s">
        <v>36</v>
      </c>
      <c r="BB14" s="190"/>
      <c r="BC14" s="190"/>
      <c r="BD14" s="19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4">
        <v>1</v>
      </c>
      <c r="C1" s="164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38</v>
      </c>
      <c r="C2" s="152"/>
      <c r="D2" s="80" t="s">
        <v>13</v>
      </c>
      <c r="E2" s="200" t="s">
        <v>14</v>
      </c>
      <c r="F2" s="201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27</v>
      </c>
      <c r="B11" s="84">
        <f>SUM(B3:B10)</f>
        <v>0</v>
      </c>
      <c r="C11" s="111" t="str">
        <f xml:space="preserve"> setValueToTime(B11)</f>
        <v>0h</v>
      </c>
      <c r="D11" s="120"/>
      <c r="E11" s="206"/>
      <c r="F11" s="20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12</v>
      </c>
      <c r="B1" s="165">
        <v>1</v>
      </c>
      <c r="C1" s="165"/>
      <c r="D1" s="158" t="s">
        <v>15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38</v>
      </c>
      <c r="C2" s="161"/>
      <c r="D2" s="78" t="s">
        <v>13</v>
      </c>
      <c r="E2" s="212" t="s">
        <v>14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27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Emilien Charpié</dc:creator>
  <cp:lastModifiedBy>Emilien Charpié</cp:lastModifiedBy>
  <cp:lastPrinted>2019-05-08T10:31:53Z</cp:lastPrinted>
  <dcterms:created xsi:type="dcterms:W3CDTF">1996-10-21T11:03:58Z</dcterms:created>
  <dcterms:modified xsi:type="dcterms:W3CDTF">2024-01-24T10:07:12Z</dcterms:modified>
</cp:coreProperties>
</file>